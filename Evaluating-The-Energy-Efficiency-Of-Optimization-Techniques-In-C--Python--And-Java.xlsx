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2.xml" ContentType="application/vnd.openxmlformats-officedocument.themeOverrid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tables/table1.xml" ContentType="application/vnd.openxmlformats-officedocument.spreadsheetml.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LARCOS\Desktop\Evaluating-The-Energy-Efficiency-Of-Optimization-Techniques-In-C--Python--And-Java\"/>
    </mc:Choice>
  </mc:AlternateContent>
  <xr:revisionPtr revIDLastSave="0" documentId="13_ncr:1_{5D8C134E-5F88-4072-94AC-F182A08D42BE}" xr6:coauthVersionLast="47" xr6:coauthVersionMax="47" xr10:uidLastSave="{00000000-0000-0000-0000-000000000000}"/>
  <bookViews>
    <workbookView xWindow="-120" yWindow="-120" windowWidth="38640" windowHeight="15720" tabRatio="699" firstSheet="6" activeTab="12" xr2:uid="{00000000-000D-0000-FFFF-FFFF00000000}"/>
  </bookViews>
  <sheets>
    <sheet name="Techniques" sheetId="24" r:id="rId1"/>
    <sheet name="Implementation" sheetId="3" r:id="rId2"/>
    <sheet name="C Impact of Technique" sheetId="33" r:id="rId3"/>
    <sheet name="C Impact of Optimization" sheetId="32" r:id="rId4"/>
    <sheet name="C Technique results" sheetId="73" r:id="rId5"/>
    <sheet name="C Optimization results" sheetId="72" r:id="rId6"/>
    <sheet name="Python Impact of Technique" sheetId="38" r:id="rId7"/>
    <sheet name="Python Impact of Optimization" sheetId="37" r:id="rId8"/>
    <sheet name="Python Technique results" sheetId="77" r:id="rId9"/>
    <sheet name="Python Optimization results" sheetId="76" r:id="rId10"/>
    <sheet name="Java Impact of Technique" sheetId="64" r:id="rId11"/>
    <sheet name="Java Impact of Optimization" sheetId="59" r:id="rId12"/>
    <sheet name="Java Technique results" sheetId="65" r:id="rId13"/>
    <sheet name="Java Optimization results" sheetId="60" r:id="rId14"/>
    <sheet name="Stats1" sheetId="69" r:id="rId15"/>
    <sheet name="Stats2" sheetId="66" r:id="rId16"/>
    <sheet name="Stats3" sheetId="70" r:id="rId17"/>
    <sheet name="Stats4" sheetId="68" r:id="rId18"/>
  </sheets>
  <externalReferences>
    <externalReference r:id="rId19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66" l="1"/>
  <c r="C69" i="69"/>
  <c r="C68" i="69"/>
  <c r="C67" i="69"/>
  <c r="C62" i="69"/>
  <c r="C61" i="69"/>
  <c r="C60" i="69"/>
  <c r="C40" i="69"/>
  <c r="C41" i="69"/>
  <c r="C33" i="69"/>
  <c r="C39" i="69"/>
  <c r="C34" i="69"/>
  <c r="C32" i="69"/>
  <c r="C4" i="69"/>
  <c r="C21" i="69"/>
  <c r="C18" i="69"/>
  <c r="C20" i="69"/>
  <c r="C19" i="69"/>
  <c r="C5" i="69"/>
  <c r="C6" i="69"/>
  <c r="Q105" i="33"/>
  <c r="D134" i="68" a="1"/>
  <c r="D140" i="68" a="1"/>
  <c r="D146" i="68" a="1"/>
  <c r="D152" i="68" a="1"/>
  <c r="D155" i="68" a="1"/>
  <c r="C146" i="68" a="1"/>
  <c r="C157" i="68" a="1"/>
  <c r="C133" i="68" a="1"/>
  <c r="D126" i="68" a="1"/>
  <c r="D123" i="68" a="1"/>
  <c r="C120" i="68" a="1"/>
  <c r="C117" i="68" a="1"/>
  <c r="D99" i="68" a="1"/>
  <c r="D90" i="68" a="1"/>
  <c r="C99" i="68" a="1"/>
  <c r="C90" i="68" a="1"/>
  <c r="D74" i="68" a="1"/>
  <c r="D71" i="68" a="1"/>
  <c r="C68" i="68" a="1"/>
  <c r="C59" i="68" a="1"/>
  <c r="D138" i="68" a="1"/>
  <c r="C152" i="68" a="1"/>
  <c r="C137" i="68" a="1"/>
  <c r="D112" i="68" a="1"/>
  <c r="D132" i="68" a="1"/>
  <c r="D129" i="68" a="1"/>
  <c r="C126" i="68" a="1"/>
  <c r="C123" i="68" a="1"/>
  <c r="D105" i="68" a="1"/>
  <c r="D96" i="68" a="1"/>
  <c r="C105" i="68" a="1"/>
  <c r="C96" i="68" a="1"/>
  <c r="D80" i="68" a="1"/>
  <c r="D77" i="68" a="1"/>
  <c r="C74" i="68" a="1"/>
  <c r="C65" i="68" a="1"/>
  <c r="D144" i="68" a="1"/>
  <c r="C158" i="68" a="1"/>
  <c r="C153" i="68" a="1"/>
  <c r="D118" i="68" a="1"/>
  <c r="D109" i="68" a="1"/>
  <c r="C112" i="68" a="1"/>
  <c r="C132" i="68" a="1"/>
  <c r="C129" i="68" a="1"/>
  <c r="D82" i="68" a="1"/>
  <c r="D102" i="68" a="1"/>
  <c r="C82" i="68" a="1"/>
  <c r="C102" i="68" a="1"/>
  <c r="C80" i="68" a="1"/>
  <c r="C135" i="68" a="1"/>
  <c r="D115" i="68" a="1"/>
  <c r="D107" i="68" a="1"/>
  <c r="C88" i="68" a="1"/>
  <c r="C66" i="68" a="1"/>
  <c r="C141" i="68" a="1"/>
  <c r="C124" i="68" a="1"/>
  <c r="C94" i="68" a="1"/>
  <c r="C67" i="68" a="1"/>
  <c r="C147" i="68" a="1"/>
  <c r="C130" i="68" a="1"/>
  <c r="D104" i="68" a="1"/>
  <c r="D61" i="68" a="1"/>
  <c r="C154" i="68" a="1"/>
  <c r="C127" i="68" a="1"/>
  <c r="C106" i="68" a="1"/>
  <c r="C69" i="68" a="1"/>
  <c r="D158" i="68" a="1"/>
  <c r="D66" i="68" a="1"/>
  <c r="D130" i="68" a="1"/>
  <c r="C107" i="68" a="1"/>
  <c r="D72" i="68" a="1"/>
  <c r="C142" i="68" a="1"/>
  <c r="D85" i="68" a="1"/>
  <c r="C97" i="68" a="1"/>
  <c r="C73" i="68" a="1"/>
  <c r="D119" i="68" a="1"/>
  <c r="D91" i="68" a="1"/>
  <c r="C103" i="68" a="1"/>
  <c r="C63" i="68" a="1"/>
  <c r="D135" i="68" a="1"/>
  <c r="D141" i="68" a="1"/>
  <c r="D147" i="68" a="1"/>
  <c r="D153" i="68" a="1"/>
  <c r="D136" i="68" a="1"/>
  <c r="D148" i="68" a="1"/>
  <c r="D151" i="68" a="1"/>
  <c r="C143" i="68" a="1"/>
  <c r="C149" i="68" a="1"/>
  <c r="D125" i="68" a="1"/>
  <c r="D116" i="68" a="1"/>
  <c r="C119" i="68" a="1"/>
  <c r="C110" i="68" a="1"/>
  <c r="D97" i="68" a="1"/>
  <c r="D83" i="68" a="1"/>
  <c r="C92" i="68" a="1"/>
  <c r="C83" i="68" a="1"/>
  <c r="D81" i="68" a="1"/>
  <c r="D64" i="68" a="1"/>
  <c r="D73" i="68" a="1"/>
  <c r="C75" i="68" a="1"/>
  <c r="C78" i="68" a="1"/>
  <c r="D142" i="68" a="1"/>
  <c r="C144" i="68" a="1"/>
  <c r="D108" i="68" a="1"/>
  <c r="C131" i="68" a="1"/>
  <c r="C122" i="68" a="1"/>
  <c r="D95" i="68" a="1"/>
  <c r="C95" i="68" a="1"/>
  <c r="D76" i="68" a="1"/>
  <c r="C64" i="68" a="1"/>
  <c r="D143" i="68" a="1"/>
  <c r="C151" i="68" a="1"/>
  <c r="D111" i="68" a="1"/>
  <c r="C128" i="68" a="1"/>
  <c r="D101" i="68" a="1"/>
  <c r="C101" i="68" a="1"/>
  <c r="D59" i="68" a="1"/>
  <c r="C70" i="68" a="1"/>
  <c r="D149" i="68" a="1"/>
  <c r="D133" i="68" a="1"/>
  <c r="D117" i="68" a="1"/>
  <c r="C111" i="68" a="1"/>
  <c r="D84" i="68" a="1"/>
  <c r="C84" i="68" a="1"/>
  <c r="D65" i="68" a="1"/>
  <c r="C76" i="68" a="1"/>
  <c r="D60" i="68" a="1"/>
  <c r="D150" i="68" a="1"/>
  <c r="D124" i="68" a="1"/>
  <c r="C109" i="68" a="1"/>
  <c r="D86" i="68" a="1"/>
  <c r="D63" i="68" a="1"/>
  <c r="D156" i="68" a="1"/>
  <c r="D121" i="68" a="1"/>
  <c r="D94" i="68" a="1"/>
  <c r="C91" i="68" a="1"/>
  <c r="C72" i="68" a="1"/>
  <c r="D113" i="68" a="1"/>
  <c r="C121" i="68" a="1"/>
  <c r="C100" i="68" a="1"/>
  <c r="C57" i="68" a="1"/>
  <c r="C148" i="68" a="1"/>
  <c r="C113" i="68" a="1"/>
  <c r="C86" i="68" a="1"/>
  <c r="D58" i="68" a="1"/>
  <c r="D154" i="68" a="1"/>
  <c r="D157" i="68" a="1"/>
  <c r="C155" i="68" a="1"/>
  <c r="C138" i="68" a="1"/>
  <c r="D131" i="68" a="1"/>
  <c r="D122" i="68" a="1"/>
  <c r="C125" i="68" a="1"/>
  <c r="C116" i="68" a="1"/>
  <c r="D103" i="68" a="1"/>
  <c r="D89" i="68" a="1"/>
  <c r="C98" i="68" a="1"/>
  <c r="C89" i="68" a="1"/>
  <c r="C81" i="68" a="1"/>
  <c r="D70" i="68" a="1"/>
  <c r="D79" i="68" a="1"/>
  <c r="C58" i="68" a="1"/>
  <c r="C79" i="68" a="1"/>
  <c r="D137" i="68" a="1"/>
  <c r="C156" i="68" a="1"/>
  <c r="D128" i="68" a="1"/>
  <c r="D92" i="68" a="1"/>
  <c r="C104" i="68" a="1"/>
  <c r="D56" i="68" a="1"/>
  <c r="D78" i="68" a="1"/>
  <c r="C61" i="68" a="1"/>
  <c r="C134" i="68" a="1"/>
  <c r="C150" i="68" a="1"/>
  <c r="D114" i="68" a="1"/>
  <c r="C108" i="68" a="1"/>
  <c r="D87" i="68" a="1"/>
  <c r="C87" i="68" a="1"/>
  <c r="D62" i="68" a="1"/>
  <c r="C56" i="68" a="1"/>
  <c r="C60" i="68" a="1"/>
  <c r="C140" i="68" a="1"/>
  <c r="C145" i="68" a="1"/>
  <c r="D120" i="68" a="1"/>
  <c r="C114" i="68" a="1"/>
  <c r="D93" i="68" a="1"/>
  <c r="C93" i="68" a="1"/>
  <c r="D68" i="68" a="1"/>
  <c r="C62" i="68" a="1"/>
  <c r="D57" i="68" a="1"/>
  <c r="C71" i="68" a="1"/>
  <c r="C139" i="68" a="1"/>
  <c r="C118" i="68" a="1"/>
  <c r="D88" i="68" a="1"/>
  <c r="C85" i="68" a="1"/>
  <c r="C77" i="68" a="1"/>
  <c r="C136" i="68" a="1"/>
  <c r="C115" i="68" a="1"/>
  <c r="D98" i="68" a="1"/>
  <c r="D69" i="68" a="1"/>
  <c r="D139" i="68" a="1"/>
  <c r="D127" i="68" a="1"/>
  <c r="D100" i="68" a="1"/>
  <c r="D75" i="68" a="1"/>
  <c r="D145" i="68" a="1"/>
  <c r="D110" i="68" a="1"/>
  <c r="D106" i="68" a="1"/>
  <c r="D67" i="68" a="1"/>
  <c r="D30" i="68" a="1"/>
  <c r="D35" i="68" a="1"/>
  <c r="D33" i="68" a="1"/>
  <c r="C48" i="68" a="1"/>
  <c r="C45" i="68" a="1"/>
  <c r="D16" i="68" a="1"/>
  <c r="D13" i="68" a="1"/>
  <c r="C9" i="68" a="1"/>
  <c r="C24" i="68" a="1"/>
  <c r="G20" i="70" a="1"/>
  <c r="G17" i="70" a="1"/>
  <c r="F6" i="70" a="1"/>
  <c r="F7" i="70" a="1"/>
  <c r="F11" i="70" a="1"/>
  <c r="E24" i="70" a="1"/>
  <c r="E9" i="70" a="1"/>
  <c r="D27" i="70" a="1"/>
  <c r="D8" i="70" a="1"/>
  <c r="C18" i="70" a="1"/>
  <c r="C28" i="70" a="1"/>
  <c r="B8" i="70" a="1"/>
  <c r="B5" i="70" a="1"/>
  <c r="O22" i="60" a="1"/>
  <c r="O13" i="60" a="1"/>
  <c r="N24" i="60" a="1"/>
  <c r="N22" i="60" a="1"/>
  <c r="M8" i="60" a="1"/>
  <c r="M12" i="60" a="1"/>
  <c r="M28" i="60" a="1"/>
  <c r="L24" i="60" a="1"/>
  <c r="L21" i="60" a="1"/>
  <c r="K18" i="60" a="1"/>
  <c r="K15" i="60" a="1"/>
  <c r="J12" i="60" a="1"/>
  <c r="J9" i="60" a="1"/>
  <c r="H8" i="60" a="1"/>
  <c r="H23" i="60" a="1"/>
  <c r="G19" i="60" a="1"/>
  <c r="G28" i="60" a="1"/>
  <c r="F23" i="60" a="1"/>
  <c r="F14" i="60" a="1"/>
  <c r="E17" i="60" a="1"/>
  <c r="E8" i="60" a="1"/>
  <c r="D21" i="60" a="1"/>
  <c r="D20" i="60" a="1"/>
  <c r="C24" i="60" a="1"/>
  <c r="C15" i="60" a="1"/>
  <c r="M5" i="60" a="1"/>
  <c r="U24" i="65" a="1"/>
  <c r="U28" i="65" a="1"/>
  <c r="T14" i="65" a="1"/>
  <c r="T17" i="65" a="1"/>
  <c r="S8" i="65" a="1"/>
  <c r="S11" i="65" a="1"/>
  <c r="S25" i="65" a="1"/>
  <c r="P16" i="65" a="1"/>
  <c r="P19" i="65" a="1"/>
  <c r="O22" i="65" a="1"/>
  <c r="O13" i="65" a="1"/>
  <c r="N16" i="65" a="1"/>
  <c r="N7" i="65" a="1"/>
  <c r="J10" i="65" a="1"/>
  <c r="J30" i="65" a="1"/>
  <c r="I27" i="65" a="1"/>
  <c r="I24" i="65" a="1"/>
  <c r="H21" i="65" a="1"/>
  <c r="H18" i="65" a="1"/>
  <c r="E15" i="65" a="1"/>
  <c r="E7" i="65" a="1"/>
  <c r="D9" i="65" a="1"/>
  <c r="D6" i="65" a="1"/>
  <c r="C26" i="65" a="1"/>
  <c r="C29" i="65" a="1"/>
  <c r="S5" i="65" a="1"/>
  <c r="U18" i="76" a="1"/>
  <c r="U24" i="76" a="1"/>
  <c r="T13" i="76" a="1"/>
  <c r="T28" i="76" a="1"/>
  <c r="S6" i="76" a="1"/>
  <c r="S29" i="76" a="1"/>
  <c r="S23" i="76" a="1"/>
  <c r="P9" i="76" a="1"/>
  <c r="P16" i="76" a="1"/>
  <c r="O22" i="76" a="1"/>
  <c r="O13" i="76" a="1"/>
  <c r="D42" i="68" a="1"/>
  <c r="D41" i="68" a="1"/>
  <c r="C34" i="68" a="1"/>
  <c r="C54" i="68" a="1"/>
  <c r="C51" i="68" a="1"/>
  <c r="D22" i="68" a="1"/>
  <c r="D19" i="68" a="1"/>
  <c r="C7" i="68" a="1"/>
  <c r="C19" i="68" a="1"/>
  <c r="G26" i="70" a="1"/>
  <c r="G23" i="70" a="1"/>
  <c r="F12" i="70" a="1"/>
  <c r="F13" i="70" a="1"/>
  <c r="F17" i="70" a="1"/>
  <c r="E30" i="70" a="1"/>
  <c r="E21" i="70" a="1"/>
  <c r="D10" i="70" a="1"/>
  <c r="D14" i="70" a="1"/>
  <c r="C24" i="70" a="1"/>
  <c r="C7" i="70" a="1"/>
  <c r="B14" i="70" a="1"/>
  <c r="B11" i="70" a="1"/>
  <c r="O28" i="60" a="1"/>
  <c r="O19" i="60" a="1"/>
  <c r="N7" i="60" a="1"/>
  <c r="N28" i="60" a="1"/>
  <c r="M14" i="60" a="1"/>
  <c r="M18" i="60" a="1"/>
  <c r="L10" i="60" a="1"/>
  <c r="L30" i="60" a="1"/>
  <c r="L27" i="60" a="1"/>
  <c r="K24" i="60" a="1"/>
  <c r="K21" i="60" a="1"/>
  <c r="J18" i="60" a="1"/>
  <c r="J15" i="60" a="1"/>
  <c r="H14" i="60" a="1"/>
  <c r="H29" i="60" a="1"/>
  <c r="G25" i="60" a="1"/>
  <c r="G17" i="60" a="1"/>
  <c r="F29" i="60" a="1"/>
  <c r="F20" i="60" a="1"/>
  <c r="E23" i="60" a="1"/>
  <c r="E14" i="60" a="1"/>
  <c r="D16" i="60" a="1"/>
  <c r="D26" i="60" a="1"/>
  <c r="C30" i="60" a="1"/>
  <c r="C21" i="60" a="1"/>
  <c r="L5" i="60" a="1"/>
  <c r="U7" i="65" a="1"/>
  <c r="U11" i="65" a="1"/>
  <c r="T20" i="65" a="1"/>
  <c r="T23" i="65" a="1"/>
  <c r="S14" i="65" a="1"/>
  <c r="S17" i="65" a="1"/>
  <c r="P6" i="65" a="1"/>
  <c r="P22" i="65" a="1"/>
  <c r="P25" i="65" a="1"/>
  <c r="O28" i="65" a="1"/>
  <c r="O19" i="65" a="1"/>
  <c r="N22" i="65" a="1"/>
  <c r="N13" i="65" a="1"/>
  <c r="J16" i="65" a="1"/>
  <c r="J7" i="65" a="1"/>
  <c r="I10" i="65" a="1"/>
  <c r="I30" i="65" a="1"/>
  <c r="H27" i="65" a="1"/>
  <c r="H24" i="65" a="1"/>
  <c r="E21" i="65" a="1"/>
  <c r="E19" i="65" a="1"/>
  <c r="D15" i="65" a="1"/>
  <c r="D12" i="65" a="1"/>
  <c r="C9" i="65" a="1"/>
  <c r="C6" i="65" a="1"/>
  <c r="P5" i="65" a="1"/>
  <c r="U7" i="76" a="1"/>
  <c r="U8" i="76" a="1"/>
  <c r="T7" i="76" a="1"/>
  <c r="T11" i="76" a="1"/>
  <c r="S12" i="76" a="1"/>
  <c r="S7" i="76" a="1"/>
  <c r="P6" i="76" a="1"/>
  <c r="P15" i="76" a="1"/>
  <c r="P17" i="76" a="1"/>
  <c r="O28" i="76" a="1"/>
  <c r="O19" i="76" a="1"/>
  <c r="N10" i="76" a="1"/>
  <c r="N17" i="76" a="1"/>
  <c r="J26" i="76" a="1"/>
  <c r="J29" i="76" a="1"/>
  <c r="I20" i="76" a="1"/>
  <c r="I9" i="76" a="1"/>
  <c r="H17" i="76" a="1"/>
  <c r="H19" i="76" a="1"/>
  <c r="E26" i="76" a="1"/>
  <c r="D43" i="68" a="1"/>
  <c r="D47" i="68" a="1"/>
  <c r="C40" i="68" a="1"/>
  <c r="C31" i="68" a="1"/>
  <c r="D8" i="68" a="1"/>
  <c r="D28" i="68" a="1"/>
  <c r="D25" i="68" a="1"/>
  <c r="C21" i="68" a="1"/>
  <c r="C20" i="68" a="1"/>
  <c r="G9" i="70" a="1"/>
  <c r="G29" i="70" a="1"/>
  <c r="F18" i="70" a="1"/>
  <c r="F19" i="70" a="1"/>
  <c r="E5" i="70" a="1"/>
  <c r="E20" i="70" a="1"/>
  <c r="E10" i="70" a="1"/>
  <c r="D28" i="70" a="1"/>
  <c r="D20" i="70" a="1"/>
  <c r="C8" i="70" a="1"/>
  <c r="C13" i="70" a="1"/>
  <c r="B20" i="70" a="1"/>
  <c r="B17" i="70" a="1"/>
  <c r="O11" i="60" a="1"/>
  <c r="O25" i="60" a="1"/>
  <c r="N8" i="60" a="1"/>
  <c r="N11" i="60" a="1"/>
  <c r="M20" i="60" a="1"/>
  <c r="M24" i="60" a="1"/>
  <c r="L16" i="60" a="1"/>
  <c r="L7" i="60" a="1"/>
  <c r="K10" i="60" a="1"/>
  <c r="K30" i="60" a="1"/>
  <c r="K27" i="60" a="1"/>
  <c r="J24" i="60" a="1"/>
  <c r="J21" i="60" a="1"/>
  <c r="H20" i="60" a="1"/>
  <c r="H6" i="60" a="1"/>
  <c r="G9" i="60" a="1"/>
  <c r="G29" i="60" a="1"/>
  <c r="F6" i="60" a="1"/>
  <c r="F26" i="60" a="1"/>
  <c r="E29" i="60" a="1"/>
  <c r="E20" i="60" a="1"/>
  <c r="D28" i="60" a="1"/>
  <c r="D15" i="60" a="1"/>
  <c r="C19" i="60" a="1"/>
  <c r="C27" i="60" a="1"/>
  <c r="K5" i="60" a="1"/>
  <c r="U14" i="65" a="1"/>
  <c r="U17" i="65" a="1"/>
  <c r="T26" i="65" a="1"/>
  <c r="T29" i="65" a="1"/>
  <c r="S20" i="65" a="1"/>
  <c r="S23" i="65" a="1"/>
  <c r="P7" i="65" a="1"/>
  <c r="P28" i="65" a="1"/>
  <c r="O8" i="65" a="1"/>
  <c r="O11" i="65" a="1"/>
  <c r="O25" i="65" a="1"/>
  <c r="N28" i="65" a="1"/>
  <c r="N19" i="65" a="1"/>
  <c r="J22" i="65" a="1"/>
  <c r="J13" i="65" a="1"/>
  <c r="I16" i="65" a="1"/>
  <c r="I7" i="65" a="1"/>
  <c r="H10" i="65" a="1"/>
  <c r="H30" i="65" a="1"/>
  <c r="E27" i="65" a="1"/>
  <c r="E8" i="65" a="1"/>
  <c r="D21" i="65" a="1"/>
  <c r="D18" i="65" a="1"/>
  <c r="D38" i="68" a="1"/>
  <c r="D53" i="68" a="1"/>
  <c r="C46" i="68" a="1"/>
  <c r="C37" i="68" a="1"/>
  <c r="D14" i="68" a="1"/>
  <c r="D5" i="68" a="1"/>
  <c r="C4" i="68" a="1"/>
  <c r="C5" i="68" a="1"/>
  <c r="C15" i="68" a="1"/>
  <c r="G15" i="70" a="1"/>
  <c r="G6" i="70" a="1"/>
  <c r="F24" i="70" a="1"/>
  <c r="F25" i="70" a="1"/>
  <c r="E11" i="70" a="1"/>
  <c r="E15" i="70" a="1"/>
  <c r="E28" i="70" a="1"/>
  <c r="D6" i="70" a="1"/>
  <c r="D26" i="70" a="1"/>
  <c r="C15" i="70" a="1"/>
  <c r="C19" i="70" a="1"/>
  <c r="B26" i="70" a="1"/>
  <c r="B23" i="70" a="1"/>
  <c r="O17" i="60" a="1"/>
  <c r="O8" i="60" a="1"/>
  <c r="N14" i="60" a="1"/>
  <c r="N17" i="60" a="1"/>
  <c r="M26" i="60" a="1"/>
  <c r="M30" i="60" a="1"/>
  <c r="L22" i="60" a="1"/>
  <c r="L13" i="60" a="1"/>
  <c r="K16" i="60" a="1"/>
  <c r="K7" i="60" a="1"/>
  <c r="J10" i="60" a="1"/>
  <c r="J30" i="60" a="1"/>
  <c r="J27" i="60" a="1"/>
  <c r="H26" i="60" a="1"/>
  <c r="H24" i="60" a="1"/>
  <c r="G10" i="60" a="1"/>
  <c r="G14" i="60" a="1"/>
  <c r="F12" i="60" a="1"/>
  <c r="F9" i="60" a="1"/>
  <c r="E6" i="60" a="1"/>
  <c r="E26" i="60" a="1"/>
  <c r="D23" i="60" a="1"/>
  <c r="D27" i="60" a="1"/>
  <c r="C17" i="60" a="1"/>
  <c r="C16" i="60" a="1"/>
  <c r="J5" i="60" a="1"/>
  <c r="U20" i="65" a="1"/>
  <c r="U23" i="65" a="1"/>
  <c r="T9" i="65" a="1"/>
  <c r="T6" i="65" a="1"/>
  <c r="S26" i="65" a="1"/>
  <c r="S29" i="65" a="1"/>
  <c r="P8" i="65" a="1"/>
  <c r="P11" i="65" a="1"/>
  <c r="O14" i="65" a="1"/>
  <c r="O17" i="65" a="1"/>
  <c r="N8" i="65" a="1"/>
  <c r="N11" i="65" a="1"/>
  <c r="N25" i="65" a="1"/>
  <c r="J28" i="65" a="1"/>
  <c r="J19" i="65" a="1"/>
  <c r="I22" i="65" a="1"/>
  <c r="I13" i="65" a="1"/>
  <c r="H16" i="65" a="1"/>
  <c r="H7" i="65" a="1"/>
  <c r="E10" i="65" a="1"/>
  <c r="E28" i="65" a="1"/>
  <c r="D27" i="65" a="1"/>
  <c r="D24" i="65" a="1"/>
  <c r="C21" i="65" a="1"/>
  <c r="C18" i="65" a="1"/>
  <c r="N5" i="65" a="1"/>
  <c r="U19" i="76" a="1"/>
  <c r="U20" i="76" a="1"/>
  <c r="T20" i="76" a="1"/>
  <c r="T23" i="76" a="1"/>
  <c r="S24" i="76" a="1"/>
  <c r="S20" i="76" a="1"/>
  <c r="P18" i="76" a="1"/>
  <c r="P27" i="76" a="1"/>
  <c r="O14" i="76" a="1"/>
  <c r="O17" i="76" a="1"/>
  <c r="N7" i="76" a="1"/>
  <c r="N28" i="76" a="1"/>
  <c r="N24" i="76" a="1"/>
  <c r="J10" i="76" a="1"/>
  <c r="J23" i="76" a="1"/>
  <c r="I15" i="76" a="1"/>
  <c r="I22" i="76" a="1"/>
  <c r="H25" i="76" a="1"/>
  <c r="H26" i="76" a="1"/>
  <c r="E15" i="76" a="1"/>
  <c r="E18" i="76" a="1"/>
  <c r="D8" i="76" a="1"/>
  <c r="D17" i="76" a="1"/>
  <c r="C9" i="76" a="1"/>
  <c r="C25" i="76" a="1"/>
  <c r="N5" i="76" a="1"/>
  <c r="U29" i="77" a="1"/>
  <c r="U10" i="77" a="1"/>
  <c r="D52" i="68" a="1"/>
  <c r="D44" i="68" a="1"/>
  <c r="C42" i="68" a="1"/>
  <c r="C39" i="68" a="1"/>
  <c r="D10" i="68" a="1"/>
  <c r="D7" i="68" a="1"/>
  <c r="C26" i="68" a="1"/>
  <c r="C18" i="68" a="1"/>
  <c r="G14" i="70" a="1"/>
  <c r="G11" i="70" a="1"/>
  <c r="G25" i="70" a="1"/>
  <c r="F29" i="70" a="1"/>
  <c r="F28" i="70" a="1"/>
  <c r="E18" i="70" a="1"/>
  <c r="E26" i="70" a="1"/>
  <c r="D9" i="70" a="1"/>
  <c r="D25" i="70" a="1"/>
  <c r="C12" i="70" a="1"/>
  <c r="C10" i="70" a="1"/>
  <c r="B25" i="70" a="1"/>
  <c r="B28" i="70" a="1"/>
  <c r="O16" i="60" a="1"/>
  <c r="O7" i="60" a="1"/>
  <c r="N6" i="60" a="1"/>
  <c r="N16" i="60" a="1"/>
  <c r="N25" i="60" a="1"/>
  <c r="M6" i="60" a="1"/>
  <c r="M22" i="60" a="1"/>
  <c r="L18" i="60" a="1"/>
  <c r="L15" i="60" a="1"/>
  <c r="K12" i="60" a="1"/>
  <c r="K9" i="60" a="1"/>
  <c r="J6" i="60" a="1"/>
  <c r="J26" i="60" a="1"/>
  <c r="H25" i="60" a="1"/>
  <c r="H11" i="60" a="1"/>
  <c r="G13" i="60" a="1"/>
  <c r="G16" i="60" a="1"/>
  <c r="F17" i="60" a="1"/>
  <c r="F8" i="60" a="1"/>
  <c r="E11" i="60" a="1"/>
  <c r="E25" i="60" a="1"/>
  <c r="D9" i="60" a="1"/>
  <c r="D14" i="60" a="1"/>
  <c r="C18" i="60" a="1"/>
  <c r="C9" i="60" a="1"/>
  <c r="N5" i="60" a="1"/>
  <c r="U12" i="65" a="1"/>
  <c r="U22" i="65" a="1"/>
  <c r="T8" i="65" a="1"/>
  <c r="T11" i="65" a="1"/>
  <c r="T25" i="65" a="1"/>
  <c r="S28" i="65" a="1"/>
  <c r="S19" i="65" a="1"/>
  <c r="P10" i="65" a="1"/>
  <c r="P13" i="65" a="1"/>
  <c r="O16" i="65" a="1"/>
  <c r="O7" i="65" a="1"/>
  <c r="N10" i="65" a="1"/>
  <c r="N30" i="65" a="1"/>
  <c r="J27" i="65" a="1"/>
  <c r="J24" i="65" a="1"/>
  <c r="I21" i="65" a="1"/>
  <c r="I18" i="65" a="1"/>
  <c r="H15" i="65" a="1"/>
  <c r="H12" i="65" a="1"/>
  <c r="E9" i="65" a="1"/>
  <c r="E30" i="65" a="1"/>
  <c r="D26" i="65" a="1"/>
  <c r="D29" i="65" a="1"/>
  <c r="C20" i="65" a="1"/>
  <c r="C23" i="65" a="1"/>
  <c r="T5" i="65" a="1"/>
  <c r="U12" i="76" a="1"/>
  <c r="U29" i="76" a="1"/>
  <c r="T6" i="76" a="1"/>
  <c r="T22" i="76" a="1"/>
  <c r="T14" i="76" a="1"/>
  <c r="S22" i="76" a="1"/>
  <c r="S28" i="76" a="1"/>
  <c r="P26" i="76" a="1"/>
  <c r="P20" i="76" a="1"/>
  <c r="O16" i="76" a="1"/>
  <c r="O7" i="76" a="1"/>
  <c r="N21" i="76" a="1"/>
  <c r="N20" i="76" a="1"/>
  <c r="J25" i="76" a="1"/>
  <c r="J8" i="76" a="1"/>
  <c r="I19" i="76" a="1"/>
  <c r="I24" i="76" a="1"/>
  <c r="H15" i="76" a="1"/>
  <c r="H29" i="76" a="1"/>
  <c r="E8" i="76" a="1"/>
  <c r="E17" i="76" a="1"/>
  <c r="D13" i="76" a="1"/>
  <c r="D16" i="76" a="1"/>
  <c r="C18" i="76" a="1"/>
  <c r="C23" i="76" a="1"/>
  <c r="T5" i="76" a="1"/>
  <c r="U12" i="77" a="1"/>
  <c r="U9" i="77" a="1"/>
  <c r="T6" i="77" a="1"/>
  <c r="D45" i="68" a="1"/>
  <c r="C35" i="68" a="1"/>
  <c r="C33" i="68" a="1"/>
  <c r="D12" i="68" a="1"/>
  <c r="C25" i="68" a="1"/>
  <c r="G21" i="70" a="1"/>
  <c r="G13" i="70" a="1"/>
  <c r="F26" i="70" a="1"/>
  <c r="E16" i="70" a="1"/>
  <c r="D24" i="70" a="1"/>
  <c r="C17" i="70" a="1"/>
  <c r="C9" i="70" a="1"/>
  <c r="B29" i="70" a="1"/>
  <c r="O24" i="60" a="1"/>
  <c r="N15" i="60" a="1"/>
  <c r="M27" i="60" a="1"/>
  <c r="M10" i="60" a="1"/>
  <c r="L20" i="60" a="1"/>
  <c r="K25" i="60" a="1"/>
  <c r="J7" i="60" a="1"/>
  <c r="H7" i="60" a="1"/>
  <c r="G18" i="60" a="1"/>
  <c r="G23" i="60" a="1"/>
  <c r="F25" i="60" a="1"/>
  <c r="E7" i="60" a="1"/>
  <c r="D13" i="60" a="1"/>
  <c r="C13" i="60" a="1"/>
  <c r="C11" i="60" a="1"/>
  <c r="U21" i="65" a="1"/>
  <c r="T21" i="65" a="1"/>
  <c r="T19" i="65" a="1"/>
  <c r="S30" i="65" a="1"/>
  <c r="P29" i="65" a="1"/>
  <c r="O23" i="65" a="1"/>
  <c r="N21" i="65" a="1"/>
  <c r="J26" i="65" a="1"/>
  <c r="I8" i="65" a="1"/>
  <c r="I12" i="65" a="1"/>
  <c r="H23" i="65" a="1"/>
  <c r="E11" i="65" a="1"/>
  <c r="D10" i="65" a="1"/>
  <c r="C8" i="65" a="1"/>
  <c r="C30" i="65" a="1"/>
  <c r="C5" i="65" a="1"/>
  <c r="U15" i="76" a="1"/>
  <c r="T10" i="76" a="1"/>
  <c r="S19" i="76" a="1"/>
  <c r="S8" i="76" a="1"/>
  <c r="P22" i="76" a="1"/>
  <c r="O27" i="76" a="1"/>
  <c r="N19" i="76" a="1"/>
  <c r="N18" i="76" a="1"/>
  <c r="J14" i="76" a="1"/>
  <c r="I6" i="76" a="1"/>
  <c r="I11" i="76" a="1"/>
  <c r="H16" i="76" a="1"/>
  <c r="H10" i="76" a="1"/>
  <c r="E22" i="76" a="1"/>
  <c r="D30" i="76" a="1"/>
  <c r="D28" i="76" a="1"/>
  <c r="C15" i="76" a="1"/>
  <c r="C16" i="76" a="1"/>
  <c r="D5" i="76" a="1"/>
  <c r="U26" i="77" a="1"/>
  <c r="T14" i="77" a="1"/>
  <c r="T23" i="77" a="1"/>
  <c r="S14" i="77" a="1"/>
  <c r="S12" i="77" a="1"/>
  <c r="P6" i="77" a="1"/>
  <c r="P22" i="77" a="1"/>
  <c r="P25" i="77" a="1"/>
  <c r="O8" i="77" a="1"/>
  <c r="O22" i="77" a="1"/>
  <c r="N20" i="77" a="1"/>
  <c r="N28" i="77" a="1"/>
  <c r="J15" i="77" a="1"/>
  <c r="J18" i="77" a="1"/>
  <c r="I7" i="77" a="1"/>
  <c r="I22" i="77" a="1"/>
  <c r="H26" i="77" a="1"/>
  <c r="H29" i="77" a="1"/>
  <c r="E13" i="77" a="1"/>
  <c r="E16" i="77" a="1"/>
  <c r="D22" i="77" a="1"/>
  <c r="D8" i="77" a="1"/>
  <c r="C25" i="77" a="1"/>
  <c r="C11" i="77" a="1"/>
  <c r="P5" i="77" a="1"/>
  <c r="U24" i="73" a="1"/>
  <c r="U16" i="73" a="1"/>
  <c r="T18" i="73" a="1"/>
  <c r="T29" i="73" a="1"/>
  <c r="S12" i="73" a="1"/>
  <c r="S7" i="73" a="1"/>
  <c r="P8" i="73" a="1"/>
  <c r="P17" i="73" a="1"/>
  <c r="P16" i="73" a="1"/>
  <c r="O26" i="73" a="1"/>
  <c r="O16" i="73" a="1"/>
  <c r="N14" i="73" a="1"/>
  <c r="N27" i="73" a="1"/>
  <c r="J27" i="73" a="1"/>
  <c r="J29" i="73" a="1"/>
  <c r="I15" i="73" a="1"/>
  <c r="I6" i="73" a="1"/>
  <c r="H27" i="73" a="1"/>
  <c r="H18" i="73" a="1"/>
  <c r="E26" i="73" a="1"/>
  <c r="E11" i="73" a="1"/>
  <c r="D29" i="73" a="1"/>
  <c r="D26" i="73" a="1"/>
  <c r="C30" i="73" a="1"/>
  <c r="D34" i="68" a="1"/>
  <c r="C41" i="68" a="1"/>
  <c r="D20" i="68" a="1"/>
  <c r="D18" i="68" a="1"/>
  <c r="C14" i="68" a="1"/>
  <c r="G27" i="70" a="1"/>
  <c r="G19" i="70" a="1"/>
  <c r="F15" i="70" a="1"/>
  <c r="E8" i="70" a="1"/>
  <c r="D12" i="70" a="1"/>
  <c r="C23" i="70" a="1"/>
  <c r="C22" i="70" a="1"/>
  <c r="B6" i="70" a="1"/>
  <c r="O30" i="60" a="1"/>
  <c r="N21" i="60" a="1"/>
  <c r="M16" i="60" a="1"/>
  <c r="L28" i="60" a="1"/>
  <c r="L26" i="60" a="1"/>
  <c r="K8" i="60" a="1"/>
  <c r="J13" i="60" a="1"/>
  <c r="H13" i="60" a="1"/>
  <c r="G24" i="60" a="1"/>
  <c r="F10" i="60" a="1"/>
  <c r="F15" i="60" a="1"/>
  <c r="E13" i="60" a="1"/>
  <c r="D11" i="60" a="1"/>
  <c r="C7" i="60" a="1"/>
  <c r="D40" i="68" a="1"/>
  <c r="C47" i="68" a="1"/>
  <c r="D26" i="68" a="1"/>
  <c r="D24" i="68" a="1"/>
  <c r="C27" i="68" a="1"/>
  <c r="G10" i="70" a="1"/>
  <c r="F30" i="70" a="1"/>
  <c r="F27" i="70" a="1"/>
  <c r="E7" i="70" a="1"/>
  <c r="D30" i="70" a="1"/>
  <c r="C29" i="70" a="1"/>
  <c r="B7" i="70" a="1"/>
  <c r="B12" i="70" a="1"/>
  <c r="O14" i="60" a="1"/>
  <c r="N27" i="60" a="1"/>
  <c r="M11" i="60" a="1"/>
  <c r="L11" i="60" a="1"/>
  <c r="L9" i="60" a="1"/>
  <c r="K14" i="60" a="1"/>
  <c r="J19" i="60" a="1"/>
  <c r="H9" i="60" a="1"/>
  <c r="G30" i="60" a="1"/>
  <c r="F16" i="60" a="1"/>
  <c r="F21" i="60" a="1"/>
  <c r="E19" i="60" a="1"/>
  <c r="D6" i="60" a="1"/>
  <c r="C25" i="60" a="1"/>
  <c r="H5" i="60" a="1"/>
  <c r="U10" i="65" a="1"/>
  <c r="T10" i="65" a="1"/>
  <c r="S15" i="65" a="1"/>
  <c r="S13" i="65" a="1"/>
  <c r="P18" i="65" a="1"/>
  <c r="O6" i="65" a="1"/>
  <c r="N17" i="65" a="1"/>
  <c r="J15" i="65" a="1"/>
  <c r="I20" i="65" a="1"/>
  <c r="I25" i="65" a="1"/>
  <c r="H6" i="65" a="1"/>
  <c r="E29" i="65" a="1"/>
  <c r="D22" i="65" a="1"/>
  <c r="C15" i="65" a="1"/>
  <c r="C13" i="65" a="1"/>
  <c r="U13" i="76" a="1"/>
  <c r="U16" i="76" a="1"/>
  <c r="T17" i="76" a="1"/>
  <c r="S15" i="76" a="1"/>
  <c r="P12" i="76" a="1"/>
  <c r="P11" i="76" a="1"/>
  <c r="O11" i="76" a="1"/>
  <c r="N14" i="76" a="1"/>
  <c r="N8" i="76" a="1"/>
  <c r="J22" i="76" a="1"/>
  <c r="I30" i="76" a="1"/>
  <c r="I29" i="76" a="1"/>
  <c r="H8" i="76" a="1"/>
  <c r="E6" i="76" a="1"/>
  <c r="E11" i="76" a="1"/>
  <c r="D19" i="76" a="1"/>
  <c r="D23" i="76" a="1"/>
  <c r="C27" i="76" a="1"/>
  <c r="C24" i="76" a="1"/>
  <c r="U6" i="77" a="1"/>
  <c r="U21" i="77" a="1"/>
  <c r="T26" i="77" a="1"/>
  <c r="T12" i="77" a="1"/>
  <c r="S26" i="77" a="1"/>
  <c r="S24" i="77" a="1"/>
  <c r="P8" i="77" a="1"/>
  <c r="P11" i="77" a="1"/>
  <c r="O12" i="77" a="1"/>
  <c r="O26" i="77" a="1"/>
  <c r="N6" i="77" a="1"/>
  <c r="N27" i="77" a="1"/>
  <c r="N29" i="77" a="1"/>
  <c r="J27" i="77" a="1"/>
  <c r="D46" i="68" a="1"/>
  <c r="C53" i="68" a="1"/>
  <c r="D9" i="68" a="1"/>
  <c r="C10" i="68" a="1"/>
  <c r="C6" i="68" a="1"/>
  <c r="G16" i="70" a="1"/>
  <c r="F9" i="70" a="1"/>
  <c r="F10" i="70" a="1"/>
  <c r="E13" i="70" a="1"/>
  <c r="D21" i="70" a="1"/>
  <c r="C16" i="70" a="1"/>
  <c r="B13" i="70" a="1"/>
  <c r="B18" i="70" a="1"/>
  <c r="O20" i="60" a="1"/>
  <c r="N10" i="60" a="1"/>
  <c r="M17" i="60" a="1"/>
  <c r="L17" i="60" a="1"/>
  <c r="K22" i="60" a="1"/>
  <c r="D51" i="68" a="1"/>
  <c r="C52" i="68" a="1"/>
  <c r="C50" i="68" a="1"/>
  <c r="D6" i="68" a="1"/>
  <c r="C17" i="68" a="1"/>
  <c r="G8" i="70" a="1"/>
  <c r="G7" i="70" a="1"/>
  <c r="F20" i="70" a="1"/>
  <c r="E27" i="70" a="1"/>
  <c r="D18" i="70" a="1"/>
  <c r="C11" i="70" a="1"/>
  <c r="C20" i="70" a="1"/>
  <c r="B22" i="70" a="1"/>
  <c r="O18" i="60" a="1"/>
  <c r="N9" i="60" a="1"/>
  <c r="M15" i="60" a="1"/>
  <c r="M21" i="60" a="1"/>
  <c r="L14" i="60" a="1"/>
  <c r="K19" i="60" a="1"/>
  <c r="J29" i="60" a="1"/>
  <c r="H18" i="60" a="1"/>
  <c r="G12" i="60" a="1"/>
  <c r="G22" i="60" a="1"/>
  <c r="F19" i="60" a="1"/>
  <c r="E30" i="60" a="1"/>
  <c r="D30" i="60" a="1"/>
  <c r="C12" i="60" a="1"/>
  <c r="C28" i="60" a="1"/>
  <c r="U15" i="65" a="1"/>
  <c r="T15" i="65" a="1"/>
  <c r="T13" i="65" a="1"/>
  <c r="S24" i="65" a="1"/>
  <c r="P23" i="65" a="1"/>
  <c r="O10" i="65" a="1"/>
  <c r="N15" i="65" a="1"/>
  <c r="J20" i="65" a="1"/>
  <c r="J25" i="65" a="1"/>
  <c r="I6" i="65" a="1"/>
  <c r="H17" i="65" a="1"/>
  <c r="E22" i="65" a="1"/>
  <c r="D20" i="65" a="1"/>
  <c r="D25" i="65" a="1"/>
  <c r="C24" i="65" a="1"/>
  <c r="D5" i="65" a="1"/>
  <c r="U26" i="76" a="1"/>
  <c r="T27" i="76" a="1"/>
  <c r="S30" i="76" a="1"/>
  <c r="S17" i="76" a="1"/>
  <c r="P10" i="76" a="1"/>
  <c r="O21" i="76" a="1"/>
  <c r="N13" i="76" a="1"/>
  <c r="N6" i="76" a="1"/>
  <c r="J19" i="76" a="1"/>
  <c r="J9" i="76" a="1"/>
  <c r="I28" i="76" a="1"/>
  <c r="H30" i="76" a="1"/>
  <c r="H21" i="76" a="1"/>
  <c r="E16" i="76" a="1"/>
  <c r="D12" i="76" a="1"/>
  <c r="D22" i="76" a="1"/>
  <c r="C26" i="76" a="1"/>
  <c r="C20" i="76" a="1"/>
  <c r="E5" i="76" a="1"/>
  <c r="U20" i="77" a="1"/>
  <c r="T8" i="77" a="1"/>
  <c r="T11" i="77" a="1"/>
  <c r="S8" i="77" a="1"/>
  <c r="S6" i="77" a="1"/>
  <c r="S22" i="77" a="1"/>
  <c r="P16" i="77" a="1"/>
  <c r="P19" i="77" a="1"/>
  <c r="O11" i="77" a="1"/>
  <c r="O15" i="77" a="1"/>
  <c r="N14" i="77" a="1"/>
  <c r="N16" i="77" a="1"/>
  <c r="J9" i="77" a="1"/>
  <c r="J12" i="77" a="1"/>
  <c r="I23" i="77" a="1"/>
  <c r="I16" i="77" a="1"/>
  <c r="H20" i="77" a="1"/>
  <c r="H23" i="77" a="1"/>
  <c r="E17" i="77" a="1"/>
  <c r="E9" i="77" a="1"/>
  <c r="D30" i="77" a="1"/>
  <c r="D11" i="77" a="1"/>
  <c r="C19" i="77" a="1"/>
  <c r="C28" i="77" a="1"/>
  <c r="S5" i="77" a="1"/>
  <c r="U18" i="73" a="1"/>
  <c r="U10" i="73" a="1"/>
  <c r="T12" i="73" a="1"/>
  <c r="T22" i="73" a="1"/>
  <c r="S6" i="73" a="1"/>
  <c r="S11" i="73" a="1"/>
  <c r="S14" i="73" a="1"/>
  <c r="P11" i="73" a="1"/>
  <c r="P23" i="73" a="1"/>
  <c r="O20" i="73" a="1"/>
  <c r="O8" i="73" a="1"/>
  <c r="N7" i="73" a="1"/>
  <c r="N12" i="73" a="1"/>
  <c r="J21" i="73" a="1"/>
  <c r="J17" i="73" a="1"/>
  <c r="I13" i="73" a="1"/>
  <c r="I23" i="73" a="1"/>
  <c r="H21" i="73" a="1"/>
  <c r="H12" i="73" a="1"/>
  <c r="E20" i="73" a="1"/>
  <c r="E25" i="73" a="1"/>
  <c r="D23" i="73" a="1"/>
  <c r="D14" i="73" a="1"/>
  <c r="C24" i="73" a="1"/>
  <c r="C21" i="73" a="1"/>
  <c r="D54" i="68" a="1"/>
  <c r="D15" i="68" a="1"/>
  <c r="C8" i="68" a="1"/>
  <c r="G12" i="70" a="1"/>
  <c r="E23" i="70" a="1"/>
  <c r="D29" i="70" a="1"/>
  <c r="C21" i="70" a="1"/>
  <c r="O10" i="60" a="1"/>
  <c r="N23" i="60" a="1"/>
  <c r="M25" i="60" a="1"/>
  <c r="K23" i="60" a="1"/>
  <c r="J25" i="60" a="1"/>
  <c r="H22" i="60" a="1"/>
  <c r="F22" i="60" a="1"/>
  <c r="E28" i="60" a="1"/>
  <c r="D24" i="60" a="1"/>
  <c r="C22" i="60" a="1"/>
  <c r="U9" i="65" a="1"/>
  <c r="T22" i="65" a="1"/>
  <c r="S22" i="65" a="1"/>
  <c r="P17" i="65" a="1"/>
  <c r="O18" i="65" a="1"/>
  <c r="N18" i="65" a="1"/>
  <c r="J18" i="65" a="1"/>
  <c r="H14" i="65" a="1"/>
  <c r="E14" i="65" a="1"/>
  <c r="D14" i="65" a="1"/>
  <c r="C10" i="65" a="1"/>
  <c r="J5" i="65" a="1"/>
  <c r="U14" i="76" a="1"/>
  <c r="T12" i="76" a="1"/>
  <c r="S26" i="76" a="1"/>
  <c r="P21" i="76" a="1"/>
  <c r="O29" i="76" a="1"/>
  <c r="N22" i="76" a="1"/>
  <c r="J13" i="76" a="1"/>
  <c r="I25" i="76" a="1"/>
  <c r="H6" i="76" a="1"/>
  <c r="H14" i="76" a="1"/>
  <c r="E29" i="76" a="1"/>
  <c r="D15" i="76" a="1"/>
  <c r="C14" i="76" a="1"/>
  <c r="U5" i="76" a="1"/>
  <c r="U13" i="77" a="1"/>
  <c r="U23" i="77" a="1"/>
  <c r="T24" i="77" a="1"/>
  <c r="S11" i="77" a="1"/>
  <c r="S10" i="77" a="1"/>
  <c r="P23" i="77" a="1"/>
  <c r="O13" i="77" a="1"/>
  <c r="O14" i="77" a="1"/>
  <c r="N22" i="77" a="1"/>
  <c r="J25" i="77" a="1"/>
  <c r="J29" i="77" a="1"/>
  <c r="I25" i="77" a="1"/>
  <c r="I11" i="77" a="1"/>
  <c r="H16" i="77" a="1"/>
  <c r="E18" i="77" a="1"/>
  <c r="E20" i="77" a="1"/>
  <c r="D28" i="77" a="1"/>
  <c r="D21" i="77" a="1"/>
  <c r="C21" i="77" a="1"/>
  <c r="C30" i="77" a="1"/>
  <c r="U12" i="73" a="1"/>
  <c r="U28" i="73" a="1"/>
  <c r="T25" i="73" a="1"/>
  <c r="T9" i="73" a="1"/>
  <c r="S25" i="73" a="1"/>
  <c r="S29" i="73" a="1"/>
  <c r="P6" i="73" a="1"/>
  <c r="O24" i="73" a="1"/>
  <c r="O22" i="73" a="1"/>
  <c r="N19" i="73" a="1"/>
  <c r="N23" i="73" a="1"/>
  <c r="J12" i="73" a="1"/>
  <c r="I8" i="73" a="1"/>
  <c r="I19" i="73" a="1"/>
  <c r="H26" i="73" a="1"/>
  <c r="H6" i="73" a="1"/>
  <c r="E15" i="73" a="1"/>
  <c r="E12" i="73" a="1"/>
  <c r="D7" i="73" a="1"/>
  <c r="C6" i="73" a="1"/>
  <c r="C15" i="73" a="1"/>
  <c r="S5" i="73" a="1"/>
  <c r="U13" i="72" a="1"/>
  <c r="U29" i="72" a="1"/>
  <c r="T12" i="72" a="1"/>
  <c r="T20" i="72" a="1"/>
  <c r="S6" i="72" a="1"/>
  <c r="S27" i="72" a="1"/>
  <c r="S25" i="72" a="1"/>
  <c r="P26" i="72" a="1"/>
  <c r="P28" i="72" a="1"/>
  <c r="O16" i="72" a="1"/>
  <c r="O19" i="72" a="1"/>
  <c r="N16" i="72" a="1"/>
  <c r="N7" i="72" a="1"/>
  <c r="J8" i="72" a="1"/>
  <c r="J21" i="72" a="1"/>
  <c r="I13" i="72" a="1"/>
  <c r="I26" i="72" a="1"/>
  <c r="H21" i="72" a="1"/>
  <c r="H24" i="72" a="1"/>
  <c r="E25" i="72" a="1"/>
  <c r="E22" i="72" a="1"/>
  <c r="D12" i="72" a="1"/>
  <c r="D11" i="72" a="1"/>
  <c r="C24" i="72" a="1"/>
  <c r="C26" i="72" a="1"/>
  <c r="S5" i="72" a="1"/>
  <c r="T18" i="76" a="1"/>
  <c r="T30" i="77" a="1"/>
  <c r="O23" i="77" a="1"/>
  <c r="J24" i="77" a="1"/>
  <c r="E24" i="77" a="1"/>
  <c r="D7" i="77" a="1"/>
  <c r="U5" i="77" a="1"/>
  <c r="U11" i="73" a="1"/>
  <c r="P14" i="73" a="1"/>
  <c r="O30" i="73" a="1"/>
  <c r="N10" i="73" a="1"/>
  <c r="H9" i="73" a="1"/>
  <c r="D13" i="73" a="1"/>
  <c r="C27" i="73" a="1"/>
  <c r="U12" i="72" a="1"/>
  <c r="S12" i="72" a="1"/>
  <c r="P6" i="72" a="1"/>
  <c r="O22" i="72" a="1"/>
  <c r="J14" i="72" a="1"/>
  <c r="I27" i="72" a="1"/>
  <c r="H30" i="72" a="1"/>
  <c r="D29" i="72" a="1"/>
  <c r="O5" i="72" a="1"/>
  <c r="D19" i="77" a="1"/>
  <c r="S13" i="73" a="1"/>
  <c r="N16" i="73" a="1"/>
  <c r="J6" i="73" a="1"/>
  <c r="I26" i="73" a="1"/>
  <c r="H10" i="73" a="1"/>
  <c r="D25" i="73" a="1"/>
  <c r="C13" i="73" a="1"/>
  <c r="U8" i="72" a="1"/>
  <c r="S11" i="72" a="1"/>
  <c r="P18" i="72" a="1"/>
  <c r="P27" i="72" a="1"/>
  <c r="O7" i="72" a="1"/>
  <c r="N8" i="72" a="1"/>
  <c r="N25" i="72" a="1"/>
  <c r="I15" i="72" a="1"/>
  <c r="H16" i="72" a="1"/>
  <c r="E8" i="72" a="1"/>
  <c r="D9" i="72" a="1"/>
  <c r="D11" i="68" a="1"/>
  <c r="E6" i="70" a="1"/>
  <c r="D31" i="68" a="1"/>
  <c r="D21" i="68" a="1"/>
  <c r="C11" i="68" a="1"/>
  <c r="G18" i="70" a="1"/>
  <c r="E29" i="70" a="1"/>
  <c r="D22" i="70" a="1"/>
  <c r="C27" i="70" a="1"/>
  <c r="O23" i="60" a="1"/>
  <c r="N29" i="60" a="1"/>
  <c r="M9" i="60" a="1"/>
  <c r="K29" i="60" a="1"/>
  <c r="J8" i="60" a="1"/>
  <c r="H28" i="60" a="1"/>
  <c r="F28" i="60" a="1"/>
  <c r="E12" i="60" a="1"/>
  <c r="D8" i="60" a="1"/>
  <c r="C23" i="60" a="1"/>
  <c r="U27" i="65" a="1"/>
  <c r="T28" i="65" a="1"/>
  <c r="S6" i="65" a="1"/>
  <c r="P12" i="65" a="1"/>
  <c r="O24" i="65" a="1"/>
  <c r="N24" i="65" a="1"/>
  <c r="I14" i="65" a="1"/>
  <c r="H20" i="65" a="1"/>
  <c r="E20" i="65" a="1"/>
  <c r="D16" i="65" a="1"/>
  <c r="C16" i="65" a="1"/>
  <c r="I5" i="65" a="1"/>
  <c r="U27" i="76" a="1"/>
  <c r="S9" i="76" a="1"/>
  <c r="O6" i="76" a="1"/>
  <c r="N11" i="76" a="1"/>
  <c r="J21" i="76" a="1"/>
  <c r="I7" i="76" a="1"/>
  <c r="H12" i="76" a="1"/>
  <c r="H23" i="76" a="1"/>
  <c r="E12" i="76" a="1"/>
  <c r="D21" i="76" a="1"/>
  <c r="C21" i="76" a="1"/>
  <c r="S5" i="76" a="1"/>
  <c r="U19" i="77" a="1"/>
  <c r="S17" i="77" a="1"/>
  <c r="P29" i="77" a="1"/>
  <c r="N17" i="77" a="1"/>
  <c r="H22" i="77" a="1"/>
  <c r="C27" i="77" a="1"/>
  <c r="T15" i="73" a="1"/>
  <c r="J30" i="73" a="1"/>
  <c r="E21" i="73" a="1"/>
  <c r="U19" i="72" a="1"/>
  <c r="T26" i="72" a="1"/>
  <c r="P9" i="72" a="1"/>
  <c r="N22" i="72" a="1"/>
  <c r="I19" i="72" a="1"/>
  <c r="E28" i="72" a="1"/>
  <c r="C9" i="72" a="1"/>
  <c r="D23" i="77" a="1"/>
  <c r="P26" i="73" a="1"/>
  <c r="I21" i="73" a="1"/>
  <c r="C16" i="73" a="1"/>
  <c r="S24" i="72" a="1"/>
  <c r="N11" i="72" a="1"/>
  <c r="H13" i="72" a="1"/>
  <c r="N5" i="72" a="1"/>
  <c r="D37" i="68" a="1"/>
  <c r="D27" i="68" a="1"/>
  <c r="C12" i="68" a="1"/>
  <c r="G24" i="70" a="1"/>
  <c r="E22" i="70" a="1"/>
  <c r="D7" i="70" a="1"/>
  <c r="C25" i="70" a="1"/>
  <c r="O29" i="60" a="1"/>
  <c r="N12" i="60" a="1"/>
  <c r="L23" i="60" a="1"/>
  <c r="K6" i="60" a="1"/>
  <c r="J14" i="60" a="1"/>
  <c r="H30" i="60" a="1"/>
  <c r="F11" i="60" a="1"/>
  <c r="E18" i="60" a="1"/>
  <c r="D10" i="60" a="1"/>
  <c r="C14" i="60" a="1"/>
  <c r="U16" i="65" a="1"/>
  <c r="T12" i="65" a="1"/>
  <c r="S12" i="65" a="1"/>
  <c r="P24" i="65" a="1"/>
  <c r="O30" i="65" a="1"/>
  <c r="J8" i="65" a="1"/>
  <c r="I26" i="65" a="1"/>
  <c r="H26" i="65" a="1"/>
  <c r="E26" i="65" a="1"/>
  <c r="D28" i="65" a="1"/>
  <c r="C22" i="65" a="1"/>
  <c r="H5" i="65" a="1"/>
  <c r="U28" i="76" a="1"/>
  <c r="T24" i="76" a="1"/>
  <c r="S27" i="76" a="1"/>
  <c r="P23" i="76" a="1"/>
  <c r="O12" i="76" a="1"/>
  <c r="N23" i="76" a="1"/>
  <c r="J11" i="76" a="1"/>
  <c r="I8" i="76" a="1"/>
  <c r="H18" i="76" a="1"/>
  <c r="E24" i="76" a="1"/>
  <c r="E30" i="76" a="1"/>
  <c r="D27" i="76" a="1"/>
  <c r="C10" i="76" a="1"/>
  <c r="P5" i="76" a="1"/>
  <c r="U25" i="77" a="1"/>
  <c r="T9" i="77" a="1"/>
  <c r="T7" i="77" a="1"/>
  <c r="S23" i="77" a="1"/>
  <c r="P14" i="77" a="1"/>
  <c r="P12" i="77" a="1"/>
  <c r="O25" i="77" a="1"/>
  <c r="N12" i="77" a="1"/>
  <c r="N23" i="77" a="1"/>
  <c r="J20" i="77" a="1"/>
  <c r="J30" i="77" a="1"/>
  <c r="I8" i="77" a="1"/>
  <c r="H12" i="77" a="1"/>
  <c r="H28" i="77" a="1"/>
  <c r="E30" i="77" a="1"/>
  <c r="E14" i="77" a="1"/>
  <c r="D13" i="77" a="1"/>
  <c r="D16" i="77" a="1"/>
  <c r="C10" i="77" a="1"/>
  <c r="T5" i="77" a="1"/>
  <c r="U13" i="73" a="1"/>
  <c r="U17" i="73" a="1"/>
  <c r="T26" i="73" a="1"/>
  <c r="T21" i="73" a="1"/>
  <c r="S22" i="73" a="1"/>
  <c r="P20" i="73" a="1"/>
  <c r="P18" i="73" a="1"/>
  <c r="O13" i="73" a="1"/>
  <c r="O11" i="73" a="1"/>
  <c r="N11" i="73" a="1"/>
  <c r="N17" i="73" a="1"/>
  <c r="J7" i="73" a="1"/>
  <c r="I20" i="73" a="1"/>
  <c r="I9" i="73" a="1"/>
  <c r="H15" i="73" a="1"/>
  <c r="H30" i="73" a="1"/>
  <c r="E27" i="73" a="1"/>
  <c r="E19" i="73" a="1"/>
  <c r="D19" i="73" a="1"/>
  <c r="C18" i="73" a="1"/>
  <c r="C10" i="73" a="1"/>
  <c r="O5" i="73" a="1"/>
  <c r="U25" i="72" a="1"/>
  <c r="U24" i="72" a="1"/>
  <c r="T24" i="72" a="1"/>
  <c r="T15" i="72" a="1"/>
  <c r="S18" i="72" a="1"/>
  <c r="S22" i="72" a="1"/>
  <c r="P12" i="72" a="1"/>
  <c r="P21" i="72" a="1"/>
  <c r="O6" i="72" a="1"/>
  <c r="O28" i="72" a="1"/>
  <c r="O26" i="72" a="1"/>
  <c r="N28" i="72" a="1"/>
  <c r="N19" i="72" a="1"/>
  <c r="J20" i="72" a="1"/>
  <c r="J28" i="72" a="1"/>
  <c r="I25" i="72" a="1"/>
  <c r="I10" i="72" a="1"/>
  <c r="H10" i="72" a="1"/>
  <c r="H7" i="72" a="1"/>
  <c r="E7" i="72" a="1"/>
  <c r="E11" i="72" a="1"/>
  <c r="D7" i="72" a="1"/>
  <c r="D24" i="72" a="1"/>
  <c r="C13" i="72" a="1"/>
  <c r="C15" i="72" a="1"/>
  <c r="C16" i="77" a="1"/>
  <c r="O23" i="73" a="1"/>
  <c r="H7" i="73" a="1"/>
  <c r="U14" i="72" a="1"/>
  <c r="O11" i="72" a="1"/>
  <c r="I17" i="72" a="1"/>
  <c r="C19" i="72" a="1"/>
  <c r="D49" i="68" a="1"/>
  <c r="D4" i="68" a="1"/>
  <c r="D55" i="68" a="1"/>
  <c r="G30" i="70" a="1"/>
  <c r="E14" i="70" a="1"/>
  <c r="D13" i="70" a="1"/>
  <c r="B19" i="70" a="1"/>
  <c r="O6" i="60" a="1"/>
  <c r="N18" i="60" a="1"/>
  <c r="L29" i="60" a="1"/>
  <c r="K13" i="60" a="1"/>
  <c r="J20" i="60" a="1"/>
  <c r="G6" i="60" a="1"/>
  <c r="F18" i="60" a="1"/>
  <c r="E24" i="60" a="1"/>
  <c r="D22" i="60" a="1"/>
  <c r="C10" i="60" a="1"/>
  <c r="U29" i="65" a="1"/>
  <c r="T18" i="65" a="1"/>
  <c r="S18" i="65" a="1"/>
  <c r="P30" i="65" a="1"/>
  <c r="N14" i="65" a="1"/>
  <c r="J14" i="65" a="1"/>
  <c r="I9" i="65" a="1"/>
  <c r="H9" i="65" a="1"/>
  <c r="E16" i="65" a="1"/>
  <c r="D11" i="65" a="1"/>
  <c r="C28" i="65" a="1"/>
  <c r="E5" i="65" a="1"/>
  <c r="U17" i="76" a="1"/>
  <c r="T30" i="76" a="1"/>
  <c r="S10" i="76" a="1"/>
  <c r="P29" i="76" a="1"/>
  <c r="O18" i="76" a="1"/>
  <c r="N29" i="76" a="1"/>
  <c r="J7" i="76" a="1"/>
  <c r="I26" i="76" a="1"/>
  <c r="H24" i="76" a="1"/>
  <c r="E13" i="76" a="1"/>
  <c r="E25" i="76" a="1"/>
  <c r="D10" i="76" a="1"/>
  <c r="C22" i="76" a="1"/>
  <c r="O5" i="76" a="1"/>
  <c r="U14" i="77" a="1"/>
  <c r="T15" i="77" a="1"/>
  <c r="T13" i="77" a="1"/>
  <c r="S29" i="77" a="1"/>
  <c r="P20" i="77" a="1"/>
  <c r="P18" i="77" a="1"/>
  <c r="O16" i="77" a="1"/>
  <c r="N18" i="77" a="1"/>
  <c r="N8" i="77" a="1"/>
  <c r="J26" i="77" a="1"/>
  <c r="J14" i="77" a="1"/>
  <c r="I20" i="77" a="1"/>
  <c r="H24" i="77" a="1"/>
  <c r="H11" i="77" a="1"/>
  <c r="E26" i="77" a="1"/>
  <c r="O5" i="77" a="1"/>
  <c r="U7" i="73" a="1"/>
  <c r="U29" i="73" a="1"/>
  <c r="T27" i="73" a="1"/>
  <c r="T28" i="73" a="1"/>
  <c r="O19" i="73" a="1"/>
  <c r="J25" i="73" a="1"/>
  <c r="D20" i="73" a="1"/>
  <c r="T30" i="72" a="1"/>
  <c r="J26" i="72" a="1"/>
  <c r="D19" i="72" a="1"/>
  <c r="F21" i="70" a="1"/>
  <c r="D48" i="68" a="1"/>
  <c r="C44" i="68" a="1"/>
  <c r="C13" i="68" a="1"/>
  <c r="G5" i="70" a="1"/>
  <c r="E17" i="70" a="1"/>
  <c r="D23" i="70" a="1"/>
  <c r="C26" i="70" a="1"/>
  <c r="B30" i="70" a="1"/>
  <c r="N26" i="60" a="1"/>
  <c r="M19" i="60" a="1"/>
  <c r="K17" i="60" a="1"/>
  <c r="J23" i="60" a="1"/>
  <c r="H10" i="60" a="1"/>
  <c r="G27" i="60" a="1"/>
  <c r="E22" i="60" a="1"/>
  <c r="D18" i="60" a="1"/>
  <c r="C26" i="60" a="1"/>
  <c r="U26" i="65" a="1"/>
  <c r="T16" i="65" a="1"/>
  <c r="S16" i="65" a="1"/>
  <c r="P27" i="65" a="1"/>
  <c r="O12" i="65" a="1"/>
  <c r="N12" i="65" a="1"/>
  <c r="J12" i="65" a="1"/>
  <c r="H8" i="65" a="1"/>
  <c r="E6" i="65" a="1"/>
  <c r="D8" i="65" a="1"/>
  <c r="C27" i="65" a="1"/>
  <c r="O5" i="65" a="1"/>
  <c r="U9" i="76" a="1"/>
  <c r="T29" i="76" a="1"/>
  <c r="S14" i="76" a="1"/>
  <c r="P14" i="76" a="1"/>
  <c r="O23" i="76" a="1"/>
  <c r="N27" i="76" a="1"/>
  <c r="J30" i="76" a="1"/>
  <c r="I13" i="76" a="1"/>
  <c r="I18" i="76" a="1"/>
  <c r="H7" i="76" a="1"/>
  <c r="E23" i="76" a="1"/>
  <c r="D9" i="76" a="1"/>
  <c r="C19" i="76" a="1"/>
  <c r="C13" i="76" a="1"/>
  <c r="U7" i="77" a="1"/>
  <c r="U8" i="77" a="1"/>
  <c r="T18" i="77" a="1"/>
  <c r="S28" i="77" a="1"/>
  <c r="S21" i="77" a="1"/>
  <c r="P17" i="77" a="1"/>
  <c r="O7" i="77" a="1"/>
  <c r="O29" i="77" a="1"/>
  <c r="N10" i="77" a="1"/>
  <c r="J19" i="77" a="1"/>
  <c r="J23" i="77" a="1"/>
  <c r="I19" i="77" a="1"/>
  <c r="I10" i="77" a="1"/>
  <c r="H10" i="77" a="1"/>
  <c r="E12" i="77" a="1"/>
  <c r="E8" i="77" a="1"/>
  <c r="D17" i="77" a="1"/>
  <c r="D15" i="77" a="1"/>
  <c r="C9" i="77" a="1"/>
  <c r="C15" i="77" a="1"/>
  <c r="U6" i="73" a="1"/>
  <c r="U22" i="73" a="1"/>
  <c r="T13" i="73" a="1"/>
  <c r="T23" i="73" a="1"/>
  <c r="S17" i="73" a="1"/>
  <c r="S8" i="73" a="1"/>
  <c r="P29" i="73" a="1"/>
  <c r="O18" i="73" a="1"/>
  <c r="O10" i="73" a="1"/>
  <c r="N13" i="73" a="1"/>
  <c r="N15" i="73" a="1"/>
  <c r="J23" i="73" a="1"/>
  <c r="J13" i="73" a="1"/>
  <c r="I24" i="73" a="1"/>
  <c r="H20" i="73" a="1"/>
  <c r="H29" i="73" a="1"/>
  <c r="E9" i="73" a="1"/>
  <c r="E29" i="73" a="1"/>
  <c r="D30" i="73" a="1"/>
  <c r="D28" i="73" a="1"/>
  <c r="C9" i="73" a="1"/>
  <c r="T5" i="73" a="1"/>
  <c r="U7" i="72" a="1"/>
  <c r="U23" i="72" a="1"/>
  <c r="T6" i="72" a="1"/>
  <c r="T14" i="72" a="1"/>
  <c r="T23" i="72" a="1"/>
  <c r="S21" i="72" a="1"/>
  <c r="S23" i="72" a="1"/>
  <c r="P14" i="72" a="1"/>
  <c r="P16" i="72" a="1"/>
  <c r="O10" i="72" a="1"/>
  <c r="O13" i="72" a="1"/>
  <c r="N10" i="72" a="1"/>
  <c r="N30" i="72" a="1"/>
  <c r="J25" i="72" a="1"/>
  <c r="J9" i="72" a="1"/>
  <c r="I7" i="72" a="1"/>
  <c r="I20" i="72" a="1"/>
  <c r="H15" i="72" a="1"/>
  <c r="H18" i="72" a="1"/>
  <c r="E30" i="72" a="1"/>
  <c r="E16" i="72" a="1"/>
  <c r="D17" i="72" a="1"/>
  <c r="D28" i="72" a="1"/>
  <c r="C18" i="72" a="1"/>
  <c r="C20" i="72" a="1"/>
  <c r="T5" i="72" a="1"/>
  <c r="P28" i="76" a="1"/>
  <c r="T20" i="77" a="1"/>
  <c r="P7" i="77" a="1"/>
  <c r="O19" i="77" a="1"/>
  <c r="J8" i="77" a="1"/>
  <c r="I28" i="77" a="1"/>
  <c r="H6" i="77" a="1"/>
  <c r="E11" i="77" a="1"/>
  <c r="D27" i="77" a="1"/>
  <c r="U30" i="73" a="1"/>
  <c r="T14" i="73" a="1"/>
  <c r="S27" i="73" a="1"/>
  <c r="P12" i="73" a="1"/>
  <c r="O28" i="73" a="1"/>
  <c r="N25" i="73" a="1"/>
  <c r="I14" i="73" a="1"/>
  <c r="I25" i="73" a="1"/>
  <c r="H24" i="73" a="1"/>
  <c r="E24" i="73" a="1"/>
  <c r="C12" i="73" a="1"/>
  <c r="P5" i="73" a="1"/>
  <c r="T18" i="72" a="1"/>
  <c r="S10" i="72" a="1"/>
  <c r="P11" i="72" a="1"/>
  <c r="O25" i="72" a="1"/>
  <c r="N13" i="72" a="1"/>
  <c r="J16" i="72" a="1"/>
  <c r="H27" i="72" a="1"/>
  <c r="E13" i="72" a="1"/>
  <c r="D30" i="72" a="1"/>
  <c r="C30" i="72" a="1"/>
  <c r="P5" i="72" a="1"/>
  <c r="E19" i="77" a="1"/>
  <c r="P24" i="73" a="1"/>
  <c r="E10" i="73" a="1"/>
  <c r="N5" i="73" a="1"/>
  <c r="T21" i="72" a="1"/>
  <c r="J17" i="72" a="1"/>
  <c r="E23" i="72" a="1"/>
  <c r="C27" i="72" a="1"/>
  <c r="D32" i="68" a="1"/>
  <c r="C55" i="68" a="1"/>
  <c r="D19" i="70" a="1"/>
  <c r="C30" i="68" a="1"/>
  <c r="D29" i="68" a="1"/>
  <c r="E12" i="70" a="1"/>
  <c r="B9" i="70" a="1"/>
  <c r="O27" i="60" a="1"/>
  <c r="L25" i="60" a="1"/>
  <c r="H16" i="60" a="1"/>
  <c r="G15" i="60" a="1"/>
  <c r="D7" i="60" a="1"/>
  <c r="F5" i="60" a="1"/>
  <c r="T24" i="65" a="1"/>
  <c r="P15" i="65" a="1"/>
  <c r="N27" i="65" a="1"/>
  <c r="I28" i="65" a="1"/>
  <c r="H25" i="65" a="1"/>
  <c r="D13" i="65" a="1"/>
  <c r="U21" i="76" a="1"/>
  <c r="T19" i="76" a="1"/>
  <c r="P25" i="76" a="1"/>
  <c r="N25" i="76" a="1"/>
  <c r="J27" i="76" a="1"/>
  <c r="I17" i="76" a="1"/>
  <c r="E27" i="76" a="1"/>
  <c r="D18" i="76" a="1"/>
  <c r="J5" i="76" a="1"/>
  <c r="U11" i="77" a="1"/>
  <c r="S20" i="77" a="1"/>
  <c r="P9" i="77" a="1"/>
  <c r="O30" i="77" a="1"/>
  <c r="N25" i="77" a="1"/>
  <c r="J16" i="77" a="1"/>
  <c r="I26" i="77" a="1"/>
  <c r="H21" i="77" a="1"/>
  <c r="E29" i="77" a="1"/>
  <c r="D14" i="77" a="1"/>
  <c r="C26" i="77" a="1"/>
  <c r="E5" i="77" a="1"/>
  <c r="U23" i="73" a="1"/>
  <c r="T17" i="73" a="1"/>
  <c r="S28" i="73" a="1"/>
  <c r="P19" i="73" a="1"/>
  <c r="O17" i="73" a="1"/>
  <c r="N9" i="73" a="1"/>
  <c r="J11" i="73" a="1"/>
  <c r="I30" i="73" a="1"/>
  <c r="H13" i="73" a="1"/>
  <c r="E17" i="73" a="1"/>
  <c r="D21" i="73" a="1"/>
  <c r="C28" i="73" a="1"/>
  <c r="U6" i="72" a="1"/>
  <c r="U11" i="72" a="1"/>
  <c r="T22" i="72" a="1"/>
  <c r="S17" i="72" a="1"/>
  <c r="P29" i="72" a="1"/>
  <c r="O9" i="72" a="1"/>
  <c r="N20" i="72" a="1"/>
  <c r="N24" i="72" a="1"/>
  <c r="J11" i="72" a="1"/>
  <c r="I28" i="72" a="1"/>
  <c r="H22" i="72" a="1"/>
  <c r="E18" i="72" a="1"/>
  <c r="E17" i="72" a="1"/>
  <c r="D21" i="72" a="1"/>
  <c r="C14" i="72" a="1"/>
  <c r="D5" i="72" a="1"/>
  <c r="B15" i="70" a="1"/>
  <c r="D19" i="65" a="1"/>
  <c r="P7" i="76" a="1"/>
  <c r="H13" i="76" a="1"/>
  <c r="I5" i="76" a="1"/>
  <c r="P15" i="77" a="1"/>
  <c r="I9" i="77" a="1"/>
  <c r="C22" i="77" a="1"/>
  <c r="S23" i="73" a="1"/>
  <c r="N6" i="73" a="1"/>
  <c r="I10" i="73" a="1"/>
  <c r="D27" i="73" a="1"/>
  <c r="U20" i="72" a="1"/>
  <c r="S29" i="72" a="1"/>
  <c r="O15" i="72" a="1"/>
  <c r="J23" i="72" a="1"/>
  <c r="H28" i="72" a="1"/>
  <c r="D16" i="72" a="1"/>
  <c r="C11" i="65" a="1"/>
  <c r="S16" i="77" a="1"/>
  <c r="N26" i="77" a="1"/>
  <c r="H18" i="77" a="1"/>
  <c r="D10" i="77" a="1"/>
  <c r="U8" i="73" a="1"/>
  <c r="O12" i="73" a="1"/>
  <c r="I28" i="73" a="1"/>
  <c r="H8" i="73" a="1"/>
  <c r="D11" i="73" a="1"/>
  <c r="C11" i="73" a="1"/>
  <c r="T9" i="72" a="1"/>
  <c r="O27" i="72" a="1"/>
  <c r="J18" i="72" a="1"/>
  <c r="J29" i="72" a="1"/>
  <c r="E26" i="72" a="1"/>
  <c r="G22" i="70" a="1"/>
  <c r="B10" i="70" a="1"/>
  <c r="N19" i="60" a="1"/>
  <c r="D29" i="60" a="1"/>
  <c r="O9" i="65" a="1"/>
  <c r="E23" i="65" a="1"/>
  <c r="C17" i="65" a="1"/>
  <c r="O20" i="76" a="1"/>
  <c r="H27" i="76" a="1"/>
  <c r="E19" i="76" a="1"/>
  <c r="U18" i="77" a="1"/>
  <c r="O27" i="77" a="1"/>
  <c r="J17" i="77" a="1"/>
  <c r="H30" i="77" a="1"/>
  <c r="D29" i="77" a="1"/>
  <c r="P21" i="73" a="1"/>
  <c r="H14" i="73" a="1"/>
  <c r="C7" i="73" a="1"/>
  <c r="T16" i="72" a="1"/>
  <c r="N21" i="72" a="1"/>
  <c r="H29" i="72" a="1"/>
  <c r="C6" i="72" a="1"/>
  <c r="M23" i="60" a="1"/>
  <c r="F27" i="60" a="1"/>
  <c r="D12" i="60" a="1"/>
  <c r="U18" i="65" a="1"/>
  <c r="J21" i="65" a="1"/>
  <c r="I19" i="65" a="1"/>
  <c r="E12" i="65" a="1"/>
  <c r="S11" i="76" a="1"/>
  <c r="H22" i="76" a="1"/>
  <c r="C28" i="76" a="1"/>
  <c r="S30" i="77" a="1"/>
  <c r="N21" i="77" a="1"/>
  <c r="I17" i="77" a="1"/>
  <c r="D9" i="77" a="1"/>
  <c r="S15" i="73" a="1"/>
  <c r="O25" i="73" a="1"/>
  <c r="H16" i="73" a="1"/>
  <c r="C19" i="73" a="1"/>
  <c r="U16" i="72" a="1"/>
  <c r="J7" i="72" a="1"/>
  <c r="E15" i="72" a="1"/>
  <c r="C12" i="72" a="1"/>
  <c r="D15" i="70" a="1"/>
  <c r="J16" i="60" a="1"/>
  <c r="H22" i="65" a="1"/>
  <c r="S13" i="76" a="1"/>
  <c r="I21" i="76" a="1"/>
  <c r="D7" i="76" a="1"/>
  <c r="C11" i="76" a="1"/>
  <c r="T22" i="77" a="1"/>
  <c r="N11" i="77" a="1"/>
  <c r="I14" i="77" a="1"/>
  <c r="E23" i="77" a="1"/>
  <c r="U9" i="73" a="1"/>
  <c r="I27" i="73" a="1"/>
  <c r="E14" i="73" a="1"/>
  <c r="J5" i="73" a="1"/>
  <c r="P8" i="72" a="1"/>
  <c r="J13" i="72" a="1"/>
  <c r="I9" i="72" a="1"/>
  <c r="C23" i="72" a="1"/>
  <c r="D16" i="70" a="1"/>
  <c r="E16" i="60" a="1"/>
  <c r="U13" i="65" a="1"/>
  <c r="J6" i="76" a="1"/>
  <c r="T28" i="77" a="1"/>
  <c r="H25" i="77" a="1"/>
  <c r="C7" i="77" a="1"/>
  <c r="S19" i="73" a="1"/>
  <c r="H28" i="73" a="1"/>
  <c r="U17" i="72" a="1"/>
  <c r="I24" i="72" a="1"/>
  <c r="U5" i="72" a="1"/>
  <c r="C16" i="68" a="1"/>
  <c r="C5" i="70" a="1"/>
  <c r="O26" i="60" a="1"/>
  <c r="G21" i="60" a="1"/>
  <c r="U19" i="65" a="1"/>
  <c r="P14" i="65" a="1"/>
  <c r="O29" i="65" a="1"/>
  <c r="J23" i="65" a="1"/>
  <c r="C25" i="65" a="1"/>
  <c r="O10" i="76" a="1"/>
  <c r="I16" i="76" a="1"/>
  <c r="E7" i="76" a="1"/>
  <c r="C30" i="76" a="1"/>
  <c r="T29" i="77" a="1"/>
  <c r="N24" i="77" a="1"/>
  <c r="J7" i="77" a="1"/>
  <c r="I24" i="77" a="1"/>
  <c r="E6" i="77" a="1"/>
  <c r="N5" i="77" a="1"/>
  <c r="S20" i="73" a="1"/>
  <c r="O15" i="73" a="1"/>
  <c r="N26" i="73" a="1"/>
  <c r="I11" i="73" a="1"/>
  <c r="E22" i="73" a="1"/>
  <c r="C8" i="73" a="1"/>
  <c r="U9" i="72" a="1"/>
  <c r="P15" i="72" a="1"/>
  <c r="J15" i="72" a="1"/>
  <c r="E10" i="72" a="1"/>
  <c r="J5" i="72" a="1"/>
  <c r="C6" i="70" a="1"/>
  <c r="P20" i="65" a="1"/>
  <c r="N30" i="77" a="1"/>
  <c r="S9" i="73" a="1"/>
  <c r="E5" i="73" a="1"/>
  <c r="O24" i="72" a="1"/>
  <c r="D39" i="68" a="1"/>
  <c r="F8" i="70" a="1"/>
  <c r="L12" i="60" a="1"/>
  <c r="J17" i="60" a="1"/>
  <c r="G20" i="60" a="1"/>
  <c r="O5" i="60" a="1"/>
  <c r="J6" i="65" a="1"/>
  <c r="D30" i="65" a="1"/>
  <c r="T21" i="76" a="1"/>
  <c r="I14" i="76" a="1"/>
  <c r="E9" i="76" a="1"/>
  <c r="U22" i="77" a="1"/>
  <c r="O18" i="77" a="1"/>
  <c r="J21" i="77" a="1"/>
  <c r="H9" i="77" a="1"/>
  <c r="E15" i="77" a="1"/>
  <c r="D24" i="77" a="1"/>
  <c r="I5" i="77" a="1"/>
  <c r="U25" i="73" a="1"/>
  <c r="O27" i="73" a="1"/>
  <c r="I22" i="73" a="1"/>
  <c r="H17" i="73" a="1"/>
  <c r="D9" i="73" a="1"/>
  <c r="C26" i="73" a="1"/>
  <c r="S26" i="72" a="1"/>
  <c r="O30" i="72" a="1"/>
  <c r="J10" i="72" a="1"/>
  <c r="I16" i="72" a="1"/>
  <c r="E6" i="72" a="1"/>
  <c r="H5" i="72" a="1"/>
  <c r="C36" i="68" a="1"/>
  <c r="C29" i="68" a="1"/>
  <c r="E19" i="70" a="1"/>
  <c r="N20" i="60" a="1"/>
  <c r="L8" i="60" a="1"/>
  <c r="H17" i="60" a="1"/>
  <c r="F24" i="60" a="1"/>
  <c r="D19" i="60" a="1"/>
  <c r="T30" i="65" a="1"/>
  <c r="P21" i="65" a="1"/>
  <c r="N23" i="65" a="1"/>
  <c r="I11" i="65" a="1"/>
  <c r="E17" i="65" a="1"/>
  <c r="U10" i="76" a="1"/>
  <c r="J16" i="76" a="1"/>
  <c r="U17" i="77" a="1"/>
  <c r="O20" i="77" a="1"/>
  <c r="H27" i="77" a="1"/>
  <c r="U19" i="73" a="1"/>
  <c r="H25" i="73" a="1"/>
  <c r="T17" i="72" a="1"/>
  <c r="J6" i="72" a="1"/>
  <c r="E24" i="72" a="1"/>
  <c r="C10" i="72" a="1"/>
  <c r="O8" i="76" a="1"/>
  <c r="P27" i="77" a="1"/>
  <c r="E22" i="77" a="1"/>
  <c r="T24" i="73" a="1"/>
  <c r="J14" i="73" a="1"/>
  <c r="D22" i="73" a="1"/>
  <c r="S8" i="72" a="1"/>
  <c r="C29" i="72" a="1"/>
  <c r="F13" i="60" a="1"/>
  <c r="U30" i="76" a="1"/>
  <c r="U20" i="73" a="1"/>
  <c r="T11" i="72" a="1"/>
  <c r="E9" i="72" a="1"/>
  <c r="C38" i="68" a="1"/>
  <c r="S27" i="65" a="1"/>
  <c r="C12" i="65" a="1"/>
  <c r="N16" i="76" a="1"/>
  <c r="D6" i="76" a="1"/>
  <c r="P28" i="77" a="1"/>
  <c r="C18" i="77" a="1"/>
  <c r="J26" i="73" a="1"/>
  <c r="S30" i="72" a="1"/>
  <c r="I29" i="72" a="1"/>
  <c r="B24" i="70" a="1"/>
  <c r="G7" i="60" a="1"/>
  <c r="E10" i="60" a="1"/>
  <c r="O21" i="65" a="1"/>
  <c r="C7" i="65" a="1"/>
  <c r="N12" i="76" a="1"/>
  <c r="S7" i="77" a="1"/>
  <c r="C6" i="77" a="1"/>
  <c r="O14" i="73" a="1"/>
  <c r="T13" i="72" a="1"/>
  <c r="C25" i="72" a="1"/>
  <c r="O12" i="60" a="1"/>
  <c r="H11" i="65" a="1"/>
  <c r="H7" i="77" a="1"/>
  <c r="H19" i="73" a="1"/>
  <c r="O18" i="72" a="1"/>
  <c r="F23" i="70" a="1"/>
  <c r="L6" i="60" a="1"/>
  <c r="G8" i="60" a="1"/>
  <c r="U25" i="65" a="1"/>
  <c r="D23" i="65" a="1"/>
  <c r="J18" i="76" a="1"/>
  <c r="T19" i="77" a="1"/>
  <c r="E25" i="77" a="1"/>
  <c r="T16" i="73" a="1"/>
  <c r="I29" i="73" a="1"/>
  <c r="C20" i="73" a="1"/>
  <c r="S20" i="72" a="1"/>
  <c r="J27" i="72" a="1"/>
  <c r="D27" i="72" a="1"/>
  <c r="P26" i="65" a="1"/>
  <c r="O30" i="76" a="1"/>
  <c r="N7" i="77" a="1"/>
  <c r="T8" i="73" a="1"/>
  <c r="E18" i="73" a="1"/>
  <c r="P19" i="72" a="1"/>
  <c r="H26" i="72" a="1"/>
  <c r="C43" i="68" a="1"/>
  <c r="D3" i="68" a="1"/>
  <c r="E25" i="70" a="1"/>
  <c r="B21" i="70" a="1"/>
  <c r="N30" i="60" a="1"/>
  <c r="K28" i="60" a="1"/>
  <c r="H12" i="60" a="1"/>
  <c r="F30" i="60" a="1"/>
  <c r="D25" i="60" a="1"/>
  <c r="D5" i="60" a="1"/>
  <c r="T7" i="65" a="1"/>
  <c r="O20" i="65" a="1"/>
  <c r="N29" i="65" a="1"/>
  <c r="I17" i="65" a="1"/>
  <c r="E18" i="65" a="1"/>
  <c r="C14" i="65" a="1"/>
  <c r="U22" i="76" a="1"/>
  <c r="S18" i="76" a="1"/>
  <c r="P8" i="76" a="1"/>
  <c r="N9" i="76" a="1"/>
  <c r="J17" i="76" a="1"/>
  <c r="H20" i="76" a="1"/>
  <c r="E28" i="76" a="1"/>
  <c r="D24" i="76" a="1"/>
  <c r="H5" i="76" a="1"/>
  <c r="T21" i="77" a="1"/>
  <c r="S27" i="77" a="1"/>
  <c r="P21" i="77" a="1"/>
  <c r="O9" i="77" a="1"/>
  <c r="N9" i="77" a="1"/>
  <c r="J28" i="77" a="1"/>
  <c r="I15" i="77" a="1"/>
  <c r="H17" i="77" a="1"/>
  <c r="E27" i="77" a="1"/>
  <c r="D26" i="77" a="1"/>
  <c r="C23" i="77" a="1"/>
  <c r="C5" i="77" a="1"/>
  <c r="T6" i="73" a="1"/>
  <c r="S24" i="73" a="1"/>
  <c r="P9" i="73" a="1"/>
  <c r="O6" i="73" a="1"/>
  <c r="N18" i="73" a="1"/>
  <c r="J8" i="73" a="1"/>
  <c r="J24" i="73" a="1"/>
  <c r="I18" i="73" a="1"/>
  <c r="E6" i="73" a="1"/>
  <c r="D16" i="73" a="1"/>
  <c r="D10" i="73" a="1"/>
  <c r="C14" i="73" a="1"/>
  <c r="U26" i="72" a="1"/>
  <c r="U30" i="72" a="1"/>
  <c r="T29" i="72" a="1"/>
  <c r="S19" i="72" a="1"/>
  <c r="P10" i="72" a="1"/>
  <c r="O21" i="72" a="1"/>
  <c r="N9" i="72" a="1"/>
  <c r="J12" i="72" a="1"/>
  <c r="J30" i="72" a="1"/>
  <c r="I23" i="72" a="1"/>
  <c r="H11" i="72" a="1"/>
  <c r="E20" i="72" a="1"/>
  <c r="D13" i="72" a="1"/>
  <c r="D23" i="72" a="1"/>
  <c r="C11" i="72" a="1"/>
  <c r="N6" i="65" a="1"/>
  <c r="C5" i="76" a="1"/>
  <c r="J11" i="77" a="1"/>
  <c r="S30" i="73" a="1"/>
  <c r="E13" i="73" a="1"/>
  <c r="P22" i="72" a="1"/>
  <c r="D18" i="72" a="1"/>
  <c r="S21" i="65" a="1"/>
  <c r="N30" i="76" a="1"/>
  <c r="S18" i="77" a="1"/>
  <c r="T30" i="73" a="1"/>
  <c r="C29" i="73" a="1"/>
  <c r="I6" i="72" a="1"/>
  <c r="G28" i="70" a="1"/>
  <c r="K26" i="60" a="1"/>
  <c r="P23" i="72" a="1"/>
  <c r="D17" i="68" a="1"/>
  <c r="U30" i="65" a="1"/>
  <c r="P24" i="77" a="1"/>
  <c r="S16" i="73" a="1"/>
  <c r="S13" i="72" a="1"/>
  <c r="E21" i="72" a="1"/>
  <c r="J22" i="60" a="1"/>
  <c r="J17" i="65" a="1"/>
  <c r="C19" i="65" a="1"/>
  <c r="O15" i="76" a="1"/>
  <c r="D25" i="76" a="1"/>
  <c r="U15" i="77" a="1"/>
  <c r="O17" i="77" a="1"/>
  <c r="J6" i="77" a="1"/>
  <c r="D6" i="77" a="1"/>
  <c r="T19" i="73" a="1"/>
  <c r="I16" i="73" a="1"/>
  <c r="T19" i="72" a="1"/>
  <c r="H19" i="72" a="1"/>
  <c r="C8" i="60" a="1"/>
  <c r="D17" i="65" a="1"/>
  <c r="D20" i="76" a="1"/>
  <c r="D12" i="77" a="1"/>
  <c r="J10" i="73" a="1"/>
  <c r="T25" i="72" a="1"/>
  <c r="H25" i="72" a="1"/>
  <c r="J11" i="60" a="1"/>
  <c r="C20" i="60" a="1"/>
  <c r="N20" i="65" a="1"/>
  <c r="T15" i="76" a="1"/>
  <c r="O6" i="77" a="1"/>
  <c r="U27" i="73" a="1"/>
  <c r="J16" i="73" a="1"/>
  <c r="H11" i="73" a="1"/>
  <c r="U21" i="72" a="1"/>
  <c r="N6" i="72" a="1"/>
  <c r="I21" i="72" a="1"/>
  <c r="E29" i="72" a="1"/>
  <c r="U8" i="65" a="1"/>
  <c r="P13" i="76" a="1"/>
  <c r="T25" i="77" a="1"/>
  <c r="C14" i="77" a="1"/>
  <c r="N22" i="73" a="1"/>
  <c r="D5" i="73" a="1"/>
  <c r="N12" i="72" a="1"/>
  <c r="C49" i="68" a="1"/>
  <c r="C3" i="68" a="1"/>
  <c r="D5" i="70" a="1"/>
  <c r="B27" i="70" a="1"/>
  <c r="N13" i="60" a="1"/>
  <c r="K11" i="60" a="1"/>
  <c r="H15" i="60" a="1"/>
  <c r="F7" i="60" a="1"/>
  <c r="D17" i="60" a="1"/>
  <c r="C5" i="60" a="1"/>
  <c r="S9" i="65" a="1"/>
  <c r="O26" i="65" a="1"/>
  <c r="I23" i="65" a="1"/>
  <c r="E24" i="65" a="1"/>
  <c r="S25" i="76" a="1"/>
  <c r="N15" i="76" a="1"/>
  <c r="J28" i="76" a="1"/>
  <c r="H9" i="76" a="1"/>
  <c r="E14" i="76" a="1"/>
  <c r="C6" i="76" a="1"/>
  <c r="T27" i="77" a="1"/>
  <c r="O21" i="77" a="1"/>
  <c r="I21" i="77" a="1"/>
  <c r="C29" i="77" a="1"/>
  <c r="N24" i="73" a="1"/>
  <c r="U15" i="72" a="1"/>
  <c r="H23" i="72" a="1"/>
  <c r="H21" i="60" a="1"/>
  <c r="J9" i="65" a="1"/>
  <c r="J15" i="76" a="1"/>
  <c r="P10" i="77" a="1"/>
  <c r="S26" i="73" a="1"/>
  <c r="P17" i="72" a="1"/>
  <c r="D17" i="70" a="1"/>
  <c r="H27" i="60" a="1"/>
  <c r="O15" i="65" a="1"/>
  <c r="O26" i="76" a="1"/>
  <c r="U24" i="77" a="1"/>
  <c r="E28" i="77" a="1"/>
  <c r="N28" i="73" a="1"/>
  <c r="O23" i="72" a="1"/>
  <c r="M29" i="60" a="1"/>
  <c r="S10" i="65" a="1"/>
  <c r="O9" i="76" a="1"/>
  <c r="U30" i="77" a="1"/>
  <c r="H14" i="77" a="1"/>
  <c r="P10" i="73" a="1"/>
  <c r="U22" i="72" a="1"/>
  <c r="D14" i="72" a="1"/>
  <c r="D23" i="68" a="1"/>
  <c r="G11" i="60" a="1"/>
  <c r="O27" i="65" a="1"/>
  <c r="T26" i="76" a="1"/>
  <c r="H11" i="76" a="1"/>
  <c r="C29" i="76" a="1"/>
  <c r="P30" i="77" a="1"/>
  <c r="C17" i="77" a="1"/>
  <c r="O9" i="73" a="1"/>
  <c r="C23" i="73" a="1"/>
  <c r="P24" i="72" a="1"/>
  <c r="D20" i="72" a="1"/>
  <c r="M13" i="60" a="1"/>
  <c r="T9" i="76" a="1"/>
  <c r="S19" i="77" a="1"/>
  <c r="T7" i="73" a="1"/>
  <c r="I30" i="72" a="1"/>
  <c r="C22" i="68" a="1"/>
  <c r="E15" i="60" a="1"/>
  <c r="P30" i="76" a="1"/>
  <c r="C7" i="76" a="1"/>
  <c r="I30" i="77" a="1"/>
  <c r="P30" i="73" a="1"/>
  <c r="E28" i="73" a="1"/>
  <c r="P13" i="72" a="1"/>
  <c r="H20" i="72" a="1"/>
  <c r="I5" i="72" a="1"/>
  <c r="O15" i="60" a="1"/>
  <c r="N26" i="65" a="1"/>
  <c r="U6" i="76" a="1"/>
  <c r="C8" i="76" a="1"/>
  <c r="I29" i="77" a="1"/>
  <c r="P7" i="73" a="1"/>
  <c r="T27" i="72" a="1"/>
  <c r="C22" i="72" a="1"/>
  <c r="N30" i="73" a="1"/>
  <c r="B16" i="70" a="1"/>
  <c r="I12" i="76" a="1"/>
  <c r="O10" i="77" a="1"/>
  <c r="T10" i="73" a="1"/>
  <c r="D6" i="73" a="1"/>
  <c r="S16" i="72" a="1"/>
  <c r="H6" i="72" a="1"/>
  <c r="C6" i="60" a="1"/>
  <c r="H28" i="76" a="1"/>
  <c r="I12" i="77" a="1"/>
  <c r="J9" i="73" a="1"/>
  <c r="O29" i="72" a="1"/>
  <c r="C29" i="60" a="1"/>
  <c r="H28" i="65" a="1"/>
  <c r="I10" i="76" a="1"/>
  <c r="I18" i="77" a="1"/>
  <c r="D18" i="73" a="1"/>
  <c r="C21" i="72" a="1"/>
  <c r="E9" i="60" a="1"/>
  <c r="P24" i="76" a="1"/>
  <c r="P13" i="77" a="1"/>
  <c r="U21" i="73" a="1"/>
  <c r="D24" i="73" a="1"/>
  <c r="P30" i="72" a="1"/>
  <c r="C16" i="72" a="1"/>
  <c r="D50" i="68" a="1"/>
  <c r="H29" i="65" a="1"/>
  <c r="I23" i="76" a="1"/>
  <c r="S25" i="77" a="1"/>
  <c r="C8" i="77" a="1"/>
  <c r="O21" i="73" a="1"/>
  <c r="D8" i="73" a="1"/>
  <c r="O8" i="72" a="1"/>
  <c r="C17" i="72" a="1"/>
  <c r="C28" i="68" a="1"/>
  <c r="E21" i="60" a="1"/>
  <c r="H13" i="65" a="1"/>
  <c r="J24" i="76" a="1"/>
  <c r="S9" i="77" a="1"/>
  <c r="S21" i="73" a="1"/>
  <c r="U10" i="72" a="1"/>
  <c r="E19" i="72" a="1"/>
  <c r="D36" i="68" a="1"/>
  <c r="C23" i="68" a="1"/>
  <c r="F14" i="70" a="1"/>
  <c r="C14" i="70" a="1"/>
  <c r="O21" i="60" a="1"/>
  <c r="L19" i="60" a="1"/>
  <c r="H19" i="60" a="1"/>
  <c r="G26" i="60" a="1"/>
  <c r="E27" i="60" a="1"/>
  <c r="G5" i="60" a="1"/>
  <c r="T27" i="65" a="1"/>
  <c r="P9" i="65" a="1"/>
  <c r="N9" i="65" a="1"/>
  <c r="I15" i="65" a="1"/>
  <c r="H19" i="65" a="1"/>
  <c r="D7" i="65" a="1"/>
  <c r="U25" i="76" a="1"/>
  <c r="T16" i="76" a="1"/>
  <c r="P19" i="76" a="1"/>
  <c r="O25" i="76" a="1"/>
  <c r="J20" i="76" a="1"/>
  <c r="I27" i="76" a="1"/>
  <c r="E21" i="76" a="1"/>
  <c r="D29" i="76" a="1"/>
  <c r="C17" i="76" a="1"/>
  <c r="U28" i="77" a="1"/>
  <c r="T17" i="77" a="1"/>
  <c r="P26" i="77" a="1"/>
  <c r="O24" i="77" a="1"/>
  <c r="N19" i="77" a="1"/>
  <c r="J10" i="77" a="1"/>
  <c r="I13" i="77" a="1"/>
  <c r="H15" i="77" a="1"/>
  <c r="E10" i="77" a="1"/>
  <c r="D25" i="77" a="1"/>
  <c r="C20" i="77" a="1"/>
  <c r="H5" i="77" a="1"/>
  <c r="U14" i="73" a="1"/>
  <c r="T20" i="73" a="1"/>
  <c r="S10" i="73" a="1"/>
  <c r="P13" i="73" a="1"/>
  <c r="O29" i="73" a="1"/>
  <c r="N29" i="73" a="1"/>
  <c r="J28" i="73" a="1"/>
  <c r="I7" i="73" a="1"/>
  <c r="H23" i="73" a="1"/>
  <c r="E30" i="73" a="1"/>
  <c r="D15" i="73" a="1"/>
  <c r="C22" i="73" a="1"/>
  <c r="C5" i="73" a="1"/>
  <c r="U28" i="72" a="1"/>
  <c r="T10" i="72" a="1"/>
  <c r="S9" i="72" a="1"/>
  <c r="P25" i="72" a="1"/>
  <c r="O20" i="72" a="1"/>
  <c r="N14" i="72" a="1"/>
  <c r="N18" i="72" a="1"/>
  <c r="J22" i="72" a="1"/>
  <c r="I22" i="72" a="1"/>
  <c r="H9" i="72" a="1"/>
  <c r="E12" i="72" a="1"/>
  <c r="E14" i="72" a="1"/>
  <c r="D15" i="72" a="1"/>
  <c r="C7" i="72" a="1"/>
  <c r="E5" i="72" a="1"/>
  <c r="E5" i="60" a="1"/>
  <c r="T25" i="76" a="1"/>
  <c r="N26" i="76" a="1"/>
  <c r="E10" i="76" a="1"/>
  <c r="D14" i="76" a="1"/>
  <c r="S15" i="77" a="1"/>
  <c r="N13" i="77" a="1"/>
  <c r="J22" i="77" a="1"/>
  <c r="E7" i="77" a="1"/>
  <c r="D20" i="77" a="1"/>
  <c r="D5" i="77" a="1"/>
  <c r="S18" i="73" a="1"/>
  <c r="P25" i="73" a="1"/>
  <c r="J19" i="73" a="1"/>
  <c r="J18" i="73" a="1"/>
  <c r="E23" i="73" a="1"/>
  <c r="C17" i="73" a="1"/>
  <c r="U18" i="72" a="1"/>
  <c r="P7" i="72" a="1"/>
  <c r="N26" i="72" a="1"/>
  <c r="I11" i="72" a="1"/>
  <c r="D6" i="72" a="1"/>
  <c r="C5" i="72" a="1"/>
  <c r="U11" i="76" a="1"/>
  <c r="P15" i="73" a="1"/>
  <c r="T28" i="72" a="1"/>
  <c r="N15" i="72" a="1"/>
  <c r="I8" i="72" a="1"/>
  <c r="D22" i="72" a="1"/>
  <c r="C32" i="68" a="1"/>
  <c r="D11" i="70" a="1"/>
  <c r="K20" i="60" a="1"/>
  <c r="U6" i="65" a="1"/>
  <c r="I29" i="65" a="1"/>
  <c r="S16" i="76" a="1"/>
  <c r="C12" i="76" a="1"/>
  <c r="T10" i="77" a="1"/>
  <c r="N15" i="77" a="1"/>
  <c r="I27" i="77" a="1"/>
  <c r="E21" i="77" a="1"/>
  <c r="C12" i="77" a="1"/>
  <c r="O7" i="73" a="1"/>
  <c r="J20" i="73" a="1"/>
  <c r="I17" i="73" a="1"/>
  <c r="E7" i="73" a="1"/>
  <c r="D17" i="73" a="1"/>
  <c r="U27" i="72" a="1"/>
  <c r="S15" i="72" a="1"/>
  <c r="O17" i="72" a="1"/>
  <c r="J24" i="72" a="1"/>
  <c r="I14" i="72" a="1"/>
  <c r="D25" i="72" a="1"/>
  <c r="C8" i="72" a="1"/>
  <c r="U23" i="76" a="1"/>
  <c r="T16" i="77" a="1"/>
  <c r="I6" i="77" a="1"/>
  <c r="H13" i="77" a="1"/>
  <c r="U26" i="73" a="1"/>
  <c r="P27" i="73" a="1"/>
  <c r="I12" i="73" a="1"/>
  <c r="E8" i="73" a="1"/>
  <c r="U5" i="73" a="1"/>
  <c r="T7" i="72" a="1"/>
  <c r="N27" i="72" a="1"/>
  <c r="I12" i="72" a="1"/>
  <c r="D8" i="72" a="1"/>
  <c r="C28" i="72" a="1"/>
  <c r="F16" i="70" a="1"/>
  <c r="J11" i="65" a="1"/>
  <c r="E13" i="65" a="1"/>
  <c r="T8" i="76" a="1"/>
  <c r="O28" i="77" a="1"/>
  <c r="C24" i="77" a="1"/>
  <c r="T11" i="73" a="1"/>
  <c r="N8" i="73" a="1"/>
  <c r="H22" i="73" a="1"/>
  <c r="D12" i="73" a="1"/>
  <c r="C25" i="73" a="1"/>
  <c r="S28" i="72" a="1"/>
  <c r="N17" i="72" a="1"/>
  <c r="I18" i="72" a="1"/>
  <c r="H12" i="72" a="1"/>
  <c r="F22" i="70" a="1"/>
  <c r="M7" i="60" a="1"/>
  <c r="S7" i="65" a="1"/>
  <c r="E25" i="65" a="1"/>
  <c r="S21" i="76" a="1"/>
  <c r="S13" i="77" a="1"/>
  <c r="H19" i="77" a="1"/>
  <c r="U15" i="73" a="1"/>
  <c r="P22" i="73" a="1"/>
  <c r="N20" i="73" a="1"/>
  <c r="J15" i="73" a="1"/>
  <c r="E16" i="73" a="1"/>
  <c r="I5" i="73" a="1"/>
  <c r="S7" i="72" a="1"/>
  <c r="P20" i="72" a="1"/>
  <c r="O12" i="72" a="1"/>
  <c r="N23" i="72" a="1"/>
  <c r="J19" i="72" a="1"/>
  <c r="H8" i="72" a="1"/>
  <c r="E27" i="72" a="1"/>
  <c r="F5" i="70" a="1"/>
  <c r="J28" i="60" a="1"/>
  <c r="J12" i="76" a="1"/>
  <c r="U27" i="77" a="1"/>
  <c r="C13" i="77" a="1"/>
  <c r="P28" i="73" a="1"/>
  <c r="H5" i="73" a="1"/>
  <c r="S14" i="72" a="1"/>
  <c r="N29" i="72" a="1"/>
  <c r="H14" i="72" a="1"/>
  <c r="D26" i="72" a="1"/>
  <c r="O9" i="60" a="1"/>
  <c r="J29" i="65" a="1"/>
  <c r="U5" i="65" a="1"/>
  <c r="O24" i="76" a="1"/>
  <c r="E20" i="76" a="1"/>
  <c r="D26" i="76" a="1"/>
  <c r="U16" i="77" a="1"/>
  <c r="J13" i="77" a="1"/>
  <c r="H8" i="77" a="1"/>
  <c r="D18" i="77" a="1"/>
  <c r="J5" i="77" a="1"/>
  <c r="N21" i="73" a="1"/>
  <c r="T8" i="72" a="1"/>
  <c r="H17" i="72" a="1"/>
  <c r="C30" i="70" a="1"/>
  <c r="D11" i="76" a="1"/>
  <c r="J22" i="73" a="1"/>
  <c r="O14" i="72" a="1"/>
  <c r="D10" i="72" a="1"/>
  <c r="D67" i="68" l="1"/>
  <c r="D106" i="68"/>
  <c r="D110" i="68"/>
  <c r="D145" i="68"/>
  <c r="D75" i="68"/>
  <c r="D100" i="68"/>
  <c r="D127" i="68"/>
  <c r="D139" i="68"/>
  <c r="D69" i="68"/>
  <c r="D98" i="68"/>
  <c r="C115" i="68"/>
  <c r="C136" i="68"/>
  <c r="C77" i="68"/>
  <c r="C85" i="68"/>
  <c r="D88" i="68"/>
  <c r="C118" i="68"/>
  <c r="C139" i="68"/>
  <c r="C71" i="68"/>
  <c r="D57" i="68"/>
  <c r="C62" i="68"/>
  <c r="D68" i="68"/>
  <c r="C93" i="68"/>
  <c r="D93" i="68"/>
  <c r="C114" i="68"/>
  <c r="D120" i="68"/>
  <c r="C145" i="68"/>
  <c r="C140" i="68"/>
  <c r="C60" i="68"/>
  <c r="C56" i="68"/>
  <c r="D62" i="68"/>
  <c r="C87" i="68"/>
  <c r="D87" i="68"/>
  <c r="C108" i="68"/>
  <c r="D114" i="68"/>
  <c r="C150" i="68"/>
  <c r="C134" i="68"/>
  <c r="C61" i="68"/>
  <c r="D78" i="68"/>
  <c r="D56" i="68"/>
  <c r="C104" i="68"/>
  <c r="D92" i="68"/>
  <c r="D128" i="68"/>
  <c r="C156" i="68"/>
  <c r="D137" i="68"/>
  <c r="C79" i="68"/>
  <c r="C58" i="68"/>
  <c r="D79" i="68"/>
  <c r="D70" i="68"/>
  <c r="C81" i="68"/>
  <c r="C89" i="68"/>
  <c r="C98" i="68"/>
  <c r="D89" i="68"/>
  <c r="D103" i="68"/>
  <c r="C116" i="68"/>
  <c r="C125" i="68"/>
  <c r="D122" i="68"/>
  <c r="D131" i="68"/>
  <c r="C138" i="68"/>
  <c r="C155" i="68"/>
  <c r="D157" i="68"/>
  <c r="D154" i="68"/>
  <c r="D58" i="68"/>
  <c r="C86" i="68"/>
  <c r="C113" i="68"/>
  <c r="C148" i="68"/>
  <c r="C57" i="68"/>
  <c r="C100" i="68"/>
  <c r="C121" i="68"/>
  <c r="D113" i="68"/>
  <c r="C72" i="68"/>
  <c r="C91" i="68"/>
  <c r="D94" i="68"/>
  <c r="D121" i="68"/>
  <c r="D156" i="68"/>
  <c r="D63" i="68"/>
  <c r="D86" i="68"/>
  <c r="C109" i="68"/>
  <c r="D124" i="68"/>
  <c r="D150" i="68"/>
  <c r="D60" i="68"/>
  <c r="C76" i="68"/>
  <c r="D65" i="68"/>
  <c r="C84" i="68"/>
  <c r="D84" i="68"/>
  <c r="C111" i="68"/>
  <c r="D117" i="68"/>
  <c r="D133" i="68"/>
  <c r="D149" i="68"/>
  <c r="C70" i="68"/>
  <c r="D59" i="68"/>
  <c r="C101" i="68"/>
  <c r="D101" i="68"/>
  <c r="C128" i="68"/>
  <c r="D111" i="68"/>
  <c r="C151" i="68"/>
  <c r="D143" i="68"/>
  <c r="C64" i="68"/>
  <c r="D76" i="68"/>
  <c r="C95" i="68"/>
  <c r="D95" i="68"/>
  <c r="C122" i="68"/>
  <c r="C131" i="68"/>
  <c r="D108" i="68"/>
  <c r="C144" i="68"/>
  <c r="D142" i="68"/>
  <c r="C78" i="68"/>
  <c r="C75" i="68"/>
  <c r="D73" i="68"/>
  <c r="D64" i="68"/>
  <c r="D81" i="68"/>
  <c r="C83" i="68"/>
  <c r="C92" i="68"/>
  <c r="D83" i="68"/>
  <c r="D97" i="68"/>
  <c r="C110" i="68"/>
  <c r="C119" i="68"/>
  <c r="D116" i="68"/>
  <c r="D125" i="68"/>
  <c r="C149" i="68"/>
  <c r="C143" i="68"/>
  <c r="D151" i="68"/>
  <c r="D148" i="68"/>
  <c r="D136" i="68"/>
  <c r="D153" i="68"/>
  <c r="D147" i="68"/>
  <c r="D141" i="68"/>
  <c r="D135" i="68"/>
  <c r="C63" i="68"/>
  <c r="C103" i="68"/>
  <c r="D91" i="68"/>
  <c r="D119" i="68"/>
  <c r="C73" i="68"/>
  <c r="C97" i="68"/>
  <c r="D85" i="68"/>
  <c r="C142" i="68"/>
  <c r="D72" i="68"/>
  <c r="C107" i="68"/>
  <c r="D130" i="68"/>
  <c r="D66" i="68"/>
  <c r="D158" i="68"/>
  <c r="C69" i="68"/>
  <c r="C106" i="68"/>
  <c r="C127" i="68"/>
  <c r="C154" i="68"/>
  <c r="D61" i="68"/>
  <c r="D104" i="68"/>
  <c r="C130" i="68"/>
  <c r="C147" i="68"/>
  <c r="C67" i="68"/>
  <c r="C94" i="68"/>
  <c r="C124" i="68"/>
  <c r="C141" i="68"/>
  <c r="C66" i="68"/>
  <c r="C88" i="68"/>
  <c r="D107" i="68"/>
  <c r="D115" i="68"/>
  <c r="C135" i="68"/>
  <c r="C80" i="68"/>
  <c r="C102" i="68"/>
  <c r="C82" i="68"/>
  <c r="D102" i="68"/>
  <c r="D82" i="68"/>
  <c r="C129" i="68"/>
  <c r="C132" i="68"/>
  <c r="C112" i="68"/>
  <c r="D109" i="68"/>
  <c r="D118" i="68"/>
  <c r="C153" i="68"/>
  <c r="C158" i="68"/>
  <c r="D144" i="68"/>
  <c r="C65" i="68"/>
  <c r="C74" i="68"/>
  <c r="D77" i="68"/>
  <c r="D80" i="68"/>
  <c r="C96" i="68"/>
  <c r="C105" i="68"/>
  <c r="D96" i="68"/>
  <c r="D105" i="68"/>
  <c r="C123" i="68"/>
  <c r="C126" i="68"/>
  <c r="D129" i="68"/>
  <c r="D132" i="68"/>
  <c r="D112" i="68"/>
  <c r="C137" i="68"/>
  <c r="C152" i="68"/>
  <c r="D138" i="68"/>
  <c r="C59" i="68"/>
  <c r="C68" i="68"/>
  <c r="D71" i="68"/>
  <c r="D74" i="68"/>
  <c r="C90" i="68"/>
  <c r="C99" i="68"/>
  <c r="D90" i="68"/>
  <c r="D99" i="68"/>
  <c r="C117" i="68"/>
  <c r="C120" i="68"/>
  <c r="D123" i="68"/>
  <c r="D126" i="68"/>
  <c r="C133" i="68"/>
  <c r="C157" i="68"/>
  <c r="C146" i="68"/>
  <c r="D155" i="68"/>
  <c r="D152" i="68"/>
  <c r="D146" i="68"/>
  <c r="D140" i="68"/>
  <c r="D134" i="68"/>
  <c r="D33" i="68"/>
  <c r="D44" i="68"/>
  <c r="D32" i="68"/>
  <c r="D49" i="68"/>
  <c r="D37" i="68"/>
  <c r="D31" i="68"/>
  <c r="D54" i="68"/>
  <c r="D48" i="68"/>
  <c r="D36" i="68"/>
  <c r="D53" i="68"/>
  <c r="D47" i="68"/>
  <c r="D41" i="68"/>
  <c r="D35" i="68"/>
  <c r="D52" i="68"/>
  <c r="D46" i="68"/>
  <c r="D40" i="68"/>
  <c r="D34" i="68"/>
  <c r="D45" i="68"/>
  <c r="D51" i="68"/>
  <c r="D39" i="68"/>
  <c r="D50" i="68"/>
  <c r="D38" i="68"/>
  <c r="D43" i="68"/>
  <c r="D42" i="68"/>
  <c r="D30" i="68"/>
  <c r="C51" i="68"/>
  <c r="C45" i="68"/>
  <c r="C39" i="68"/>
  <c r="C33" i="68"/>
  <c r="C50" i="68"/>
  <c r="C44" i="68"/>
  <c r="C38" i="68"/>
  <c r="C32" i="68"/>
  <c r="C49" i="68"/>
  <c r="C43" i="68"/>
  <c r="C37" i="68"/>
  <c r="C31" i="68"/>
  <c r="C54" i="68"/>
  <c r="C48" i="68"/>
  <c r="C42" i="68"/>
  <c r="C36" i="68"/>
  <c r="C30" i="68"/>
  <c r="C53" i="68"/>
  <c r="C47" i="68"/>
  <c r="C41" i="68"/>
  <c r="C35" i="68"/>
  <c r="C52" i="68"/>
  <c r="C46" i="68"/>
  <c r="C40" i="68"/>
  <c r="C34" i="68"/>
  <c r="D25" i="68"/>
  <c r="D19" i="68"/>
  <c r="D13" i="68"/>
  <c r="D7" i="68"/>
  <c r="D24" i="68"/>
  <c r="D18" i="68"/>
  <c r="D12" i="68"/>
  <c r="D6" i="68"/>
  <c r="D23" i="68"/>
  <c r="D17" i="68"/>
  <c r="D11" i="68"/>
  <c r="D5" i="68"/>
  <c r="D28" i="68"/>
  <c r="D22" i="68"/>
  <c r="D16" i="68"/>
  <c r="D10" i="68"/>
  <c r="D4" i="68"/>
  <c r="D27" i="68"/>
  <c r="D21" i="68"/>
  <c r="D15" i="68"/>
  <c r="D9" i="68"/>
  <c r="D26" i="68"/>
  <c r="D20" i="68"/>
  <c r="D14" i="68"/>
  <c r="D8" i="68"/>
  <c r="C15" i="68"/>
  <c r="C20" i="68"/>
  <c r="C19" i="68"/>
  <c r="C24" i="68"/>
  <c r="C18" i="68"/>
  <c r="C12" i="68"/>
  <c r="C6" i="68"/>
  <c r="C27" i="68"/>
  <c r="C14" i="68"/>
  <c r="C25" i="68"/>
  <c r="C17" i="68"/>
  <c r="C11" i="68"/>
  <c r="C5" i="68"/>
  <c r="C21" i="68"/>
  <c r="C7" i="68"/>
  <c r="C9" i="68"/>
  <c r="C26" i="68"/>
  <c r="C8" i="68"/>
  <c r="C13" i="68"/>
  <c r="C23" i="68"/>
  <c r="C28" i="68"/>
  <c r="C22" i="68"/>
  <c r="C16" i="68"/>
  <c r="C10" i="68"/>
  <c r="C4" i="68"/>
  <c r="D55" i="68"/>
  <c r="C55" i="68"/>
  <c r="D29" i="68"/>
  <c r="C29" i="68"/>
  <c r="D3" i="68"/>
  <c r="C3" i="68"/>
  <c r="G25" i="70"/>
  <c r="G19" i="70"/>
  <c r="G13" i="70"/>
  <c r="G7" i="70"/>
  <c r="G30" i="70"/>
  <c r="G24" i="70"/>
  <c r="G18" i="70"/>
  <c r="G12" i="70"/>
  <c r="G6" i="70"/>
  <c r="G29" i="70"/>
  <c r="G23" i="70"/>
  <c r="G17" i="70"/>
  <c r="G11" i="70"/>
  <c r="G5" i="70"/>
  <c r="G28" i="70"/>
  <c r="G22" i="70"/>
  <c r="G16" i="70"/>
  <c r="G10" i="70"/>
  <c r="G27" i="70"/>
  <c r="G21" i="70"/>
  <c r="G15" i="70"/>
  <c r="G9" i="70"/>
  <c r="G26" i="70"/>
  <c r="G20" i="70"/>
  <c r="G14" i="70"/>
  <c r="G8" i="70"/>
  <c r="F17" i="70"/>
  <c r="F11" i="70"/>
  <c r="F28" i="70"/>
  <c r="F10" i="70"/>
  <c r="F27" i="70"/>
  <c r="F15" i="70"/>
  <c r="F26" i="70"/>
  <c r="F20" i="70"/>
  <c r="F14" i="70"/>
  <c r="F8" i="70"/>
  <c r="F25" i="70"/>
  <c r="F19" i="70"/>
  <c r="F13" i="70"/>
  <c r="F7" i="70"/>
  <c r="F29" i="70"/>
  <c r="F23" i="70"/>
  <c r="F5" i="70"/>
  <c r="F22" i="70"/>
  <c r="F16" i="70"/>
  <c r="F21" i="70"/>
  <c r="F9" i="70"/>
  <c r="F30" i="70"/>
  <c r="F24" i="70"/>
  <c r="F18" i="70"/>
  <c r="F12" i="70"/>
  <c r="F6" i="70"/>
  <c r="E28" i="70"/>
  <c r="E10" i="70"/>
  <c r="E21" i="70"/>
  <c r="E9" i="70"/>
  <c r="E26" i="70"/>
  <c r="E25" i="70"/>
  <c r="E19" i="70"/>
  <c r="E13" i="70"/>
  <c r="E7" i="70"/>
  <c r="E8" i="70"/>
  <c r="E16" i="70"/>
  <c r="E27" i="70"/>
  <c r="E15" i="70"/>
  <c r="E20" i="70"/>
  <c r="E30" i="70"/>
  <c r="E24" i="70"/>
  <c r="E18" i="70"/>
  <c r="E12" i="70"/>
  <c r="E6" i="70"/>
  <c r="E14" i="70"/>
  <c r="E22" i="70"/>
  <c r="E29" i="70"/>
  <c r="E23" i="70"/>
  <c r="E17" i="70"/>
  <c r="E11" i="70"/>
  <c r="E5" i="70"/>
  <c r="D16" i="70"/>
  <c r="D15" i="70"/>
  <c r="D26" i="70"/>
  <c r="D20" i="70"/>
  <c r="D14" i="70"/>
  <c r="D8" i="70"/>
  <c r="D25" i="70"/>
  <c r="D19" i="70"/>
  <c r="D13" i="70"/>
  <c r="D7" i="70"/>
  <c r="D22" i="70"/>
  <c r="D21" i="70"/>
  <c r="D30" i="70"/>
  <c r="D12" i="70"/>
  <c r="D6" i="70"/>
  <c r="D28" i="70"/>
  <c r="D10" i="70"/>
  <c r="D27" i="70"/>
  <c r="D9" i="70"/>
  <c r="D24" i="70"/>
  <c r="D18" i="70"/>
  <c r="D29" i="70"/>
  <c r="D23" i="70"/>
  <c r="D17" i="70"/>
  <c r="D11" i="70"/>
  <c r="D5" i="70"/>
  <c r="C22" i="70"/>
  <c r="C9" i="70"/>
  <c r="C20" i="70"/>
  <c r="C25" i="70"/>
  <c r="C19" i="70"/>
  <c r="C13" i="70"/>
  <c r="C7" i="70"/>
  <c r="C28" i="70"/>
  <c r="C10" i="70"/>
  <c r="C27" i="70"/>
  <c r="C21" i="70"/>
  <c r="C26" i="70"/>
  <c r="C14" i="70"/>
  <c r="C30" i="70"/>
  <c r="C6" i="70"/>
  <c r="C16" i="70"/>
  <c r="C15" i="70"/>
  <c r="C8" i="70"/>
  <c r="C24" i="70"/>
  <c r="C18" i="70"/>
  <c r="C12" i="70"/>
  <c r="C29" i="70"/>
  <c r="C23" i="70"/>
  <c r="C17" i="70"/>
  <c r="C11" i="70"/>
  <c r="C5" i="70"/>
  <c r="B30" i="70"/>
  <c r="B24" i="70"/>
  <c r="B18" i="70"/>
  <c r="B12" i="70"/>
  <c r="B6" i="70"/>
  <c r="B29" i="70"/>
  <c r="B23" i="70"/>
  <c r="B17" i="70"/>
  <c r="B11" i="70"/>
  <c r="B5" i="70"/>
  <c r="B28" i="70"/>
  <c r="B22" i="70"/>
  <c r="B16" i="70"/>
  <c r="B10" i="70"/>
  <c r="B27" i="70"/>
  <c r="B21" i="70"/>
  <c r="B15" i="70"/>
  <c r="B9" i="70"/>
  <c r="B26" i="70"/>
  <c r="B20" i="70"/>
  <c r="B14" i="70"/>
  <c r="B8" i="70"/>
  <c r="B25" i="70"/>
  <c r="B19" i="70"/>
  <c r="B13" i="70"/>
  <c r="B7" i="70"/>
  <c r="O27" i="60"/>
  <c r="O21" i="60"/>
  <c r="O15" i="60"/>
  <c r="O9" i="60"/>
  <c r="O26" i="60"/>
  <c r="O20" i="60"/>
  <c r="O14" i="60"/>
  <c r="O8" i="60"/>
  <c r="O25" i="60"/>
  <c r="O19" i="60"/>
  <c r="O13" i="60"/>
  <c r="O7" i="60"/>
  <c r="O30" i="60"/>
  <c r="O24" i="60"/>
  <c r="O18" i="60"/>
  <c r="O12" i="60"/>
  <c r="O6" i="60"/>
  <c r="O29" i="60"/>
  <c r="O23" i="60"/>
  <c r="O17" i="60"/>
  <c r="O11" i="60"/>
  <c r="O28" i="60"/>
  <c r="O22" i="60"/>
  <c r="O16" i="60"/>
  <c r="O10" i="60"/>
  <c r="N25" i="60"/>
  <c r="N19" i="60"/>
  <c r="N13" i="60"/>
  <c r="N30" i="60"/>
  <c r="N18" i="60"/>
  <c r="N12" i="60"/>
  <c r="N29" i="60"/>
  <c r="N23" i="60"/>
  <c r="N17" i="60"/>
  <c r="N11" i="60"/>
  <c r="N28" i="60"/>
  <c r="N22" i="60"/>
  <c r="N16" i="60"/>
  <c r="N10" i="60"/>
  <c r="N27" i="60"/>
  <c r="N21" i="60"/>
  <c r="N15" i="60"/>
  <c r="N9" i="60"/>
  <c r="N26" i="60"/>
  <c r="N20" i="60"/>
  <c r="N14" i="60"/>
  <c r="N8" i="60"/>
  <c r="N7" i="60"/>
  <c r="N24" i="60"/>
  <c r="N6" i="60"/>
  <c r="M28" i="60"/>
  <c r="M22" i="60"/>
  <c r="M10" i="60"/>
  <c r="M21" i="60"/>
  <c r="M9" i="60"/>
  <c r="M25" i="60"/>
  <c r="M19" i="60"/>
  <c r="M13" i="60"/>
  <c r="M7" i="60"/>
  <c r="M30" i="60"/>
  <c r="M24" i="60"/>
  <c r="M18" i="60"/>
  <c r="M12" i="60"/>
  <c r="M6" i="60"/>
  <c r="M29" i="60"/>
  <c r="M23" i="60"/>
  <c r="M17" i="60"/>
  <c r="M11" i="60"/>
  <c r="M16" i="60"/>
  <c r="M27" i="60"/>
  <c r="M15" i="60"/>
  <c r="M26" i="60"/>
  <c r="M20" i="60"/>
  <c r="M14" i="60"/>
  <c r="M8" i="60"/>
  <c r="L27" i="60"/>
  <c r="L21" i="60"/>
  <c r="L15" i="60"/>
  <c r="L9" i="60"/>
  <c r="L26" i="60"/>
  <c r="L20" i="60"/>
  <c r="L14" i="60"/>
  <c r="L8" i="60"/>
  <c r="L25" i="60"/>
  <c r="L19" i="60"/>
  <c r="L13" i="60"/>
  <c r="L7" i="60"/>
  <c r="L30" i="60"/>
  <c r="L24" i="60"/>
  <c r="L18" i="60"/>
  <c r="L12" i="60"/>
  <c r="L6" i="60"/>
  <c r="L29" i="60"/>
  <c r="L23" i="60"/>
  <c r="L17" i="60"/>
  <c r="L11" i="60"/>
  <c r="L28" i="60"/>
  <c r="L22" i="60"/>
  <c r="L16" i="60"/>
  <c r="L10" i="60"/>
  <c r="K27" i="60"/>
  <c r="K21" i="60"/>
  <c r="K15" i="60"/>
  <c r="K9" i="60"/>
  <c r="K26" i="60"/>
  <c r="K20" i="60"/>
  <c r="K14" i="60"/>
  <c r="K8" i="60"/>
  <c r="K25" i="60"/>
  <c r="K19" i="60"/>
  <c r="K13" i="60"/>
  <c r="K7" i="60"/>
  <c r="K30" i="60"/>
  <c r="K24" i="60"/>
  <c r="K18" i="60"/>
  <c r="K12" i="60"/>
  <c r="K6" i="60"/>
  <c r="K29" i="60"/>
  <c r="K23" i="60"/>
  <c r="K17" i="60"/>
  <c r="K11" i="60"/>
  <c r="K28" i="60"/>
  <c r="K22" i="60"/>
  <c r="K16" i="60"/>
  <c r="K10" i="60"/>
  <c r="J27" i="60"/>
  <c r="J21" i="60"/>
  <c r="J15" i="60"/>
  <c r="J9" i="60"/>
  <c r="J26" i="60"/>
  <c r="J20" i="60"/>
  <c r="J14" i="60"/>
  <c r="J8" i="60"/>
  <c r="J25" i="60"/>
  <c r="J19" i="60"/>
  <c r="J13" i="60"/>
  <c r="J7" i="60"/>
  <c r="J30" i="60"/>
  <c r="J24" i="60"/>
  <c r="J18" i="60"/>
  <c r="J12" i="60"/>
  <c r="J6" i="60"/>
  <c r="J29" i="60"/>
  <c r="J23" i="60"/>
  <c r="J17" i="60"/>
  <c r="J11" i="60"/>
  <c r="J28" i="60"/>
  <c r="J22" i="60"/>
  <c r="J16" i="60"/>
  <c r="J10" i="60"/>
  <c r="H30" i="60"/>
  <c r="H24" i="60"/>
  <c r="H6" i="60"/>
  <c r="H29" i="60"/>
  <c r="H23" i="60"/>
  <c r="H11" i="60"/>
  <c r="H28" i="60"/>
  <c r="H22" i="60"/>
  <c r="H10" i="60"/>
  <c r="H27" i="60"/>
  <c r="H21" i="60"/>
  <c r="H15" i="60"/>
  <c r="H9" i="60"/>
  <c r="H26" i="60"/>
  <c r="H20" i="60"/>
  <c r="H14" i="60"/>
  <c r="H8" i="60"/>
  <c r="H25" i="60"/>
  <c r="H13" i="60"/>
  <c r="H7" i="60"/>
  <c r="H18" i="60"/>
  <c r="H12" i="60"/>
  <c r="H17" i="60"/>
  <c r="H16" i="60"/>
  <c r="H19" i="60"/>
  <c r="G23" i="60"/>
  <c r="G22" i="60"/>
  <c r="G14" i="60"/>
  <c r="G29" i="60"/>
  <c r="G17" i="60"/>
  <c r="G28" i="60"/>
  <c r="G16" i="60"/>
  <c r="G27" i="60"/>
  <c r="G15" i="60"/>
  <c r="G26" i="60"/>
  <c r="G20" i="60"/>
  <c r="G8" i="60"/>
  <c r="G21" i="60"/>
  <c r="G11" i="60"/>
  <c r="G10" i="60"/>
  <c r="G9" i="60"/>
  <c r="G25" i="60"/>
  <c r="G19" i="60"/>
  <c r="G13" i="60"/>
  <c r="G7" i="60"/>
  <c r="G30" i="60"/>
  <c r="G24" i="60"/>
  <c r="G18" i="60"/>
  <c r="G12" i="60"/>
  <c r="G6" i="60"/>
  <c r="F27" i="60"/>
  <c r="F21" i="60"/>
  <c r="F15" i="60"/>
  <c r="F9" i="60"/>
  <c r="F26" i="60"/>
  <c r="F20" i="60"/>
  <c r="F14" i="60"/>
  <c r="F8" i="60"/>
  <c r="F25" i="60"/>
  <c r="F19" i="60"/>
  <c r="F13" i="60"/>
  <c r="F7" i="60"/>
  <c r="F30" i="60"/>
  <c r="F24" i="60"/>
  <c r="F18" i="60"/>
  <c r="F12" i="60"/>
  <c r="F6" i="60"/>
  <c r="F29" i="60"/>
  <c r="F23" i="60"/>
  <c r="F17" i="60"/>
  <c r="F11" i="60"/>
  <c r="F28" i="60"/>
  <c r="F22" i="60"/>
  <c r="F16" i="60"/>
  <c r="F10" i="60"/>
  <c r="E27" i="60"/>
  <c r="E21" i="60"/>
  <c r="E15" i="60"/>
  <c r="E9" i="60"/>
  <c r="E26" i="60"/>
  <c r="E20" i="60"/>
  <c r="E14" i="60"/>
  <c r="E8" i="60"/>
  <c r="E25" i="60"/>
  <c r="E19" i="60"/>
  <c r="E13" i="60"/>
  <c r="E7" i="60"/>
  <c r="E30" i="60"/>
  <c r="E24" i="60"/>
  <c r="E18" i="60"/>
  <c r="E12" i="60"/>
  <c r="E6" i="60"/>
  <c r="E29" i="60"/>
  <c r="E23" i="60"/>
  <c r="E17" i="60"/>
  <c r="E11" i="60"/>
  <c r="E28" i="60"/>
  <c r="E22" i="60"/>
  <c r="E16" i="60"/>
  <c r="E10" i="60"/>
  <c r="D12" i="60"/>
  <c r="D29" i="60"/>
  <c r="D17" i="60"/>
  <c r="D22" i="60"/>
  <c r="D10" i="60"/>
  <c r="D27" i="60"/>
  <c r="D15" i="60"/>
  <c r="D26" i="60"/>
  <c r="D20" i="60"/>
  <c r="D14" i="60"/>
  <c r="D8" i="60"/>
  <c r="D24" i="60"/>
  <c r="D6" i="60"/>
  <c r="D11" i="60"/>
  <c r="D13" i="60"/>
  <c r="D30" i="60"/>
  <c r="D18" i="60"/>
  <c r="D23" i="60"/>
  <c r="D28" i="60"/>
  <c r="D16" i="60"/>
  <c r="D21" i="60"/>
  <c r="D9" i="60"/>
  <c r="D25" i="60"/>
  <c r="D19" i="60"/>
  <c r="D7" i="60"/>
  <c r="C11" i="60"/>
  <c r="C28" i="60"/>
  <c r="C10" i="60"/>
  <c r="C14" i="60"/>
  <c r="C23" i="60"/>
  <c r="C22" i="60"/>
  <c r="C16" i="60"/>
  <c r="C27" i="60"/>
  <c r="C21" i="60"/>
  <c r="C15" i="60"/>
  <c r="C9" i="60"/>
  <c r="C26" i="60"/>
  <c r="C20" i="60"/>
  <c r="C8" i="60"/>
  <c r="C29" i="60"/>
  <c r="C25" i="60"/>
  <c r="C7" i="60"/>
  <c r="C13" i="60"/>
  <c r="C17" i="60"/>
  <c r="C19" i="60"/>
  <c r="C30" i="60"/>
  <c r="C24" i="60"/>
  <c r="C18" i="60"/>
  <c r="C12" i="60"/>
  <c r="C6" i="60"/>
  <c r="O5" i="60"/>
  <c r="N5" i="60"/>
  <c r="M5" i="60"/>
  <c r="L5" i="60"/>
  <c r="K5" i="60"/>
  <c r="J5" i="60"/>
  <c r="H5" i="60"/>
  <c r="G5" i="60"/>
  <c r="F5" i="60"/>
  <c r="E5" i="60"/>
  <c r="D5" i="60"/>
  <c r="C5" i="60"/>
  <c r="U8" i="65"/>
  <c r="U25" i="65"/>
  <c r="U19" i="65"/>
  <c r="U13" i="65"/>
  <c r="U30" i="65"/>
  <c r="U18" i="65"/>
  <c r="U29" i="65"/>
  <c r="U23" i="65"/>
  <c r="U17" i="65"/>
  <c r="U11" i="65"/>
  <c r="U28" i="65"/>
  <c r="U22" i="65"/>
  <c r="U16" i="65"/>
  <c r="U10" i="65"/>
  <c r="U27" i="65"/>
  <c r="U21" i="65"/>
  <c r="U15" i="65"/>
  <c r="U9" i="65"/>
  <c r="U26" i="65"/>
  <c r="U20" i="65"/>
  <c r="U14" i="65"/>
  <c r="U7" i="65"/>
  <c r="U24" i="65"/>
  <c r="U12" i="65"/>
  <c r="U6" i="65"/>
  <c r="T25" i="65"/>
  <c r="T19" i="65"/>
  <c r="T13" i="65"/>
  <c r="T7" i="65"/>
  <c r="T30" i="65"/>
  <c r="T24" i="65"/>
  <c r="T18" i="65"/>
  <c r="T12" i="65"/>
  <c r="T6" i="65"/>
  <c r="T29" i="65"/>
  <c r="T23" i="65"/>
  <c r="T17" i="65"/>
  <c r="T11" i="65"/>
  <c r="T28" i="65"/>
  <c r="T22" i="65"/>
  <c r="T16" i="65"/>
  <c r="T10" i="65"/>
  <c r="T27" i="65"/>
  <c r="T21" i="65"/>
  <c r="T15" i="65"/>
  <c r="T9" i="65"/>
  <c r="T26" i="65"/>
  <c r="T20" i="65"/>
  <c r="T14" i="65"/>
  <c r="T8" i="65"/>
  <c r="S25" i="65"/>
  <c r="S19" i="65"/>
  <c r="S13" i="65"/>
  <c r="S7" i="65"/>
  <c r="S30" i="65"/>
  <c r="S24" i="65"/>
  <c r="S18" i="65"/>
  <c r="S12" i="65"/>
  <c r="S6" i="65"/>
  <c r="S29" i="65"/>
  <c r="S23" i="65"/>
  <c r="S17" i="65"/>
  <c r="S11" i="65"/>
  <c r="S28" i="65"/>
  <c r="S22" i="65"/>
  <c r="S16" i="65"/>
  <c r="S10" i="65"/>
  <c r="S27" i="65"/>
  <c r="S21" i="65"/>
  <c r="S15" i="65"/>
  <c r="S9" i="65"/>
  <c r="S26" i="65"/>
  <c r="S20" i="65"/>
  <c r="S14" i="65"/>
  <c r="S8" i="65"/>
  <c r="P25" i="65"/>
  <c r="P19" i="65"/>
  <c r="P13" i="65"/>
  <c r="P30" i="65"/>
  <c r="P24" i="65"/>
  <c r="P18" i="65"/>
  <c r="P12" i="65"/>
  <c r="P29" i="65"/>
  <c r="P23" i="65"/>
  <c r="P17" i="65"/>
  <c r="P11" i="65"/>
  <c r="P28" i="65"/>
  <c r="P22" i="65"/>
  <c r="P16" i="65"/>
  <c r="P10" i="65"/>
  <c r="P27" i="65"/>
  <c r="P21" i="65"/>
  <c r="P15" i="65"/>
  <c r="P9" i="65"/>
  <c r="P26" i="65"/>
  <c r="P20" i="65"/>
  <c r="P14" i="65"/>
  <c r="P8" i="65"/>
  <c r="P7" i="65"/>
  <c r="P6" i="65"/>
  <c r="O25" i="65"/>
  <c r="O19" i="65"/>
  <c r="O13" i="65"/>
  <c r="O7" i="65"/>
  <c r="O30" i="65"/>
  <c r="O24" i="65"/>
  <c r="O18" i="65"/>
  <c r="O12" i="65"/>
  <c r="O6" i="65"/>
  <c r="O29" i="65"/>
  <c r="O23" i="65"/>
  <c r="O17" i="65"/>
  <c r="O11" i="65"/>
  <c r="O28" i="65"/>
  <c r="O22" i="65"/>
  <c r="O16" i="65"/>
  <c r="O10" i="65"/>
  <c r="O27" i="65"/>
  <c r="O21" i="65"/>
  <c r="O15" i="65"/>
  <c r="O9" i="65"/>
  <c r="O26" i="65"/>
  <c r="O20" i="65"/>
  <c r="O14" i="65"/>
  <c r="O8" i="65"/>
  <c r="N25" i="65"/>
  <c r="N19" i="65"/>
  <c r="N13" i="65"/>
  <c r="N7" i="65"/>
  <c r="N30" i="65"/>
  <c r="N24" i="65"/>
  <c r="N18" i="65"/>
  <c r="N12" i="65"/>
  <c r="N6" i="65"/>
  <c r="N29" i="65"/>
  <c r="N23" i="65"/>
  <c r="N17" i="65"/>
  <c r="N11" i="65"/>
  <c r="N28" i="65"/>
  <c r="N22" i="65"/>
  <c r="N16" i="65"/>
  <c r="N10" i="65"/>
  <c r="N27" i="65"/>
  <c r="N21" i="65"/>
  <c r="N15" i="65"/>
  <c r="N9" i="65"/>
  <c r="N26" i="65"/>
  <c r="N20" i="65"/>
  <c r="N14" i="65"/>
  <c r="N8" i="65"/>
  <c r="J25" i="65"/>
  <c r="J19" i="65"/>
  <c r="J13" i="65"/>
  <c r="J7" i="65"/>
  <c r="J30" i="65"/>
  <c r="J24" i="65"/>
  <c r="J18" i="65"/>
  <c r="J12" i="65"/>
  <c r="J6" i="65"/>
  <c r="J29" i="65"/>
  <c r="J23" i="65"/>
  <c r="J17" i="65"/>
  <c r="J11" i="65"/>
  <c r="J28" i="65"/>
  <c r="J22" i="65"/>
  <c r="J16" i="65"/>
  <c r="J10" i="65"/>
  <c r="J27" i="65"/>
  <c r="J21" i="65"/>
  <c r="J15" i="65"/>
  <c r="J9" i="65"/>
  <c r="J26" i="65"/>
  <c r="J20" i="65"/>
  <c r="J14" i="65"/>
  <c r="J8" i="65"/>
  <c r="I25" i="65"/>
  <c r="I19" i="65"/>
  <c r="I13" i="65"/>
  <c r="I7" i="65"/>
  <c r="I30" i="65"/>
  <c r="I24" i="65"/>
  <c r="I18" i="65"/>
  <c r="I12" i="65"/>
  <c r="I6" i="65"/>
  <c r="I29" i="65"/>
  <c r="I23" i="65"/>
  <c r="I17" i="65"/>
  <c r="I11" i="65"/>
  <c r="I28" i="65"/>
  <c r="I22" i="65"/>
  <c r="I16" i="65"/>
  <c r="I10" i="65"/>
  <c r="I27" i="65"/>
  <c r="I21" i="65"/>
  <c r="I15" i="65"/>
  <c r="I9" i="65"/>
  <c r="I26" i="65"/>
  <c r="I20" i="65"/>
  <c r="I14" i="65"/>
  <c r="I8" i="65"/>
  <c r="H25" i="65"/>
  <c r="H19" i="65"/>
  <c r="H13" i="65"/>
  <c r="H7" i="65"/>
  <c r="H30" i="65"/>
  <c r="H24" i="65"/>
  <c r="H18" i="65"/>
  <c r="H12" i="65"/>
  <c r="H6" i="65"/>
  <c r="H29" i="65"/>
  <c r="H23" i="65"/>
  <c r="H17" i="65"/>
  <c r="H11" i="65"/>
  <c r="H28" i="65"/>
  <c r="H22" i="65"/>
  <c r="H16" i="65"/>
  <c r="H10" i="65"/>
  <c r="H27" i="65"/>
  <c r="H21" i="65"/>
  <c r="H15" i="65"/>
  <c r="H9" i="65"/>
  <c r="H26" i="65"/>
  <c r="H20" i="65"/>
  <c r="H14" i="65"/>
  <c r="H8" i="65"/>
  <c r="E25" i="65"/>
  <c r="E13" i="65"/>
  <c r="E12" i="65"/>
  <c r="E23" i="65"/>
  <c r="E28" i="65"/>
  <c r="E8" i="65"/>
  <c r="E19" i="65"/>
  <c r="E7" i="65"/>
  <c r="E30" i="65"/>
  <c r="E24" i="65"/>
  <c r="E18" i="65"/>
  <c r="E29" i="65"/>
  <c r="E17" i="65"/>
  <c r="E11" i="65"/>
  <c r="E22" i="65"/>
  <c r="E16" i="65"/>
  <c r="E10" i="65"/>
  <c r="E27" i="65"/>
  <c r="E21" i="65"/>
  <c r="E15" i="65"/>
  <c r="E9" i="65"/>
  <c r="E26" i="65"/>
  <c r="E20" i="65"/>
  <c r="E14" i="65"/>
  <c r="E6" i="65"/>
  <c r="D25" i="65"/>
  <c r="D19" i="65"/>
  <c r="D13" i="65"/>
  <c r="D7" i="65"/>
  <c r="D30" i="65"/>
  <c r="D24" i="65"/>
  <c r="D18" i="65"/>
  <c r="D12" i="65"/>
  <c r="D6" i="65"/>
  <c r="D29" i="65"/>
  <c r="D23" i="65"/>
  <c r="D17" i="65"/>
  <c r="D11" i="65"/>
  <c r="D28" i="65"/>
  <c r="D22" i="65"/>
  <c r="D16" i="65"/>
  <c r="D10" i="65"/>
  <c r="D27" i="65"/>
  <c r="D21" i="65"/>
  <c r="D15" i="65"/>
  <c r="D9" i="65"/>
  <c r="D26" i="65"/>
  <c r="D20" i="65"/>
  <c r="D14" i="65"/>
  <c r="D8" i="65"/>
  <c r="C25" i="65"/>
  <c r="C19" i="65"/>
  <c r="C13" i="65"/>
  <c r="C7" i="65"/>
  <c r="C30" i="65"/>
  <c r="C24" i="65"/>
  <c r="C18" i="65"/>
  <c r="C12" i="65"/>
  <c r="C6" i="65"/>
  <c r="C29" i="65"/>
  <c r="C23" i="65"/>
  <c r="C17" i="65"/>
  <c r="C11" i="65"/>
  <c r="C28" i="65"/>
  <c r="C22" i="65"/>
  <c r="C16" i="65"/>
  <c r="C10" i="65"/>
  <c r="C27" i="65"/>
  <c r="C21" i="65"/>
  <c r="C15" i="65"/>
  <c r="C9" i="65"/>
  <c r="C26" i="65"/>
  <c r="C20" i="65"/>
  <c r="C14" i="65"/>
  <c r="C8" i="65"/>
  <c r="U5" i="65"/>
  <c r="T5" i="65"/>
  <c r="S5" i="65"/>
  <c r="P5" i="65"/>
  <c r="O5" i="65"/>
  <c r="N5" i="65"/>
  <c r="J5" i="65"/>
  <c r="I5" i="65"/>
  <c r="H5" i="65"/>
  <c r="E5" i="65"/>
  <c r="D5" i="65"/>
  <c r="C5" i="65"/>
  <c r="U23" i="76"/>
  <c r="U17" i="76"/>
  <c r="U28" i="76"/>
  <c r="U16" i="76"/>
  <c r="U27" i="76"/>
  <c r="U15" i="76"/>
  <c r="U26" i="76"/>
  <c r="U20" i="76"/>
  <c r="U14" i="76"/>
  <c r="U8" i="76"/>
  <c r="U24" i="76"/>
  <c r="U29" i="76"/>
  <c r="U9" i="76"/>
  <c r="U30" i="76"/>
  <c r="U11" i="76"/>
  <c r="U22" i="76"/>
  <c r="U10" i="76"/>
  <c r="U21" i="76"/>
  <c r="U25" i="76"/>
  <c r="U19" i="76"/>
  <c r="U13" i="76"/>
  <c r="U7" i="76"/>
  <c r="U18" i="76"/>
  <c r="U12" i="76"/>
  <c r="U6" i="76"/>
  <c r="T14" i="76"/>
  <c r="T25" i="76"/>
  <c r="T19" i="76"/>
  <c r="T30" i="76"/>
  <c r="T24" i="76"/>
  <c r="T18" i="76"/>
  <c r="T12" i="76"/>
  <c r="T29" i="76"/>
  <c r="T23" i="76"/>
  <c r="T17" i="76"/>
  <c r="T11" i="76"/>
  <c r="T28" i="76"/>
  <c r="T22" i="76"/>
  <c r="T16" i="76"/>
  <c r="T10" i="76"/>
  <c r="T27" i="76"/>
  <c r="T21" i="76"/>
  <c r="T15" i="76"/>
  <c r="T9" i="76"/>
  <c r="T26" i="76"/>
  <c r="T20" i="76"/>
  <c r="T8" i="76"/>
  <c r="T7" i="76"/>
  <c r="T13" i="76"/>
  <c r="T6" i="76"/>
  <c r="S23" i="76"/>
  <c r="S28" i="76"/>
  <c r="S21" i="76"/>
  <c r="S8" i="76"/>
  <c r="S17" i="76"/>
  <c r="S10" i="76"/>
  <c r="S27" i="76"/>
  <c r="S9" i="76"/>
  <c r="S26" i="76"/>
  <c r="S20" i="76"/>
  <c r="S14" i="76"/>
  <c r="S7" i="76"/>
  <c r="S29" i="76"/>
  <c r="S22" i="76"/>
  <c r="S13" i="76"/>
  <c r="S11" i="76"/>
  <c r="S16" i="76"/>
  <c r="S15" i="76"/>
  <c r="S25" i="76"/>
  <c r="S19" i="76"/>
  <c r="S30" i="76"/>
  <c r="S24" i="76"/>
  <c r="S18" i="76"/>
  <c r="S12" i="76"/>
  <c r="S6" i="76"/>
  <c r="P17" i="76"/>
  <c r="P16" i="76"/>
  <c r="P20" i="76"/>
  <c r="P8" i="76"/>
  <c r="P29" i="76"/>
  <c r="P23" i="76"/>
  <c r="P11" i="76"/>
  <c r="P28" i="76"/>
  <c r="P22" i="76"/>
  <c r="P10" i="76"/>
  <c r="P27" i="76"/>
  <c r="P21" i="76"/>
  <c r="P15" i="76"/>
  <c r="P9" i="76"/>
  <c r="P26" i="76"/>
  <c r="P14" i="76"/>
  <c r="P7" i="76"/>
  <c r="P25" i="76"/>
  <c r="P19" i="76"/>
  <c r="P13" i="76"/>
  <c r="P30" i="76"/>
  <c r="P24" i="76"/>
  <c r="P18" i="76"/>
  <c r="P12" i="76"/>
  <c r="P6" i="76"/>
  <c r="O25" i="76"/>
  <c r="O19" i="76"/>
  <c r="O13" i="76"/>
  <c r="O7" i="76"/>
  <c r="O30" i="76"/>
  <c r="O24" i="76"/>
  <c r="O18" i="76"/>
  <c r="O12" i="76"/>
  <c r="O6" i="76"/>
  <c r="O29" i="76"/>
  <c r="O23" i="76"/>
  <c r="O17" i="76"/>
  <c r="O11" i="76"/>
  <c r="O28" i="76"/>
  <c r="O22" i="76"/>
  <c r="O16" i="76"/>
  <c r="O10" i="76"/>
  <c r="O27" i="76"/>
  <c r="O21" i="76"/>
  <c r="O15" i="76"/>
  <c r="O9" i="76"/>
  <c r="O26" i="76"/>
  <c r="O20" i="76"/>
  <c r="O14" i="76"/>
  <c r="O8" i="76"/>
  <c r="N24" i="76"/>
  <c r="N12" i="76"/>
  <c r="N17" i="76"/>
  <c r="N16" i="76"/>
  <c r="N20" i="76"/>
  <c r="N8" i="76"/>
  <c r="N30" i="76"/>
  <c r="N18" i="76"/>
  <c r="N6" i="76"/>
  <c r="N29" i="76"/>
  <c r="N23" i="76"/>
  <c r="N11" i="76"/>
  <c r="N28" i="76"/>
  <c r="N22" i="76"/>
  <c r="N10" i="76"/>
  <c r="N27" i="76"/>
  <c r="N21" i="76"/>
  <c r="N15" i="76"/>
  <c r="N9" i="76"/>
  <c r="N26" i="76"/>
  <c r="N14" i="76"/>
  <c r="N25" i="76"/>
  <c r="N19" i="76"/>
  <c r="N13" i="76"/>
  <c r="N7" i="76"/>
  <c r="J9" i="76"/>
  <c r="J23" i="76"/>
  <c r="J15" i="76"/>
  <c r="J29" i="76"/>
  <c r="J28" i="76"/>
  <c r="J8" i="76"/>
  <c r="J17" i="76"/>
  <c r="J16" i="76"/>
  <c r="J27" i="76"/>
  <c r="J20" i="76"/>
  <c r="J7" i="76"/>
  <c r="J11" i="76"/>
  <c r="J22" i="76"/>
  <c r="J10" i="76"/>
  <c r="J21" i="76"/>
  <c r="J26" i="76"/>
  <c r="J14" i="76"/>
  <c r="J25" i="76"/>
  <c r="J19" i="76"/>
  <c r="J13" i="76"/>
  <c r="J30" i="76"/>
  <c r="J24" i="76"/>
  <c r="J18" i="76"/>
  <c r="J12" i="76"/>
  <c r="J6" i="76"/>
  <c r="I18" i="76"/>
  <c r="I17" i="76"/>
  <c r="I22" i="76"/>
  <c r="I27" i="76"/>
  <c r="I9" i="76"/>
  <c r="I14" i="76"/>
  <c r="I24" i="76"/>
  <c r="I29" i="76"/>
  <c r="I23" i="76"/>
  <c r="I11" i="76"/>
  <c r="I28" i="76"/>
  <c r="I16" i="76"/>
  <c r="I10" i="76"/>
  <c r="I21" i="76"/>
  <c r="I15" i="76"/>
  <c r="I26" i="76"/>
  <c r="I20" i="76"/>
  <c r="I8" i="76"/>
  <c r="I19" i="76"/>
  <c r="I7" i="76"/>
  <c r="I25" i="76"/>
  <c r="I13" i="76"/>
  <c r="I30" i="76"/>
  <c r="I12" i="76"/>
  <c r="I6" i="76"/>
  <c r="H23" i="76"/>
  <c r="H10" i="76"/>
  <c r="H21" i="76"/>
  <c r="H26" i="76"/>
  <c r="H14" i="76"/>
  <c r="H19" i="76"/>
  <c r="H7" i="76"/>
  <c r="H29" i="76"/>
  <c r="H11" i="76"/>
  <c r="H28" i="76"/>
  <c r="H22" i="76"/>
  <c r="H27" i="76"/>
  <c r="H9" i="76"/>
  <c r="H20" i="76"/>
  <c r="H8" i="76"/>
  <c r="H25" i="76"/>
  <c r="H13" i="76"/>
  <c r="H17" i="76"/>
  <c r="H16" i="76"/>
  <c r="H15" i="76"/>
  <c r="H30" i="76"/>
  <c r="H24" i="76"/>
  <c r="H18" i="76"/>
  <c r="H12" i="76"/>
  <c r="H6" i="76"/>
  <c r="E19" i="76"/>
  <c r="E14" i="76"/>
  <c r="E25" i="76"/>
  <c r="E30" i="76"/>
  <c r="E18" i="76"/>
  <c r="E12" i="76"/>
  <c r="E29" i="76"/>
  <c r="E23" i="76"/>
  <c r="E17" i="76"/>
  <c r="E11" i="76"/>
  <c r="E28" i="76"/>
  <c r="E22" i="76"/>
  <c r="E16" i="76"/>
  <c r="E10" i="76"/>
  <c r="E27" i="76"/>
  <c r="E21" i="76"/>
  <c r="E15" i="76"/>
  <c r="E9" i="76"/>
  <c r="E26" i="76"/>
  <c r="E20" i="76"/>
  <c r="E8" i="76"/>
  <c r="E7" i="76"/>
  <c r="E13" i="76"/>
  <c r="E24" i="76"/>
  <c r="E6" i="76"/>
  <c r="D24" i="76"/>
  <c r="D14" i="76"/>
  <c r="D18" i="76"/>
  <c r="D29" i="76"/>
  <c r="D23" i="76"/>
  <c r="D17" i="76"/>
  <c r="D11" i="76"/>
  <c r="D28" i="76"/>
  <c r="D22" i="76"/>
  <c r="D16" i="76"/>
  <c r="D10" i="76"/>
  <c r="D27" i="76"/>
  <c r="D21" i="76"/>
  <c r="D15" i="76"/>
  <c r="D9" i="76"/>
  <c r="D26" i="76"/>
  <c r="D20" i="76"/>
  <c r="D8" i="76"/>
  <c r="D25" i="76"/>
  <c r="D19" i="76"/>
  <c r="D7" i="76"/>
  <c r="D13" i="76"/>
  <c r="D30" i="76"/>
  <c r="D12" i="76"/>
  <c r="D6" i="76"/>
  <c r="C13" i="76"/>
  <c r="C24" i="76"/>
  <c r="C17" i="76"/>
  <c r="C16" i="76"/>
  <c r="C20" i="76"/>
  <c r="C8" i="76"/>
  <c r="C25" i="76"/>
  <c r="C7" i="76"/>
  <c r="C30" i="76"/>
  <c r="C29" i="76"/>
  <c r="C23" i="76"/>
  <c r="C11" i="76"/>
  <c r="C28" i="76"/>
  <c r="C22" i="76"/>
  <c r="C10" i="76"/>
  <c r="C27" i="76"/>
  <c r="C21" i="76"/>
  <c r="C15" i="76"/>
  <c r="C9" i="76"/>
  <c r="C26" i="76"/>
  <c r="C14" i="76"/>
  <c r="C19" i="76"/>
  <c r="C18" i="76"/>
  <c r="C12" i="76"/>
  <c r="C6" i="76"/>
  <c r="U5" i="76"/>
  <c r="T5" i="76"/>
  <c r="S5" i="76"/>
  <c r="P5" i="76"/>
  <c r="O5" i="76"/>
  <c r="N5" i="76"/>
  <c r="J5" i="76"/>
  <c r="I5" i="76"/>
  <c r="H5" i="76"/>
  <c r="E5" i="76"/>
  <c r="D5" i="76"/>
  <c r="C5" i="76"/>
  <c r="U23" i="77"/>
  <c r="U8" i="77"/>
  <c r="U17" i="77"/>
  <c r="U11" i="77"/>
  <c r="U28" i="77"/>
  <c r="U22" i="77"/>
  <c r="U16" i="77"/>
  <c r="U10" i="77"/>
  <c r="U27" i="77"/>
  <c r="U21" i="77"/>
  <c r="U15" i="77"/>
  <c r="U9" i="77"/>
  <c r="U26" i="77"/>
  <c r="U20" i="77"/>
  <c r="U14" i="77"/>
  <c r="U25" i="77"/>
  <c r="U19" i="77"/>
  <c r="U13" i="77"/>
  <c r="U7" i="77"/>
  <c r="U29" i="77"/>
  <c r="U30" i="77"/>
  <c r="U24" i="77"/>
  <c r="U18" i="77"/>
  <c r="U12" i="77"/>
  <c r="U6" i="77"/>
  <c r="T17" i="77"/>
  <c r="T25" i="77"/>
  <c r="T19" i="77"/>
  <c r="T13" i="77"/>
  <c r="T7" i="77"/>
  <c r="T30" i="77"/>
  <c r="T24" i="77"/>
  <c r="T18" i="77"/>
  <c r="T12" i="77"/>
  <c r="T29" i="77"/>
  <c r="T23" i="77"/>
  <c r="T11" i="77"/>
  <c r="T28" i="77"/>
  <c r="T22" i="77"/>
  <c r="T16" i="77"/>
  <c r="T10" i="77"/>
  <c r="T27" i="77"/>
  <c r="T21" i="77"/>
  <c r="T15" i="77"/>
  <c r="T9" i="77"/>
  <c r="T26" i="77"/>
  <c r="T20" i="77"/>
  <c r="T14" i="77"/>
  <c r="T8" i="77"/>
  <c r="T6" i="77"/>
  <c r="S22" i="77"/>
  <c r="S10" i="77"/>
  <c r="S21" i="77"/>
  <c r="S9" i="77"/>
  <c r="S25" i="77"/>
  <c r="S19" i="77"/>
  <c r="S13" i="77"/>
  <c r="S7" i="77"/>
  <c r="S30" i="77"/>
  <c r="S24" i="77"/>
  <c r="S18" i="77"/>
  <c r="S12" i="77"/>
  <c r="S6" i="77"/>
  <c r="S29" i="77"/>
  <c r="S23" i="77"/>
  <c r="S17" i="77"/>
  <c r="S11" i="77"/>
  <c r="S28" i="77"/>
  <c r="S16" i="77"/>
  <c r="S27" i="77"/>
  <c r="S15" i="77"/>
  <c r="S26" i="77"/>
  <c r="S20" i="77"/>
  <c r="S14" i="77"/>
  <c r="S8" i="77"/>
  <c r="P25" i="77"/>
  <c r="P19" i="77"/>
  <c r="P13" i="77"/>
  <c r="P30" i="77"/>
  <c r="P24" i="77"/>
  <c r="P18" i="77"/>
  <c r="P12" i="77"/>
  <c r="P29" i="77"/>
  <c r="P23" i="77"/>
  <c r="P17" i="77"/>
  <c r="P11" i="77"/>
  <c r="P28" i="77"/>
  <c r="P22" i="77"/>
  <c r="P16" i="77"/>
  <c r="P10" i="77"/>
  <c r="P27" i="77"/>
  <c r="P21" i="77"/>
  <c r="P15" i="77"/>
  <c r="P9" i="77"/>
  <c r="P26" i="77"/>
  <c r="P20" i="77"/>
  <c r="P14" i="77"/>
  <c r="P8" i="77"/>
  <c r="P7" i="77"/>
  <c r="P6" i="77"/>
  <c r="O23" i="77"/>
  <c r="O22" i="77"/>
  <c r="O15" i="77"/>
  <c r="O14" i="77"/>
  <c r="O29" i="77"/>
  <c r="O17" i="77"/>
  <c r="O28" i="77"/>
  <c r="O10" i="77"/>
  <c r="O27" i="77"/>
  <c r="O21" i="77"/>
  <c r="O9" i="77"/>
  <c r="O26" i="77"/>
  <c r="O20" i="77"/>
  <c r="O8" i="77"/>
  <c r="O11" i="77"/>
  <c r="O16" i="77"/>
  <c r="O25" i="77"/>
  <c r="O19" i="77"/>
  <c r="O13" i="77"/>
  <c r="O7" i="77"/>
  <c r="O30" i="77"/>
  <c r="O24" i="77"/>
  <c r="O18" i="77"/>
  <c r="O12" i="77"/>
  <c r="O6" i="77"/>
  <c r="N29" i="77"/>
  <c r="N11" i="77"/>
  <c r="N28" i="77"/>
  <c r="N16" i="77"/>
  <c r="N21" i="77"/>
  <c r="N15" i="77"/>
  <c r="N26" i="77"/>
  <c r="N8" i="77"/>
  <c r="N23" i="77"/>
  <c r="N17" i="77"/>
  <c r="N22" i="77"/>
  <c r="N10" i="77"/>
  <c r="N27" i="77"/>
  <c r="N9" i="77"/>
  <c r="N20" i="77"/>
  <c r="N14" i="77"/>
  <c r="N13" i="77"/>
  <c r="N25" i="77"/>
  <c r="N19" i="77"/>
  <c r="N7" i="77"/>
  <c r="N30" i="77"/>
  <c r="N24" i="77"/>
  <c r="N18" i="77"/>
  <c r="N12" i="77"/>
  <c r="N6" i="77"/>
  <c r="J14" i="77"/>
  <c r="J30" i="77"/>
  <c r="J24" i="77"/>
  <c r="J18" i="77"/>
  <c r="J12" i="77"/>
  <c r="J29" i="77"/>
  <c r="J23" i="77"/>
  <c r="J17" i="77"/>
  <c r="J11" i="77"/>
  <c r="J28" i="77"/>
  <c r="J22" i="77"/>
  <c r="J16" i="77"/>
  <c r="J10" i="77"/>
  <c r="J27" i="77"/>
  <c r="J21" i="77"/>
  <c r="J15" i="77"/>
  <c r="J9" i="77"/>
  <c r="J26" i="77"/>
  <c r="J20" i="77"/>
  <c r="J8" i="77"/>
  <c r="J25" i="77"/>
  <c r="J19" i="77"/>
  <c r="J13" i="77"/>
  <c r="J7" i="77"/>
  <c r="J6" i="77"/>
  <c r="I11" i="77"/>
  <c r="I10" i="77"/>
  <c r="I14" i="77"/>
  <c r="I17" i="77"/>
  <c r="I22" i="77"/>
  <c r="I16" i="77"/>
  <c r="I27" i="77"/>
  <c r="I21" i="77"/>
  <c r="I15" i="77"/>
  <c r="I9" i="77"/>
  <c r="I26" i="77"/>
  <c r="I20" i="77"/>
  <c r="I8" i="77"/>
  <c r="I28" i="77"/>
  <c r="I25" i="77"/>
  <c r="I19" i="77"/>
  <c r="I7" i="77"/>
  <c r="I23" i="77"/>
  <c r="I13" i="77"/>
  <c r="I29" i="77"/>
  <c r="I30" i="77"/>
  <c r="I24" i="77"/>
  <c r="I18" i="77"/>
  <c r="I12" i="77"/>
  <c r="I6" i="77"/>
  <c r="H19" i="77"/>
  <c r="H14" i="77"/>
  <c r="H13" i="77"/>
  <c r="H30" i="77"/>
  <c r="H18" i="77"/>
  <c r="H29" i="77"/>
  <c r="H23" i="77"/>
  <c r="H17" i="77"/>
  <c r="H11" i="77"/>
  <c r="H28" i="77"/>
  <c r="H22" i="77"/>
  <c r="H16" i="77"/>
  <c r="H10" i="77"/>
  <c r="H27" i="77"/>
  <c r="H21" i="77"/>
  <c r="H15" i="77"/>
  <c r="H9" i="77"/>
  <c r="H26" i="77"/>
  <c r="H20" i="77"/>
  <c r="H8" i="77"/>
  <c r="H7" i="77"/>
  <c r="H25" i="77"/>
  <c r="H24" i="77"/>
  <c r="H12" i="77"/>
  <c r="H6" i="77"/>
  <c r="E23" i="77"/>
  <c r="E28" i="77"/>
  <c r="E21" i="77"/>
  <c r="E26" i="77"/>
  <c r="E14" i="77"/>
  <c r="E11" i="77"/>
  <c r="E16" i="77"/>
  <c r="E9" i="77"/>
  <c r="E20" i="77"/>
  <c r="E8" i="77"/>
  <c r="E22" i="77"/>
  <c r="E27" i="77"/>
  <c r="E7" i="77"/>
  <c r="E29" i="77"/>
  <c r="E10" i="77"/>
  <c r="E15" i="77"/>
  <c r="E25" i="77"/>
  <c r="E19" i="77"/>
  <c r="E13" i="77"/>
  <c r="E17" i="77"/>
  <c r="E30" i="77"/>
  <c r="E24" i="77"/>
  <c r="E18" i="77"/>
  <c r="E12" i="77"/>
  <c r="E6" i="77"/>
  <c r="D23" i="77"/>
  <c r="D16" i="77"/>
  <c r="D27" i="77"/>
  <c r="D21" i="77"/>
  <c r="D15" i="77"/>
  <c r="D9" i="77"/>
  <c r="D29" i="77"/>
  <c r="D8" i="77"/>
  <c r="D11" i="77"/>
  <c r="D10" i="77"/>
  <c r="D26" i="77"/>
  <c r="D20" i="77"/>
  <c r="D14" i="77"/>
  <c r="D25" i="77"/>
  <c r="D19" i="77"/>
  <c r="D13" i="77"/>
  <c r="D7" i="77"/>
  <c r="D28" i="77"/>
  <c r="D17" i="77"/>
  <c r="D22" i="77"/>
  <c r="D30" i="77"/>
  <c r="D24" i="77"/>
  <c r="D18" i="77"/>
  <c r="D12" i="77"/>
  <c r="D6" i="77"/>
  <c r="C30" i="77"/>
  <c r="C15" i="77"/>
  <c r="C17" i="77"/>
  <c r="C24" i="77"/>
  <c r="C18" i="77"/>
  <c r="C12" i="77"/>
  <c r="C29" i="77"/>
  <c r="C23" i="77"/>
  <c r="C11" i="77"/>
  <c r="C28" i="77"/>
  <c r="C22" i="77"/>
  <c r="C16" i="77"/>
  <c r="C10" i="77"/>
  <c r="C27" i="77"/>
  <c r="C21" i="77"/>
  <c r="C9" i="77"/>
  <c r="C26" i="77"/>
  <c r="C20" i="77"/>
  <c r="C14" i="77"/>
  <c r="C8" i="77"/>
  <c r="C25" i="77"/>
  <c r="C19" i="77"/>
  <c r="C13" i="77"/>
  <c r="C7" i="77"/>
  <c r="C6" i="77"/>
  <c r="U5" i="77"/>
  <c r="T5" i="77"/>
  <c r="S5" i="77"/>
  <c r="P5" i="77"/>
  <c r="O5" i="77"/>
  <c r="N5" i="77"/>
  <c r="J5" i="77"/>
  <c r="I5" i="77"/>
  <c r="H5" i="77"/>
  <c r="E5" i="77"/>
  <c r="D5" i="77"/>
  <c r="C5" i="77"/>
  <c r="U19" i="73"/>
  <c r="U23" i="73"/>
  <c r="U14" i="73"/>
  <c r="U25" i="73"/>
  <c r="U29" i="73"/>
  <c r="U17" i="73"/>
  <c r="U11" i="73"/>
  <c r="U28" i="73"/>
  <c r="U22" i="73"/>
  <c r="U16" i="73"/>
  <c r="U10" i="73"/>
  <c r="U27" i="73"/>
  <c r="U21" i="73"/>
  <c r="U15" i="73"/>
  <c r="U9" i="73"/>
  <c r="U26" i="73"/>
  <c r="U20" i="73"/>
  <c r="U8" i="73"/>
  <c r="U7" i="73"/>
  <c r="U13" i="73"/>
  <c r="U30" i="73"/>
  <c r="U24" i="73"/>
  <c r="U18" i="73"/>
  <c r="U12" i="73"/>
  <c r="U6" i="73"/>
  <c r="T17" i="73"/>
  <c r="T28" i="73"/>
  <c r="T21" i="73"/>
  <c r="T15" i="73"/>
  <c r="T9" i="73"/>
  <c r="T23" i="73"/>
  <c r="T20" i="73"/>
  <c r="T8" i="73"/>
  <c r="T16" i="73"/>
  <c r="T7" i="73"/>
  <c r="T29" i="73"/>
  <c r="T22" i="73"/>
  <c r="T19" i="73"/>
  <c r="T11" i="73"/>
  <c r="T10" i="73"/>
  <c r="T27" i="73"/>
  <c r="T26" i="73"/>
  <c r="T14" i="73"/>
  <c r="T25" i="73"/>
  <c r="T13" i="73"/>
  <c r="T30" i="73"/>
  <c r="T24" i="73"/>
  <c r="T18" i="73"/>
  <c r="T12" i="73"/>
  <c r="T6" i="73"/>
  <c r="S14" i="73"/>
  <c r="S29" i="73"/>
  <c r="S8" i="73"/>
  <c r="S23" i="73"/>
  <c r="S28" i="73"/>
  <c r="S10" i="73"/>
  <c r="S21" i="73"/>
  <c r="S9" i="73"/>
  <c r="S20" i="73"/>
  <c r="S19" i="73"/>
  <c r="S13" i="73"/>
  <c r="S7" i="73"/>
  <c r="S11" i="73"/>
  <c r="S22" i="73"/>
  <c r="S27" i="73"/>
  <c r="S25" i="73"/>
  <c r="S17" i="73"/>
  <c r="S16" i="73"/>
  <c r="S15" i="73"/>
  <c r="S26" i="73"/>
  <c r="S30" i="73"/>
  <c r="S24" i="73"/>
  <c r="S18" i="73"/>
  <c r="S12" i="73"/>
  <c r="S6" i="73"/>
  <c r="P16" i="73"/>
  <c r="P23" i="73"/>
  <c r="P25" i="73"/>
  <c r="P19" i="73"/>
  <c r="P13" i="73"/>
  <c r="P7" i="73"/>
  <c r="P30" i="73"/>
  <c r="P24" i="73"/>
  <c r="P18" i="73"/>
  <c r="P12" i="73"/>
  <c r="P6" i="73"/>
  <c r="P29" i="73"/>
  <c r="P17" i="73"/>
  <c r="P11" i="73"/>
  <c r="P28" i="73"/>
  <c r="P22" i="73"/>
  <c r="P10" i="73"/>
  <c r="P27" i="73"/>
  <c r="P21" i="73"/>
  <c r="P15" i="73"/>
  <c r="P9" i="73"/>
  <c r="P26" i="73"/>
  <c r="P20" i="73"/>
  <c r="P14" i="73"/>
  <c r="P8" i="73"/>
  <c r="O17" i="73"/>
  <c r="O16" i="73"/>
  <c r="O8" i="73"/>
  <c r="O29" i="73"/>
  <c r="O23" i="73"/>
  <c r="O11" i="73"/>
  <c r="O28" i="73"/>
  <c r="O22" i="73"/>
  <c r="O10" i="73"/>
  <c r="O27" i="73"/>
  <c r="O21" i="73"/>
  <c r="O15" i="73"/>
  <c r="O9" i="73"/>
  <c r="O26" i="73"/>
  <c r="O20" i="73"/>
  <c r="O14" i="73"/>
  <c r="O25" i="73"/>
  <c r="O7" i="73"/>
  <c r="O19" i="73"/>
  <c r="O13" i="73"/>
  <c r="O30" i="73"/>
  <c r="O24" i="73"/>
  <c r="O18" i="73"/>
  <c r="O12" i="73"/>
  <c r="O6" i="73"/>
  <c r="N17" i="73"/>
  <c r="N10" i="73"/>
  <c r="N27" i="73"/>
  <c r="N12" i="73"/>
  <c r="N23" i="73"/>
  <c r="N15" i="73"/>
  <c r="N9" i="73"/>
  <c r="N29" i="73"/>
  <c r="N22" i="73"/>
  <c r="N21" i="73"/>
  <c r="N26" i="73"/>
  <c r="N20" i="73"/>
  <c r="N8" i="73"/>
  <c r="N16" i="73"/>
  <c r="N14" i="73"/>
  <c r="N7" i="73"/>
  <c r="N11" i="73"/>
  <c r="N25" i="73"/>
  <c r="N19" i="73"/>
  <c r="N13" i="73"/>
  <c r="N28" i="73"/>
  <c r="N30" i="73"/>
  <c r="N24" i="73"/>
  <c r="N18" i="73"/>
  <c r="N6" i="73"/>
  <c r="J13" i="73"/>
  <c r="J24" i="73"/>
  <c r="J18" i="73"/>
  <c r="J29" i="73"/>
  <c r="J17" i="73"/>
  <c r="J11" i="73"/>
  <c r="J28" i="73"/>
  <c r="J22" i="73"/>
  <c r="J16" i="73"/>
  <c r="J10" i="73"/>
  <c r="J25" i="73"/>
  <c r="J7" i="73"/>
  <c r="J30" i="73"/>
  <c r="J12" i="73"/>
  <c r="J23" i="73"/>
  <c r="J27" i="73"/>
  <c r="J21" i="73"/>
  <c r="J15" i="73"/>
  <c r="J9" i="73"/>
  <c r="J26" i="73"/>
  <c r="J20" i="73"/>
  <c r="J14" i="73"/>
  <c r="J8" i="73"/>
  <c r="J19" i="73"/>
  <c r="J6" i="73"/>
  <c r="I18" i="73"/>
  <c r="I10" i="73"/>
  <c r="I30" i="73"/>
  <c r="I7" i="73"/>
  <c r="I6" i="73"/>
  <c r="I23" i="73"/>
  <c r="I22" i="73"/>
  <c r="I21" i="73"/>
  <c r="I9" i="73"/>
  <c r="I25" i="73"/>
  <c r="I19" i="73"/>
  <c r="I24" i="73"/>
  <c r="I29" i="73"/>
  <c r="I11" i="73"/>
  <c r="I16" i="73"/>
  <c r="I27" i="73"/>
  <c r="I15" i="73"/>
  <c r="I13" i="73"/>
  <c r="I12" i="73"/>
  <c r="I17" i="73"/>
  <c r="I28" i="73"/>
  <c r="I26" i="73"/>
  <c r="I20" i="73"/>
  <c r="I14" i="73"/>
  <c r="I8" i="73"/>
  <c r="H25" i="73"/>
  <c r="H13" i="73"/>
  <c r="H7" i="73"/>
  <c r="H30" i="73"/>
  <c r="H24" i="73"/>
  <c r="H18" i="73"/>
  <c r="H12" i="73"/>
  <c r="H6" i="73"/>
  <c r="H29" i="73"/>
  <c r="H23" i="73"/>
  <c r="H17" i="73"/>
  <c r="H11" i="73"/>
  <c r="H19" i="73"/>
  <c r="H28" i="73"/>
  <c r="H22" i="73"/>
  <c r="H16" i="73"/>
  <c r="H10" i="73"/>
  <c r="H27" i="73"/>
  <c r="H21" i="73"/>
  <c r="H15" i="73"/>
  <c r="H9" i="73"/>
  <c r="H26" i="73"/>
  <c r="H20" i="73"/>
  <c r="H14" i="73"/>
  <c r="H8" i="73"/>
  <c r="E19" i="73"/>
  <c r="E24" i="73"/>
  <c r="E12" i="73"/>
  <c r="E29" i="73"/>
  <c r="E23" i="73"/>
  <c r="E17" i="73"/>
  <c r="E11" i="73"/>
  <c r="E25" i="73"/>
  <c r="E30" i="73"/>
  <c r="E18" i="73"/>
  <c r="E28" i="73"/>
  <c r="E22" i="73"/>
  <c r="E16" i="73"/>
  <c r="E10" i="73"/>
  <c r="E27" i="73"/>
  <c r="E21" i="73"/>
  <c r="E15" i="73"/>
  <c r="E9" i="73"/>
  <c r="E26" i="73"/>
  <c r="E20" i="73"/>
  <c r="E14" i="73"/>
  <c r="E8" i="73"/>
  <c r="E7" i="73"/>
  <c r="E13" i="73"/>
  <c r="E6" i="73"/>
  <c r="D28" i="73"/>
  <c r="D22" i="73"/>
  <c r="D10" i="73"/>
  <c r="D27" i="73"/>
  <c r="D21" i="73"/>
  <c r="D15" i="73"/>
  <c r="D9" i="73"/>
  <c r="D26" i="73"/>
  <c r="D14" i="73"/>
  <c r="D8" i="73"/>
  <c r="D25" i="73"/>
  <c r="D19" i="73"/>
  <c r="D13" i="73"/>
  <c r="D7" i="73"/>
  <c r="D30" i="73"/>
  <c r="D24" i="73"/>
  <c r="D18" i="73"/>
  <c r="D12" i="73"/>
  <c r="D6" i="73"/>
  <c r="D29" i="73"/>
  <c r="D23" i="73"/>
  <c r="D17" i="73"/>
  <c r="D11" i="73"/>
  <c r="D16" i="73"/>
  <c r="D20" i="73"/>
  <c r="C29" i="73"/>
  <c r="C11" i="73"/>
  <c r="C14" i="73"/>
  <c r="C17" i="73"/>
  <c r="C28" i="73"/>
  <c r="C22" i="73"/>
  <c r="C16" i="73"/>
  <c r="C10" i="73"/>
  <c r="C27" i="73"/>
  <c r="C21" i="73"/>
  <c r="C15" i="73"/>
  <c r="C9" i="73"/>
  <c r="C26" i="73"/>
  <c r="C20" i="73"/>
  <c r="C8" i="73"/>
  <c r="C23" i="73"/>
  <c r="C25" i="73"/>
  <c r="C19" i="73"/>
  <c r="C7" i="73"/>
  <c r="C13" i="73"/>
  <c r="C30" i="73"/>
  <c r="C24" i="73"/>
  <c r="C18" i="73"/>
  <c r="C12" i="73"/>
  <c r="C6" i="73"/>
  <c r="U5" i="73"/>
  <c r="T5" i="73"/>
  <c r="S5" i="73"/>
  <c r="P5" i="73"/>
  <c r="O5" i="73"/>
  <c r="N5" i="73"/>
  <c r="J5" i="73"/>
  <c r="I5" i="73"/>
  <c r="H5" i="73"/>
  <c r="E5" i="73"/>
  <c r="D5" i="73"/>
  <c r="C5" i="73"/>
  <c r="U30" i="72"/>
  <c r="U18" i="72"/>
  <c r="U11" i="72"/>
  <c r="U28" i="72"/>
  <c r="U10" i="72"/>
  <c r="U21" i="72"/>
  <c r="U9" i="72"/>
  <c r="U8" i="72"/>
  <c r="U24" i="72"/>
  <c r="U12" i="72"/>
  <c r="U29" i="72"/>
  <c r="U23" i="72"/>
  <c r="U17" i="72"/>
  <c r="U22" i="72"/>
  <c r="U16" i="72"/>
  <c r="U27" i="72"/>
  <c r="U15" i="72"/>
  <c r="U26" i="72"/>
  <c r="U20" i="72"/>
  <c r="U14" i="72"/>
  <c r="U25" i="72"/>
  <c r="U19" i="72"/>
  <c r="U13" i="72"/>
  <c r="U7" i="72"/>
  <c r="U6" i="72"/>
  <c r="T23" i="72"/>
  <c r="T16" i="72"/>
  <c r="T9" i="72"/>
  <c r="T29" i="72"/>
  <c r="T17" i="72"/>
  <c r="T22" i="72"/>
  <c r="T10" i="72"/>
  <c r="T27" i="72"/>
  <c r="T21" i="72"/>
  <c r="T15" i="72"/>
  <c r="T26" i="72"/>
  <c r="T20" i="72"/>
  <c r="T14" i="72"/>
  <c r="T8" i="72"/>
  <c r="T25" i="72"/>
  <c r="T19" i="72"/>
  <c r="T13" i="72"/>
  <c r="T7" i="72"/>
  <c r="T11" i="72"/>
  <c r="T28" i="72"/>
  <c r="T30" i="72"/>
  <c r="T24" i="72"/>
  <c r="T18" i="72"/>
  <c r="T12" i="72"/>
  <c r="T6" i="72"/>
  <c r="S25" i="72"/>
  <c r="S23" i="72"/>
  <c r="S28" i="72"/>
  <c r="S16" i="72"/>
  <c r="S15" i="72"/>
  <c r="S8" i="72"/>
  <c r="S19" i="72"/>
  <c r="S29" i="72"/>
  <c r="S17" i="72"/>
  <c r="S11" i="72"/>
  <c r="S22" i="72"/>
  <c r="S10" i="72"/>
  <c r="S27" i="72"/>
  <c r="S21" i="72"/>
  <c r="S9" i="72"/>
  <c r="S26" i="72"/>
  <c r="S20" i="72"/>
  <c r="S14" i="72"/>
  <c r="S7" i="72"/>
  <c r="S13" i="72"/>
  <c r="S30" i="72"/>
  <c r="S24" i="72"/>
  <c r="S18" i="72"/>
  <c r="S12" i="72"/>
  <c r="S6" i="72"/>
  <c r="P11" i="72"/>
  <c r="P28" i="72"/>
  <c r="P16" i="72"/>
  <c r="P15" i="72"/>
  <c r="P20" i="72"/>
  <c r="P8" i="72"/>
  <c r="P23" i="72"/>
  <c r="P17" i="72"/>
  <c r="P22" i="72"/>
  <c r="P10" i="72"/>
  <c r="P27" i="72"/>
  <c r="P21" i="72"/>
  <c r="P9" i="72"/>
  <c r="P26" i="72"/>
  <c r="P14" i="72"/>
  <c r="P7" i="72"/>
  <c r="P29" i="72"/>
  <c r="P25" i="72"/>
  <c r="P19" i="72"/>
  <c r="P13" i="72"/>
  <c r="P30" i="72"/>
  <c r="P24" i="72"/>
  <c r="P18" i="72"/>
  <c r="P12" i="72"/>
  <c r="P6" i="72"/>
  <c r="O26" i="72"/>
  <c r="O25" i="72"/>
  <c r="O19" i="72"/>
  <c r="O13" i="72"/>
  <c r="O30" i="72"/>
  <c r="O24" i="72"/>
  <c r="O18" i="72"/>
  <c r="O12" i="72"/>
  <c r="O29" i="72"/>
  <c r="O23" i="72"/>
  <c r="O17" i="72"/>
  <c r="O11" i="72"/>
  <c r="O28" i="72"/>
  <c r="O22" i="72"/>
  <c r="O16" i="72"/>
  <c r="O10" i="72"/>
  <c r="O27" i="72"/>
  <c r="O21" i="72"/>
  <c r="O15" i="72"/>
  <c r="O9" i="72"/>
  <c r="O20" i="72"/>
  <c r="O14" i="72"/>
  <c r="O8" i="72"/>
  <c r="O7" i="72"/>
  <c r="O6" i="72"/>
  <c r="N25" i="72"/>
  <c r="N19" i="72"/>
  <c r="N13" i="72"/>
  <c r="N7" i="72"/>
  <c r="N30" i="72"/>
  <c r="N24" i="72"/>
  <c r="N18" i="72"/>
  <c r="N12" i="72"/>
  <c r="N6" i="72"/>
  <c r="N29" i="72"/>
  <c r="N23" i="72"/>
  <c r="N17" i="72"/>
  <c r="N11" i="72"/>
  <c r="N28" i="72"/>
  <c r="N22" i="72"/>
  <c r="N16" i="72"/>
  <c r="N10" i="72"/>
  <c r="N27" i="72"/>
  <c r="N21" i="72"/>
  <c r="N15" i="72"/>
  <c r="N9" i="72"/>
  <c r="N26" i="72"/>
  <c r="N20" i="72"/>
  <c r="N14" i="72"/>
  <c r="N8" i="72"/>
  <c r="J29" i="72"/>
  <c r="J17" i="72"/>
  <c r="J28" i="72"/>
  <c r="J16" i="72"/>
  <c r="J21" i="72"/>
  <c r="J9" i="72"/>
  <c r="J30" i="72"/>
  <c r="J23" i="72"/>
  <c r="J11" i="72"/>
  <c r="J22" i="72"/>
  <c r="J10" i="72"/>
  <c r="J27" i="72"/>
  <c r="J15" i="72"/>
  <c r="J26" i="72"/>
  <c r="J20" i="72"/>
  <c r="J14" i="72"/>
  <c r="J8" i="72"/>
  <c r="J25" i="72"/>
  <c r="J19" i="72"/>
  <c r="J13" i="72"/>
  <c r="J7" i="72"/>
  <c r="J24" i="72"/>
  <c r="J18" i="72"/>
  <c r="J12" i="72"/>
  <c r="J6" i="72"/>
  <c r="I9" i="72"/>
  <c r="I29" i="72"/>
  <c r="I17" i="72"/>
  <c r="I10" i="72"/>
  <c r="I27" i="72"/>
  <c r="I26" i="72"/>
  <c r="I20" i="72"/>
  <c r="I14" i="72"/>
  <c r="I8" i="72"/>
  <c r="I23" i="72"/>
  <c r="I11" i="72"/>
  <c r="I28" i="72"/>
  <c r="I22" i="72"/>
  <c r="I16" i="72"/>
  <c r="I15" i="72"/>
  <c r="I25" i="72"/>
  <c r="I19" i="72"/>
  <c r="I13" i="72"/>
  <c r="I7" i="72"/>
  <c r="I21" i="72"/>
  <c r="I30" i="72"/>
  <c r="I24" i="72"/>
  <c r="I18" i="72"/>
  <c r="I12" i="72"/>
  <c r="I6" i="72"/>
  <c r="H17" i="72"/>
  <c r="H25" i="72"/>
  <c r="H19" i="72"/>
  <c r="H13" i="72"/>
  <c r="H7" i="72"/>
  <c r="H30" i="72"/>
  <c r="H24" i="72"/>
  <c r="H18" i="72"/>
  <c r="H12" i="72"/>
  <c r="H6" i="72"/>
  <c r="H29" i="72"/>
  <c r="H23" i="72"/>
  <c r="H11" i="72"/>
  <c r="H28" i="72"/>
  <c r="H22" i="72"/>
  <c r="H16" i="72"/>
  <c r="H10" i="72"/>
  <c r="H27" i="72"/>
  <c r="H21" i="72"/>
  <c r="H15" i="72"/>
  <c r="H9" i="72"/>
  <c r="H26" i="72"/>
  <c r="H20" i="72"/>
  <c r="H14" i="72"/>
  <c r="H8" i="72"/>
  <c r="E17" i="72"/>
  <c r="E14" i="72"/>
  <c r="E19" i="72"/>
  <c r="E29" i="72"/>
  <c r="E23" i="72"/>
  <c r="E11" i="72"/>
  <c r="E28" i="72"/>
  <c r="E22" i="72"/>
  <c r="E16" i="72"/>
  <c r="E10" i="72"/>
  <c r="E27" i="72"/>
  <c r="E21" i="72"/>
  <c r="E15" i="72"/>
  <c r="E9" i="72"/>
  <c r="E26" i="72"/>
  <c r="E20" i="72"/>
  <c r="E8" i="72"/>
  <c r="E7" i="72"/>
  <c r="E13" i="72"/>
  <c r="E25" i="72"/>
  <c r="E30" i="72"/>
  <c r="E24" i="72"/>
  <c r="E18" i="72"/>
  <c r="E12" i="72"/>
  <c r="E6" i="72"/>
  <c r="D18" i="72"/>
  <c r="D23" i="72"/>
  <c r="D16" i="72"/>
  <c r="D21" i="72"/>
  <c r="D15" i="72"/>
  <c r="D9" i="72"/>
  <c r="D24" i="72"/>
  <c r="D29" i="72"/>
  <c r="D11" i="72"/>
  <c r="D28" i="72"/>
  <c r="D10" i="72"/>
  <c r="D27" i="72"/>
  <c r="D26" i="72"/>
  <c r="D20" i="72"/>
  <c r="D14" i="72"/>
  <c r="D8" i="72"/>
  <c r="D25" i="72"/>
  <c r="D19" i="72"/>
  <c r="D7" i="72"/>
  <c r="D30" i="72"/>
  <c r="D12" i="72"/>
  <c r="D17" i="72"/>
  <c r="D22" i="72"/>
  <c r="D13" i="72"/>
  <c r="D6" i="72"/>
  <c r="C23" i="72"/>
  <c r="C28" i="72"/>
  <c r="C8" i="72"/>
  <c r="C29" i="72"/>
  <c r="C11" i="72"/>
  <c r="C10" i="72"/>
  <c r="C27" i="72"/>
  <c r="C15" i="72"/>
  <c r="C9" i="72"/>
  <c r="C26" i="72"/>
  <c r="C20" i="72"/>
  <c r="C14" i="72"/>
  <c r="C7" i="72"/>
  <c r="C22" i="72"/>
  <c r="C17" i="72"/>
  <c r="C16" i="72"/>
  <c r="C21" i="72"/>
  <c r="C25" i="72"/>
  <c r="C19" i="72"/>
  <c r="C13" i="72"/>
  <c r="C30" i="72"/>
  <c r="C24" i="72"/>
  <c r="C18" i="72"/>
  <c r="C12" i="72"/>
  <c r="C6" i="72"/>
  <c r="U5" i="72"/>
  <c r="T5" i="72"/>
  <c r="S5" i="72"/>
  <c r="P5" i="72"/>
  <c r="O5" i="72"/>
  <c r="N5" i="72"/>
  <c r="J5" i="72"/>
  <c r="I5" i="72"/>
  <c r="H5" i="72"/>
  <c r="E5" i="72"/>
  <c r="D5" i="72"/>
  <c r="C5" i="72"/>
  <c r="C70" i="69"/>
  <c r="C63" i="69"/>
  <c r="C42" i="69"/>
  <c r="C35" i="69"/>
  <c r="S4" i="59" l="1"/>
  <c r="S5" i="59"/>
  <c r="S6" i="59"/>
  <c r="S7" i="59"/>
  <c r="S8" i="59"/>
  <c r="S9" i="59"/>
  <c r="S10" i="59"/>
  <c r="S11" i="59"/>
  <c r="S12" i="59"/>
  <c r="S13" i="59"/>
  <c r="S14" i="59"/>
  <c r="S15" i="59"/>
  <c r="S16" i="59"/>
  <c r="S17" i="59"/>
  <c r="S18" i="59"/>
  <c r="S19" i="59"/>
  <c r="S20" i="59"/>
  <c r="S21" i="59"/>
  <c r="S22" i="59"/>
  <c r="S23" i="59"/>
  <c r="S24" i="59"/>
  <c r="S25" i="59"/>
  <c r="S26" i="59"/>
  <c r="S27" i="59"/>
  <c r="S28" i="59"/>
  <c r="S29" i="59"/>
  <c r="S30" i="59"/>
  <c r="S31" i="59"/>
  <c r="S32" i="59"/>
  <c r="S33" i="59"/>
  <c r="S34" i="59"/>
  <c r="S35" i="59"/>
  <c r="S36" i="59"/>
  <c r="S37" i="59"/>
  <c r="S38" i="59"/>
  <c r="S39" i="59"/>
  <c r="S40" i="59"/>
  <c r="S41" i="59"/>
  <c r="S42" i="59"/>
  <c r="S43" i="59"/>
  <c r="S44" i="59"/>
  <c r="S45" i="59"/>
  <c r="S46" i="59"/>
  <c r="S47" i="59"/>
  <c r="S48" i="59"/>
  <c r="S49" i="59"/>
  <c r="S50" i="59"/>
  <c r="S51" i="59"/>
  <c r="S52" i="59"/>
  <c r="S53" i="59"/>
  <c r="S54" i="59"/>
  <c r="S55" i="59"/>
  <c r="S56" i="59"/>
  <c r="S57" i="59"/>
  <c r="S58" i="59"/>
  <c r="S59" i="59"/>
  <c r="S60" i="59"/>
  <c r="S61" i="59"/>
  <c r="S62" i="59"/>
  <c r="S63" i="59"/>
  <c r="S64" i="59"/>
  <c r="S65" i="59"/>
  <c r="S66" i="59"/>
  <c r="S67" i="59"/>
  <c r="S68" i="59"/>
  <c r="S69" i="59"/>
  <c r="S70" i="59"/>
  <c r="S71" i="59"/>
  <c r="S72" i="59"/>
  <c r="S73" i="59"/>
  <c r="S74" i="59"/>
  <c r="S75" i="59"/>
  <c r="S76" i="59"/>
  <c r="S77" i="59"/>
  <c r="S78" i="59"/>
  <c r="S79" i="59"/>
  <c r="S80" i="59"/>
  <c r="S81" i="59"/>
  <c r="S82" i="59"/>
  <c r="S83" i="59"/>
  <c r="S84" i="59"/>
  <c r="S85" i="59"/>
  <c r="S86" i="59"/>
  <c r="S87" i="59"/>
  <c r="S88" i="59"/>
  <c r="S89" i="59"/>
  <c r="S90" i="59"/>
  <c r="S91" i="59"/>
  <c r="S92" i="59"/>
  <c r="S93" i="59"/>
  <c r="S94" i="59"/>
  <c r="S95" i="59"/>
  <c r="S96" i="59"/>
  <c r="S97" i="59"/>
  <c r="S98" i="59"/>
  <c r="S99" i="59"/>
  <c r="S100" i="59"/>
  <c r="S101" i="59"/>
  <c r="S102" i="59"/>
  <c r="S103" i="59"/>
  <c r="S104" i="59"/>
  <c r="S105" i="59"/>
  <c r="S106" i="59"/>
  <c r="S107" i="59"/>
  <c r="R4" i="59"/>
  <c r="R5" i="59"/>
  <c r="R6" i="59"/>
  <c r="R7" i="59"/>
  <c r="R8" i="59"/>
  <c r="R9" i="59"/>
  <c r="R10" i="59"/>
  <c r="R11" i="59"/>
  <c r="R12" i="59"/>
  <c r="R13" i="59"/>
  <c r="R14" i="59"/>
  <c r="R15" i="59"/>
  <c r="R16" i="59"/>
  <c r="R17" i="59"/>
  <c r="R18" i="59"/>
  <c r="R19" i="59"/>
  <c r="R20" i="59"/>
  <c r="R21" i="59"/>
  <c r="R22" i="59"/>
  <c r="R23" i="59"/>
  <c r="R24" i="59"/>
  <c r="R25" i="59"/>
  <c r="R26" i="59"/>
  <c r="R27" i="59"/>
  <c r="R28" i="59"/>
  <c r="R29" i="59"/>
  <c r="R30" i="59"/>
  <c r="R31" i="59"/>
  <c r="R32" i="59"/>
  <c r="R33" i="59"/>
  <c r="R34" i="59"/>
  <c r="R35" i="59"/>
  <c r="R36" i="59"/>
  <c r="R37" i="59"/>
  <c r="R38" i="59"/>
  <c r="R39" i="59"/>
  <c r="R40" i="59"/>
  <c r="R41" i="59"/>
  <c r="R42" i="59"/>
  <c r="R43" i="59"/>
  <c r="R44" i="59"/>
  <c r="R45" i="59"/>
  <c r="R46" i="59"/>
  <c r="R47" i="59"/>
  <c r="R48" i="59"/>
  <c r="R49" i="59"/>
  <c r="R50" i="59"/>
  <c r="R51" i="59"/>
  <c r="R52" i="59"/>
  <c r="R53" i="59"/>
  <c r="R54" i="59"/>
  <c r="R55" i="59"/>
  <c r="R56" i="59"/>
  <c r="R57" i="59"/>
  <c r="R58" i="59"/>
  <c r="R59" i="59"/>
  <c r="R60" i="59"/>
  <c r="R61" i="59"/>
  <c r="R62" i="59"/>
  <c r="R63" i="59"/>
  <c r="R64" i="59"/>
  <c r="R65" i="59"/>
  <c r="R66" i="59"/>
  <c r="R67" i="59"/>
  <c r="R68" i="59"/>
  <c r="R69" i="59"/>
  <c r="R70" i="59"/>
  <c r="R71" i="59"/>
  <c r="R72" i="59"/>
  <c r="R73" i="59"/>
  <c r="R74" i="59"/>
  <c r="R75" i="59"/>
  <c r="R76" i="59"/>
  <c r="R77" i="59"/>
  <c r="R78" i="59"/>
  <c r="R79" i="59"/>
  <c r="R80" i="59"/>
  <c r="R81" i="59"/>
  <c r="R82" i="59"/>
  <c r="R83" i="59"/>
  <c r="R84" i="59"/>
  <c r="R85" i="59"/>
  <c r="R86" i="59"/>
  <c r="R87" i="59"/>
  <c r="R88" i="59"/>
  <c r="R89" i="59"/>
  <c r="R90" i="59"/>
  <c r="R91" i="59"/>
  <c r="R92" i="59"/>
  <c r="R93" i="59"/>
  <c r="R94" i="59"/>
  <c r="R95" i="59"/>
  <c r="R96" i="59"/>
  <c r="R97" i="59"/>
  <c r="R98" i="59"/>
  <c r="R99" i="59"/>
  <c r="R100" i="59"/>
  <c r="R101" i="59"/>
  <c r="R102" i="59"/>
  <c r="R103" i="59"/>
  <c r="R104" i="59"/>
  <c r="R105" i="59"/>
  <c r="R106" i="59"/>
  <c r="Q4" i="59"/>
  <c r="Q5" i="59"/>
  <c r="Q6" i="59"/>
  <c r="Q7" i="59"/>
  <c r="Q8" i="59"/>
  <c r="Q9" i="59"/>
  <c r="Q10" i="59"/>
  <c r="Q11" i="59"/>
  <c r="Q12" i="59"/>
  <c r="Q13" i="59"/>
  <c r="Q14" i="59"/>
  <c r="Q15" i="59"/>
  <c r="Q16" i="59"/>
  <c r="Q17" i="59"/>
  <c r="Q18" i="59"/>
  <c r="Q19" i="59"/>
  <c r="Q20" i="59"/>
  <c r="Q21" i="59"/>
  <c r="Q22" i="59"/>
  <c r="Q23" i="59"/>
  <c r="Q24" i="59"/>
  <c r="Q25" i="59"/>
  <c r="Q26" i="59"/>
  <c r="Q27" i="59"/>
  <c r="Q28" i="59"/>
  <c r="Q29" i="59"/>
  <c r="Q30" i="59"/>
  <c r="Q31" i="59"/>
  <c r="Q32" i="59"/>
  <c r="Q33" i="59"/>
  <c r="Q34" i="59"/>
  <c r="Q35" i="59"/>
  <c r="Q36" i="59"/>
  <c r="Q37" i="59"/>
  <c r="Q38" i="59"/>
  <c r="Q39" i="59"/>
  <c r="Q40" i="59"/>
  <c r="Q41" i="59"/>
  <c r="Q42" i="59"/>
  <c r="Q43" i="59"/>
  <c r="Q44" i="59"/>
  <c r="Q45" i="59"/>
  <c r="Q46" i="59"/>
  <c r="Q47" i="59"/>
  <c r="Q48" i="59"/>
  <c r="Q49" i="59"/>
  <c r="Q50" i="59"/>
  <c r="Q51" i="59"/>
  <c r="Q52" i="59"/>
  <c r="Q53" i="59"/>
  <c r="Q54" i="59"/>
  <c r="Q55" i="59"/>
  <c r="Q56" i="59"/>
  <c r="Q57" i="59"/>
  <c r="Q58" i="59"/>
  <c r="Q59" i="59"/>
  <c r="Q60" i="59"/>
  <c r="Q61" i="59"/>
  <c r="Q62" i="59"/>
  <c r="Q63" i="59"/>
  <c r="Q64" i="59"/>
  <c r="Q65" i="59"/>
  <c r="Q66" i="59"/>
  <c r="Q67" i="59"/>
  <c r="Q68" i="59"/>
  <c r="Q69" i="59"/>
  <c r="Q70" i="59"/>
  <c r="Q71" i="59"/>
  <c r="Q72" i="59"/>
  <c r="Q73" i="59"/>
  <c r="Q74" i="59"/>
  <c r="Q75" i="59"/>
  <c r="Q76" i="59"/>
  <c r="Q77" i="59"/>
  <c r="Q78" i="59"/>
  <c r="Q79" i="59"/>
  <c r="Q80" i="59"/>
  <c r="Q81" i="59"/>
  <c r="Q82" i="59"/>
  <c r="Q83" i="59"/>
  <c r="Q84" i="59"/>
  <c r="Q85" i="59"/>
  <c r="Q86" i="59"/>
  <c r="Q87" i="59"/>
  <c r="Q88" i="59"/>
  <c r="Q89" i="59"/>
  <c r="Q90" i="59"/>
  <c r="Q91" i="59"/>
  <c r="Q92" i="59"/>
  <c r="Q93" i="59"/>
  <c r="Q94" i="59"/>
  <c r="Q95" i="59"/>
  <c r="Q96" i="59"/>
  <c r="Q97" i="59"/>
  <c r="Q98" i="59"/>
  <c r="Q99" i="59"/>
  <c r="Q100" i="59"/>
  <c r="Q101" i="59"/>
  <c r="Q102" i="59"/>
  <c r="Q103" i="59"/>
  <c r="Q104" i="59"/>
  <c r="Q105" i="59"/>
  <c r="Q106" i="59"/>
  <c r="S3" i="59"/>
  <c r="R3" i="59"/>
  <c r="Q3" i="59"/>
  <c r="P3" i="38"/>
  <c r="D6" i="66" l="1"/>
  <c r="S4" i="64"/>
  <c r="S5" i="64"/>
  <c r="S6" i="64"/>
  <c r="S7" i="64"/>
  <c r="S8" i="64"/>
  <c r="S9" i="64"/>
  <c r="S10" i="64"/>
  <c r="S11" i="64"/>
  <c r="S12" i="64"/>
  <c r="W11" i="64" s="1"/>
  <c r="E18" i="66" s="1"/>
  <c r="S13" i="64"/>
  <c r="S14" i="64"/>
  <c r="S15" i="64"/>
  <c r="S16" i="64"/>
  <c r="S17" i="64"/>
  <c r="S18" i="64"/>
  <c r="S19" i="64"/>
  <c r="S20" i="64"/>
  <c r="S21" i="64"/>
  <c r="S22" i="64"/>
  <c r="S23" i="64"/>
  <c r="S24" i="64"/>
  <c r="W23" i="64" s="1"/>
  <c r="S25" i="64"/>
  <c r="S26" i="64"/>
  <c r="S27" i="64"/>
  <c r="S28" i="64"/>
  <c r="S29" i="64"/>
  <c r="S30" i="64"/>
  <c r="S31" i="64"/>
  <c r="S32" i="64"/>
  <c r="S33" i="64"/>
  <c r="S34" i="64"/>
  <c r="S35" i="64"/>
  <c r="S36" i="64"/>
  <c r="S37" i="64"/>
  <c r="S38" i="64"/>
  <c r="S39" i="64"/>
  <c r="S40" i="64"/>
  <c r="S41" i="64"/>
  <c r="S42" i="64"/>
  <c r="S43" i="64"/>
  <c r="S44" i="64"/>
  <c r="S45" i="64"/>
  <c r="S46" i="64"/>
  <c r="S47" i="64"/>
  <c r="S48" i="64"/>
  <c r="S49" i="64"/>
  <c r="S50" i="64"/>
  <c r="S51" i="64"/>
  <c r="S52" i="64"/>
  <c r="S53" i="64"/>
  <c r="S54" i="64"/>
  <c r="S55" i="64"/>
  <c r="S56" i="64"/>
  <c r="S57" i="64"/>
  <c r="S58" i="64"/>
  <c r="S59" i="64"/>
  <c r="S60" i="64"/>
  <c r="S61" i="64"/>
  <c r="S62" i="64"/>
  <c r="S63" i="64"/>
  <c r="S64" i="64"/>
  <c r="S65" i="64"/>
  <c r="S66" i="64"/>
  <c r="S67" i="64"/>
  <c r="S68" i="64"/>
  <c r="S69" i="64"/>
  <c r="S70" i="64"/>
  <c r="S71" i="64"/>
  <c r="S72" i="64"/>
  <c r="S73" i="64"/>
  <c r="S74" i="64"/>
  <c r="S75" i="64"/>
  <c r="S76" i="64"/>
  <c r="S77" i="64"/>
  <c r="S78" i="64"/>
  <c r="S79" i="64"/>
  <c r="W79" i="64" s="1"/>
  <c r="S80" i="64"/>
  <c r="S81" i="64"/>
  <c r="S82" i="64"/>
  <c r="S83" i="64"/>
  <c r="S84" i="64"/>
  <c r="S85" i="64"/>
  <c r="S86" i="64"/>
  <c r="S87" i="64"/>
  <c r="S88" i="64"/>
  <c r="S89" i="64"/>
  <c r="S90" i="64"/>
  <c r="S91" i="64"/>
  <c r="S92" i="64"/>
  <c r="S93" i="64"/>
  <c r="S94" i="64"/>
  <c r="S95" i="64"/>
  <c r="S96" i="64"/>
  <c r="S97" i="64"/>
  <c r="S98" i="64"/>
  <c r="S99" i="64"/>
  <c r="S100" i="64"/>
  <c r="S101" i="64"/>
  <c r="S102" i="64"/>
  <c r="S103" i="64"/>
  <c r="W103" i="64" s="1"/>
  <c r="S104" i="64"/>
  <c r="S105" i="64"/>
  <c r="S106" i="64"/>
  <c r="S3" i="64"/>
  <c r="R4" i="64"/>
  <c r="R5" i="64"/>
  <c r="R6" i="64"/>
  <c r="R7" i="64"/>
  <c r="R8" i="64"/>
  <c r="R9" i="64"/>
  <c r="R10" i="64"/>
  <c r="R11" i="64"/>
  <c r="R12" i="64"/>
  <c r="R13" i="64"/>
  <c r="R14" i="64"/>
  <c r="R15" i="64"/>
  <c r="R16" i="64"/>
  <c r="R17" i="64"/>
  <c r="R18" i="64"/>
  <c r="R19" i="64"/>
  <c r="R20" i="64"/>
  <c r="R21" i="64"/>
  <c r="R22" i="64"/>
  <c r="R23" i="64"/>
  <c r="R24" i="64"/>
  <c r="R25" i="64"/>
  <c r="R26" i="64"/>
  <c r="R27" i="64"/>
  <c r="R28" i="64"/>
  <c r="R29" i="64"/>
  <c r="R30" i="64"/>
  <c r="R31" i="64"/>
  <c r="R32" i="64"/>
  <c r="R33" i="64"/>
  <c r="R34" i="64"/>
  <c r="R35" i="64"/>
  <c r="R36" i="64"/>
  <c r="R37" i="64"/>
  <c r="R38" i="64"/>
  <c r="R39" i="64"/>
  <c r="R40" i="64"/>
  <c r="R41" i="64"/>
  <c r="R42" i="64"/>
  <c r="R43" i="64"/>
  <c r="R44" i="64"/>
  <c r="R45" i="64"/>
  <c r="V45" i="64" s="1"/>
  <c r="R46" i="64"/>
  <c r="R47" i="64"/>
  <c r="R48" i="64"/>
  <c r="R49" i="64"/>
  <c r="R50" i="64"/>
  <c r="R51" i="64"/>
  <c r="R52" i="64"/>
  <c r="R53" i="64"/>
  <c r="R54" i="64"/>
  <c r="R55" i="64"/>
  <c r="R56" i="64"/>
  <c r="R57" i="64"/>
  <c r="R58" i="64"/>
  <c r="R59" i="64"/>
  <c r="R60" i="64"/>
  <c r="R61" i="64"/>
  <c r="R62" i="64"/>
  <c r="R63" i="64"/>
  <c r="R64" i="64"/>
  <c r="R65" i="64"/>
  <c r="R66" i="64"/>
  <c r="R67" i="64"/>
  <c r="R68" i="64"/>
  <c r="R69" i="64"/>
  <c r="R70" i="64"/>
  <c r="R71" i="64"/>
  <c r="R72" i="64"/>
  <c r="R73" i="64"/>
  <c r="R74" i="64"/>
  <c r="R75" i="64"/>
  <c r="R76" i="64"/>
  <c r="R77" i="64"/>
  <c r="R78" i="64"/>
  <c r="R79" i="64"/>
  <c r="R80" i="64"/>
  <c r="R81" i="64"/>
  <c r="R82" i="64"/>
  <c r="R83" i="64"/>
  <c r="R84" i="64"/>
  <c r="R85" i="64"/>
  <c r="R86" i="64"/>
  <c r="R87" i="64"/>
  <c r="R88" i="64"/>
  <c r="R89" i="64"/>
  <c r="R90" i="64"/>
  <c r="R91" i="64"/>
  <c r="R92" i="64"/>
  <c r="R93" i="64"/>
  <c r="R94" i="64"/>
  <c r="R95" i="64"/>
  <c r="R96" i="64"/>
  <c r="R97" i="64"/>
  <c r="R98" i="64"/>
  <c r="R99" i="64"/>
  <c r="R100" i="64"/>
  <c r="R101" i="64"/>
  <c r="R102" i="64"/>
  <c r="R103" i="64"/>
  <c r="R104" i="64"/>
  <c r="R105" i="64"/>
  <c r="R106" i="64"/>
  <c r="R3" i="64"/>
  <c r="Q4" i="64"/>
  <c r="Q5" i="64"/>
  <c r="Q6" i="64"/>
  <c r="Q7" i="64"/>
  <c r="Q8" i="64"/>
  <c r="Q9" i="64"/>
  <c r="Q10" i="64"/>
  <c r="Q11" i="64"/>
  <c r="Q12" i="64"/>
  <c r="Q13" i="64"/>
  <c r="Q14" i="64"/>
  <c r="Q15" i="64"/>
  <c r="Q16" i="64"/>
  <c r="Q17" i="64"/>
  <c r="Q18" i="64"/>
  <c r="Q19" i="64"/>
  <c r="Q20" i="64"/>
  <c r="U19" i="64" s="1"/>
  <c r="Q21" i="64"/>
  <c r="Q22" i="64"/>
  <c r="Q23" i="64"/>
  <c r="Q24" i="64"/>
  <c r="Q25" i="64"/>
  <c r="Q26" i="64"/>
  <c r="Q27" i="64"/>
  <c r="Q28" i="64"/>
  <c r="Q29" i="64"/>
  <c r="Q30" i="64"/>
  <c r="Q31" i="64"/>
  <c r="Q32" i="64"/>
  <c r="Q33" i="64"/>
  <c r="Q34" i="64"/>
  <c r="Q35" i="64"/>
  <c r="Q36" i="64"/>
  <c r="Q37" i="64"/>
  <c r="Q38" i="64"/>
  <c r="Q39" i="64"/>
  <c r="Q40" i="64"/>
  <c r="Q41" i="64"/>
  <c r="Q42" i="64"/>
  <c r="Q43" i="64"/>
  <c r="Q44" i="64"/>
  <c r="U43" i="64" s="1"/>
  <c r="Q45" i="64"/>
  <c r="Q46" i="64"/>
  <c r="Q47" i="64"/>
  <c r="Q48" i="64"/>
  <c r="Q49" i="64"/>
  <c r="Q50" i="64"/>
  <c r="Q51" i="64"/>
  <c r="Q52" i="64"/>
  <c r="Q53" i="64"/>
  <c r="Q54" i="64"/>
  <c r="Q55" i="64"/>
  <c r="Q56" i="64"/>
  <c r="U55" i="64" s="1"/>
  <c r="Q57" i="64"/>
  <c r="Q58" i="64"/>
  <c r="Q59" i="64"/>
  <c r="Q60" i="64"/>
  <c r="Q61" i="64"/>
  <c r="Q62" i="64"/>
  <c r="Q63" i="64"/>
  <c r="Q64" i="64"/>
  <c r="Q65" i="64"/>
  <c r="Q66" i="64"/>
  <c r="Q67" i="64"/>
  <c r="Q68" i="64"/>
  <c r="U67" i="64" s="1"/>
  <c r="Q69" i="64"/>
  <c r="Q70" i="64"/>
  <c r="Q71" i="64"/>
  <c r="Q72" i="64"/>
  <c r="Q73" i="64"/>
  <c r="Q74" i="64"/>
  <c r="Q75" i="64"/>
  <c r="Q76" i="64"/>
  <c r="Q77" i="64"/>
  <c r="Q78" i="64"/>
  <c r="Q79" i="64"/>
  <c r="Q80" i="64"/>
  <c r="Q81" i="64"/>
  <c r="Q82" i="64"/>
  <c r="Q83" i="64"/>
  <c r="Q84" i="64"/>
  <c r="Q85" i="64"/>
  <c r="Q86" i="64"/>
  <c r="Q87" i="64"/>
  <c r="Q88" i="64"/>
  <c r="Q89" i="64"/>
  <c r="Q90" i="64"/>
  <c r="Q91" i="64"/>
  <c r="Q92" i="64"/>
  <c r="U91" i="64" s="1"/>
  <c r="Q93" i="64"/>
  <c r="Q94" i="64"/>
  <c r="Q95" i="64"/>
  <c r="Q96" i="64"/>
  <c r="Q97" i="64"/>
  <c r="Q98" i="64"/>
  <c r="Q99" i="64"/>
  <c r="Q100" i="64"/>
  <c r="Q101" i="64"/>
  <c r="Q102" i="64"/>
  <c r="Q103" i="64"/>
  <c r="Q104" i="64"/>
  <c r="Q105" i="64"/>
  <c r="Q106" i="64"/>
  <c r="Q3" i="64"/>
  <c r="C106" i="64"/>
  <c r="T105" i="64"/>
  <c r="C105" i="64"/>
  <c r="G105" i="64" s="1"/>
  <c r="G104" i="64"/>
  <c r="C104" i="64"/>
  <c r="T103" i="64"/>
  <c r="C103" i="64"/>
  <c r="C102" i="64"/>
  <c r="T101" i="64"/>
  <c r="G101" i="64"/>
  <c r="C101" i="64"/>
  <c r="C100" i="64"/>
  <c r="G100" i="64" s="1"/>
  <c r="T99" i="64"/>
  <c r="C99" i="64"/>
  <c r="G98" i="64"/>
  <c r="C98" i="64"/>
  <c r="T97" i="64"/>
  <c r="C97" i="64"/>
  <c r="G97" i="64" s="1"/>
  <c r="G96" i="64"/>
  <c r="C96" i="64"/>
  <c r="T95" i="64"/>
  <c r="C95" i="64"/>
  <c r="G95" i="64" s="1"/>
  <c r="C94" i="64"/>
  <c r="T93" i="64"/>
  <c r="C93" i="64"/>
  <c r="G93" i="64" s="1"/>
  <c r="G92" i="64"/>
  <c r="C92" i="64"/>
  <c r="T91" i="64"/>
  <c r="W91" i="64"/>
  <c r="C91" i="64"/>
  <c r="C90" i="64"/>
  <c r="T89" i="64"/>
  <c r="G89" i="64"/>
  <c r="C89" i="64"/>
  <c r="C88" i="64"/>
  <c r="T87" i="64"/>
  <c r="C87" i="64"/>
  <c r="G86" i="64"/>
  <c r="C86" i="64"/>
  <c r="T85" i="64"/>
  <c r="C85" i="64"/>
  <c r="G85" i="64" s="1"/>
  <c r="G84" i="64"/>
  <c r="C84" i="64"/>
  <c r="T83" i="64"/>
  <c r="C83" i="64"/>
  <c r="C82" i="64"/>
  <c r="T81" i="64"/>
  <c r="C81" i="64"/>
  <c r="G81" i="64" s="1"/>
  <c r="G80" i="64"/>
  <c r="C80" i="64"/>
  <c r="T79" i="64"/>
  <c r="C79" i="64"/>
  <c r="C78" i="64"/>
  <c r="T77" i="64"/>
  <c r="G77" i="64"/>
  <c r="C77" i="64"/>
  <c r="C76" i="64"/>
  <c r="G76" i="64" s="1"/>
  <c r="T75" i="64"/>
  <c r="C75" i="64"/>
  <c r="G74" i="64"/>
  <c r="C74" i="64"/>
  <c r="T73" i="64"/>
  <c r="C73" i="64"/>
  <c r="G73" i="64" s="1"/>
  <c r="G72" i="64"/>
  <c r="C72" i="64"/>
  <c r="T71" i="64"/>
  <c r="C71" i="64"/>
  <c r="C70" i="64"/>
  <c r="T69" i="64"/>
  <c r="C69" i="64"/>
  <c r="G69" i="64" s="1"/>
  <c r="G68" i="64"/>
  <c r="C68" i="64"/>
  <c r="T67" i="64"/>
  <c r="W67" i="64"/>
  <c r="C67" i="64"/>
  <c r="C66" i="64"/>
  <c r="T65" i="64"/>
  <c r="G65" i="64"/>
  <c r="C65" i="64"/>
  <c r="C64" i="64"/>
  <c r="G64" i="64" s="1"/>
  <c r="T63" i="64"/>
  <c r="C63" i="64"/>
  <c r="G62" i="64"/>
  <c r="C62" i="64"/>
  <c r="T61" i="64"/>
  <c r="C61" i="64"/>
  <c r="G60" i="64"/>
  <c r="C60" i="64"/>
  <c r="T59" i="64"/>
  <c r="C59" i="64"/>
  <c r="C58" i="64"/>
  <c r="T57" i="64"/>
  <c r="C57" i="64"/>
  <c r="G57" i="64" s="1"/>
  <c r="G56" i="64"/>
  <c r="C56" i="64"/>
  <c r="T55" i="64"/>
  <c r="C55" i="64"/>
  <c r="C54" i="64"/>
  <c r="T53" i="64"/>
  <c r="G53" i="64"/>
  <c r="C53" i="64"/>
  <c r="C52" i="64"/>
  <c r="G52" i="64" s="1"/>
  <c r="T51" i="64"/>
  <c r="C51" i="64"/>
  <c r="G50" i="64"/>
  <c r="C50" i="64"/>
  <c r="T49" i="64"/>
  <c r="C49" i="64"/>
  <c r="G48" i="64"/>
  <c r="C48" i="64"/>
  <c r="T47" i="64"/>
  <c r="C47" i="64"/>
  <c r="C46" i="64"/>
  <c r="T45" i="64"/>
  <c r="C45" i="64"/>
  <c r="G45" i="64" s="1"/>
  <c r="G44" i="64"/>
  <c r="C44" i="64"/>
  <c r="T43" i="64"/>
  <c r="C43" i="64"/>
  <c r="C42" i="64"/>
  <c r="T41" i="64"/>
  <c r="D25" i="66" s="1"/>
  <c r="G41" i="64"/>
  <c r="C41" i="64"/>
  <c r="C40" i="64"/>
  <c r="T39" i="64"/>
  <c r="C39" i="64"/>
  <c r="G38" i="64"/>
  <c r="C38" i="64"/>
  <c r="T37" i="64"/>
  <c r="C37" i="64"/>
  <c r="G37" i="64" s="1"/>
  <c r="G36" i="64"/>
  <c r="C36" i="64"/>
  <c r="T35" i="64"/>
  <c r="C35" i="64"/>
  <c r="C34" i="64"/>
  <c r="T33" i="64"/>
  <c r="C33" i="64"/>
  <c r="G33" i="64" s="1"/>
  <c r="G32" i="64"/>
  <c r="C32" i="64"/>
  <c r="T31" i="64"/>
  <c r="C31" i="64"/>
  <c r="C30" i="64"/>
  <c r="T29" i="64"/>
  <c r="G29" i="64"/>
  <c r="C29" i="64"/>
  <c r="C28" i="64"/>
  <c r="T27" i="64"/>
  <c r="C27" i="64"/>
  <c r="G26" i="64"/>
  <c r="C26" i="64"/>
  <c r="T25" i="64"/>
  <c r="C25" i="64"/>
  <c r="G24" i="64"/>
  <c r="C24" i="64"/>
  <c r="T23" i="64"/>
  <c r="C23" i="64"/>
  <c r="C22" i="64"/>
  <c r="T21" i="64"/>
  <c r="C21" i="64"/>
  <c r="G21" i="64" s="1"/>
  <c r="G20" i="64"/>
  <c r="C20" i="64"/>
  <c r="T19" i="64"/>
  <c r="C19" i="64"/>
  <c r="V19" i="64" s="1"/>
  <c r="C18" i="64"/>
  <c r="W17" i="64" s="1"/>
  <c r="T17" i="64"/>
  <c r="G17" i="64"/>
  <c r="C17" i="64"/>
  <c r="C16" i="64"/>
  <c r="T15" i="64"/>
  <c r="C15" i="64"/>
  <c r="G14" i="64"/>
  <c r="C14" i="64"/>
  <c r="T13" i="64"/>
  <c r="D19" i="66" s="1"/>
  <c r="C13" i="64"/>
  <c r="G13" i="64" s="1"/>
  <c r="G12" i="64"/>
  <c r="C12" i="64"/>
  <c r="T11" i="64"/>
  <c r="C11" i="64"/>
  <c r="C10" i="64"/>
  <c r="T9" i="64"/>
  <c r="D13" i="66" s="1"/>
  <c r="C9" i="64"/>
  <c r="G9" i="64" s="1"/>
  <c r="G8" i="64"/>
  <c r="C8" i="64"/>
  <c r="T7" i="64"/>
  <c r="D12" i="66" s="1"/>
  <c r="C7" i="64"/>
  <c r="C6" i="64"/>
  <c r="T5" i="64"/>
  <c r="D7" i="66" s="1"/>
  <c r="C5" i="64"/>
  <c r="C4" i="64"/>
  <c r="T3" i="64"/>
  <c r="C3" i="64"/>
  <c r="C106" i="59"/>
  <c r="G105" i="59"/>
  <c r="C105" i="59"/>
  <c r="C104" i="59"/>
  <c r="V103" i="59"/>
  <c r="G103" i="59"/>
  <c r="C103" i="59"/>
  <c r="G102" i="59"/>
  <c r="C102" i="59"/>
  <c r="C101" i="59"/>
  <c r="U101" i="59" s="1"/>
  <c r="C100" i="59"/>
  <c r="U99" i="59"/>
  <c r="G99" i="59"/>
  <c r="C99" i="59"/>
  <c r="W99" i="59" s="1"/>
  <c r="C98" i="59"/>
  <c r="G97" i="59"/>
  <c r="C97" i="59"/>
  <c r="C96" i="59"/>
  <c r="G96" i="59" s="1"/>
  <c r="G95" i="59"/>
  <c r="C95" i="59"/>
  <c r="C94" i="59"/>
  <c r="G94" i="59" s="1"/>
  <c r="C93" i="59"/>
  <c r="C92" i="59"/>
  <c r="G91" i="59"/>
  <c r="C91" i="59"/>
  <c r="G90" i="59"/>
  <c r="C90" i="59"/>
  <c r="C89" i="59"/>
  <c r="C88" i="59"/>
  <c r="G87" i="59"/>
  <c r="C87" i="59"/>
  <c r="W87" i="59" s="1"/>
  <c r="C86" i="59"/>
  <c r="W85" i="59"/>
  <c r="G85" i="59"/>
  <c r="C85" i="59"/>
  <c r="C84" i="59"/>
  <c r="G84" i="59" s="1"/>
  <c r="G83" i="59"/>
  <c r="C83" i="59"/>
  <c r="C82" i="59"/>
  <c r="G82" i="59" s="1"/>
  <c r="C81" i="59"/>
  <c r="W81" i="59" s="1"/>
  <c r="C80" i="59"/>
  <c r="G79" i="59"/>
  <c r="C79" i="59"/>
  <c r="G78" i="59"/>
  <c r="C78" i="59"/>
  <c r="C77" i="59"/>
  <c r="U77" i="59" s="1"/>
  <c r="C76" i="59"/>
  <c r="G75" i="59"/>
  <c r="C75" i="59"/>
  <c r="C74" i="59"/>
  <c r="W73" i="59"/>
  <c r="G73" i="59"/>
  <c r="C73" i="59"/>
  <c r="C72" i="59"/>
  <c r="G72" i="59" s="1"/>
  <c r="G71" i="59"/>
  <c r="C71" i="59"/>
  <c r="C70" i="59"/>
  <c r="G70" i="59" s="1"/>
  <c r="C69" i="59"/>
  <c r="C68" i="59"/>
  <c r="V67" i="59"/>
  <c r="G67" i="59"/>
  <c r="C67" i="59"/>
  <c r="G66" i="59"/>
  <c r="C66" i="59"/>
  <c r="C65" i="59"/>
  <c r="C64" i="59"/>
  <c r="U63" i="59"/>
  <c r="G63" i="59"/>
  <c r="C63" i="59"/>
  <c r="C62" i="59"/>
  <c r="G61" i="59"/>
  <c r="C61" i="59"/>
  <c r="C60" i="59"/>
  <c r="G60" i="59" s="1"/>
  <c r="G59" i="59"/>
  <c r="C59" i="59"/>
  <c r="C58" i="59"/>
  <c r="G58" i="59" s="1"/>
  <c r="C57" i="59"/>
  <c r="W57" i="59" s="1"/>
  <c r="C56" i="59"/>
  <c r="G55" i="59"/>
  <c r="C55" i="59"/>
  <c r="G54" i="59"/>
  <c r="C54" i="59"/>
  <c r="C53" i="59"/>
  <c r="U53" i="59" s="1"/>
  <c r="C52" i="59"/>
  <c r="U51" i="59"/>
  <c r="G51" i="59"/>
  <c r="C51" i="59"/>
  <c r="W51" i="59" s="1"/>
  <c r="C50" i="59"/>
  <c r="G49" i="59"/>
  <c r="C49" i="59"/>
  <c r="C48" i="59"/>
  <c r="W47" i="59"/>
  <c r="G47" i="59"/>
  <c r="C47" i="59"/>
  <c r="C46" i="59"/>
  <c r="G46" i="59" s="1"/>
  <c r="C45" i="59"/>
  <c r="G44" i="59"/>
  <c r="C44" i="59"/>
  <c r="G43" i="59"/>
  <c r="C43" i="59"/>
  <c r="G42" i="59"/>
  <c r="C42" i="59"/>
  <c r="C41" i="59"/>
  <c r="C40" i="59"/>
  <c r="U39" i="59"/>
  <c r="G39" i="59"/>
  <c r="C39" i="59"/>
  <c r="C38" i="59"/>
  <c r="W37" i="59"/>
  <c r="G37" i="59"/>
  <c r="C37" i="59"/>
  <c r="C36" i="59"/>
  <c r="G36" i="59" s="1"/>
  <c r="G35" i="59"/>
  <c r="C35" i="59"/>
  <c r="C34" i="59"/>
  <c r="G34" i="59" s="1"/>
  <c r="C33" i="59"/>
  <c r="W33" i="59" s="1"/>
  <c r="C32" i="59"/>
  <c r="G31" i="59"/>
  <c r="C31" i="59"/>
  <c r="G30" i="59"/>
  <c r="C30" i="59"/>
  <c r="V29" i="59"/>
  <c r="C29" i="59"/>
  <c r="C28" i="59"/>
  <c r="U27" i="59"/>
  <c r="G27" i="59"/>
  <c r="C27" i="59"/>
  <c r="W27" i="59" s="1"/>
  <c r="C26" i="59"/>
  <c r="W25" i="59"/>
  <c r="G25" i="59"/>
  <c r="C25" i="59"/>
  <c r="C24" i="59"/>
  <c r="G24" i="59" s="1"/>
  <c r="G23" i="59"/>
  <c r="C23" i="59"/>
  <c r="C22" i="59"/>
  <c r="G22" i="59" s="1"/>
  <c r="C21" i="59"/>
  <c r="C20" i="59"/>
  <c r="V19" i="59"/>
  <c r="G19" i="59"/>
  <c r="C19" i="59"/>
  <c r="G18" i="59"/>
  <c r="C18" i="59"/>
  <c r="C17" i="59"/>
  <c r="U17" i="59" s="1"/>
  <c r="C16" i="59"/>
  <c r="V15" i="59"/>
  <c r="G15" i="59"/>
  <c r="C15" i="59"/>
  <c r="C14" i="59"/>
  <c r="G13" i="59"/>
  <c r="C13" i="59"/>
  <c r="C12" i="59"/>
  <c r="W11" i="59"/>
  <c r="G11" i="59"/>
  <c r="C11" i="59"/>
  <c r="C10" i="59"/>
  <c r="G10" i="59" s="1"/>
  <c r="C9" i="59"/>
  <c r="C8" i="59"/>
  <c r="G7" i="59"/>
  <c r="C7" i="59"/>
  <c r="G6" i="59"/>
  <c r="C6" i="59"/>
  <c r="C5" i="59"/>
  <c r="C4" i="59"/>
  <c r="G3" i="59"/>
  <c r="C3" i="59"/>
  <c r="W3" i="59" s="1"/>
  <c r="P47" i="37"/>
  <c r="Q47" i="37"/>
  <c r="R47" i="37"/>
  <c r="P48" i="37"/>
  <c r="Q48" i="37"/>
  <c r="R48" i="37"/>
  <c r="P49" i="37"/>
  <c r="Q49" i="37"/>
  <c r="R49" i="37"/>
  <c r="P50" i="37"/>
  <c r="Q50" i="37"/>
  <c r="R50" i="37"/>
  <c r="P6" i="60" l="1"/>
  <c r="X9" i="65"/>
  <c r="P27" i="60"/>
  <c r="X21" i="65"/>
  <c r="X27" i="73"/>
  <c r="P16" i="60"/>
  <c r="X25" i="72"/>
  <c r="X13" i="65"/>
  <c r="X20" i="65"/>
  <c r="X13" i="73"/>
  <c r="X17" i="72"/>
  <c r="X13" i="72"/>
  <c r="P26" i="60"/>
  <c r="P18" i="60"/>
  <c r="X24" i="73"/>
  <c r="X8" i="73"/>
  <c r="X17" i="73"/>
  <c r="X16" i="65"/>
  <c r="X29" i="73"/>
  <c r="X29" i="65"/>
  <c r="P8" i="60"/>
  <c r="X26" i="73"/>
  <c r="X23" i="73"/>
  <c r="X11" i="73"/>
  <c r="P7" i="60"/>
  <c r="P9" i="60"/>
  <c r="X11" i="65"/>
  <c r="X8" i="65"/>
  <c r="X23" i="72"/>
  <c r="P30" i="60"/>
  <c r="X30" i="73"/>
  <c r="X18" i="72"/>
  <c r="X20" i="72"/>
  <c r="X28" i="73"/>
  <c r="X22" i="73"/>
  <c r="X23" i="65"/>
  <c r="X16" i="72"/>
  <c r="X19" i="65"/>
  <c r="P19" i="60"/>
  <c r="P21" i="60"/>
  <c r="X18" i="65"/>
  <c r="X17" i="65"/>
  <c r="X9" i="73"/>
  <c r="X21" i="73"/>
  <c r="X7" i="73"/>
  <c r="P11" i="60"/>
  <c r="P28" i="60"/>
  <c r="X6" i="72"/>
  <c r="X12" i="72"/>
  <c r="X15" i="65"/>
  <c r="X26" i="65"/>
  <c r="V8" i="60" a="1"/>
  <c r="V8" i="60" s="1"/>
  <c r="V12" i="60" a="1"/>
  <c r="V12" i="60" s="1"/>
  <c r="V11" i="60" a="1"/>
  <c r="V11" i="60" s="1"/>
  <c r="V9" i="60" a="1"/>
  <c r="V9" i="60" s="1"/>
  <c r="V6" i="60" a="1"/>
  <c r="V6" i="60" s="1"/>
  <c r="V10" i="60" a="1"/>
  <c r="V10" i="60" s="1"/>
  <c r="V7" i="60" a="1"/>
  <c r="V7" i="60" s="1"/>
  <c r="X19" i="73"/>
  <c r="X20" i="73"/>
  <c r="X14" i="73"/>
  <c r="P12" i="60"/>
  <c r="P20" i="60"/>
  <c r="AA9" i="72" a="1"/>
  <c r="AA9" i="72" s="1"/>
  <c r="X5" i="72"/>
  <c r="AA8" i="72" a="1"/>
  <c r="AA8" i="72" s="1"/>
  <c r="AA7" i="72" a="1"/>
  <c r="AA7" i="72" s="1"/>
  <c r="AA6" i="72" a="1"/>
  <c r="AA6" i="72" s="1"/>
  <c r="AA11" i="72" a="1"/>
  <c r="AA11" i="72" s="1"/>
  <c r="AA10" i="72" a="1"/>
  <c r="AA10" i="72" s="1"/>
  <c r="AA12" i="72" a="1"/>
  <c r="AA12" i="72" s="1"/>
  <c r="X28" i="72"/>
  <c r="X12" i="65"/>
  <c r="X5" i="73"/>
  <c r="AA11" i="73" a="1"/>
  <c r="AA11" i="73" s="1"/>
  <c r="AA12" i="73" a="1"/>
  <c r="AA12" i="73" s="1"/>
  <c r="AA7" i="73" a="1"/>
  <c r="AA7" i="73" s="1"/>
  <c r="AA9" i="73" a="1"/>
  <c r="AA9" i="73" s="1"/>
  <c r="AA6" i="73" a="1"/>
  <c r="AA6" i="73" s="1"/>
  <c r="AA10" i="73" a="1"/>
  <c r="AA10" i="73" s="1"/>
  <c r="AA8" i="73" a="1"/>
  <c r="AA8" i="73" s="1"/>
  <c r="X15" i="73"/>
  <c r="X30" i="72"/>
  <c r="P25" i="60"/>
  <c r="X25" i="65"/>
  <c r="X7" i="72"/>
  <c r="X24" i="72"/>
  <c r="X30" i="65"/>
  <c r="X9" i="72"/>
  <c r="AA6" i="65" a="1"/>
  <c r="AA6" i="65" s="1"/>
  <c r="X5" i="65"/>
  <c r="AA7" i="65" a="1"/>
  <c r="AA7" i="65" s="1"/>
  <c r="AA11" i="65" a="1"/>
  <c r="AA11" i="65" s="1"/>
  <c r="AA12" i="65" a="1"/>
  <c r="AA12" i="65" s="1"/>
  <c r="AA10" i="65" a="1"/>
  <c r="AA10" i="65" s="1"/>
  <c r="AA9" i="65" a="1"/>
  <c r="AA9" i="65" s="1"/>
  <c r="AA8" i="65" a="1"/>
  <c r="AA8" i="65" s="1"/>
  <c r="X25" i="73"/>
  <c r="AD10" i="65" a="1"/>
  <c r="AD10" i="65" s="1"/>
  <c r="AD8" i="65" a="1"/>
  <c r="AD8" i="65" s="1"/>
  <c r="AD12" i="65" a="1"/>
  <c r="AD12" i="65" s="1"/>
  <c r="AD11" i="65" a="1"/>
  <c r="AD11" i="65" s="1"/>
  <c r="AD9" i="65" a="1"/>
  <c r="AD9" i="65" s="1"/>
  <c r="AD7" i="65" a="1"/>
  <c r="AD7" i="65" s="1"/>
  <c r="AD6" i="65" a="1"/>
  <c r="AD6" i="65" s="1"/>
  <c r="X14" i="65"/>
  <c r="X22" i="72"/>
  <c r="AD12" i="72" a="1"/>
  <c r="AD12" i="72" s="1"/>
  <c r="AD9" i="72" a="1"/>
  <c r="AD9" i="72" s="1"/>
  <c r="AD6" i="72" a="1"/>
  <c r="AD6" i="72" s="1"/>
  <c r="AD7" i="72" a="1"/>
  <c r="AD7" i="72" s="1"/>
  <c r="AD11" i="72" a="1"/>
  <c r="AD11" i="72" s="1"/>
  <c r="AD10" i="72" a="1"/>
  <c r="AD10" i="72" s="1"/>
  <c r="AD8" i="72" a="1"/>
  <c r="AD8" i="72" s="1"/>
  <c r="AD6" i="73" a="1"/>
  <c r="AD6" i="73" s="1"/>
  <c r="AD7" i="73" a="1"/>
  <c r="AD7" i="73" s="1"/>
  <c r="AD12" i="73" a="1"/>
  <c r="AD12" i="73" s="1"/>
  <c r="AD11" i="73" a="1"/>
  <c r="AD11" i="73" s="1"/>
  <c r="AD10" i="73" a="1"/>
  <c r="AD10" i="73" s="1"/>
  <c r="AD9" i="73" a="1"/>
  <c r="AD9" i="73" s="1"/>
  <c r="AD8" i="73" a="1"/>
  <c r="AD8" i="73" s="1"/>
  <c r="X22" i="65"/>
  <c r="S10" i="60" a="1"/>
  <c r="S10" i="60" s="1"/>
  <c r="S9" i="60" a="1"/>
  <c r="S9" i="60" s="1"/>
  <c r="P5" i="60"/>
  <c r="S8" i="60" a="1"/>
  <c r="S8" i="60" s="1"/>
  <c r="S7" i="60" a="1"/>
  <c r="S7" i="60" s="1"/>
  <c r="S6" i="60" a="1"/>
  <c r="S6" i="60" s="1"/>
  <c r="S12" i="60" a="1"/>
  <c r="S12" i="60" s="1"/>
  <c r="S11" i="60" a="1"/>
  <c r="S11" i="60" s="1"/>
  <c r="X27" i="72"/>
  <c r="X28" i="65"/>
  <c r="X11" i="72"/>
  <c r="P13" i="60"/>
  <c r="X10" i="73"/>
  <c r="X15" i="72"/>
  <c r="P29" i="60"/>
  <c r="X8" i="72"/>
  <c r="X21" i="72"/>
  <c r="X7" i="65"/>
  <c r="P15" i="60"/>
  <c r="P22" i="60"/>
  <c r="X26" i="72"/>
  <c r="X6" i="73"/>
  <c r="X18" i="73"/>
  <c r="X16" i="73"/>
  <c r="P23" i="60"/>
  <c r="X19" i="72"/>
  <c r="X10" i="72"/>
  <c r="X14" i="72"/>
  <c r="P14" i="60"/>
  <c r="X29" i="72"/>
  <c r="X6" i="65"/>
  <c r="P17" i="60"/>
  <c r="X27" i="65"/>
  <c r="P24" i="60"/>
  <c r="X12" i="73"/>
  <c r="P10" i="60"/>
  <c r="X24" i="65"/>
  <c r="X10" i="65"/>
  <c r="V83" i="64"/>
  <c r="V47" i="64"/>
  <c r="W55" i="64"/>
  <c r="W43" i="64"/>
  <c r="W31" i="64"/>
  <c r="W19" i="64"/>
  <c r="W7" i="64"/>
  <c r="T71" i="59"/>
  <c r="U25" i="64"/>
  <c r="V81" i="64"/>
  <c r="V69" i="64"/>
  <c r="V57" i="64"/>
  <c r="V33" i="64"/>
  <c r="V67" i="64"/>
  <c r="W77" i="64"/>
  <c r="W89" i="64"/>
  <c r="U103" i="64"/>
  <c r="U79" i="64"/>
  <c r="U31" i="64"/>
  <c r="U7" i="64"/>
  <c r="W41" i="64"/>
  <c r="V43" i="64"/>
  <c r="W65" i="64"/>
  <c r="V7" i="64"/>
  <c r="V31" i="64"/>
  <c r="W53" i="64"/>
  <c r="W101" i="64"/>
  <c r="U61" i="64"/>
  <c r="U49" i="64"/>
  <c r="V105" i="64"/>
  <c r="V93" i="64"/>
  <c r="V21" i="64"/>
  <c r="V9" i="64"/>
  <c r="D18" i="66"/>
  <c r="D24" i="66"/>
  <c r="C7" i="69"/>
  <c r="V3" i="59"/>
  <c r="V7" i="59"/>
  <c r="W3" i="64"/>
  <c r="W29" i="64"/>
  <c r="W21" i="64"/>
  <c r="W9" i="64"/>
  <c r="W33" i="64"/>
  <c r="W45" i="64"/>
  <c r="W57" i="64"/>
  <c r="W105" i="64"/>
  <c r="W69" i="64"/>
  <c r="W81" i="64"/>
  <c r="W93" i="64"/>
  <c r="V55" i="64"/>
  <c r="V79" i="64"/>
  <c r="V91" i="64"/>
  <c r="V103" i="64"/>
  <c r="U59" i="64"/>
  <c r="V59" i="64"/>
  <c r="W59" i="64"/>
  <c r="U85" i="64"/>
  <c r="V13" i="64"/>
  <c r="U39" i="64"/>
  <c r="V49" i="64"/>
  <c r="V85" i="64"/>
  <c r="V35" i="64"/>
  <c r="V71" i="64"/>
  <c r="W71" i="64"/>
  <c r="U83" i="64"/>
  <c r="U97" i="64"/>
  <c r="U87" i="64"/>
  <c r="W37" i="64"/>
  <c r="W47" i="64"/>
  <c r="W5" i="64"/>
  <c r="G23" i="64"/>
  <c r="G35" i="64"/>
  <c r="G47" i="64"/>
  <c r="G16" i="64"/>
  <c r="U95" i="64"/>
  <c r="V95" i="64"/>
  <c r="G54" i="64"/>
  <c r="G90" i="64"/>
  <c r="W95" i="64"/>
  <c r="G11" i="64"/>
  <c r="G83" i="64"/>
  <c r="U71" i="64"/>
  <c r="G88" i="64"/>
  <c r="G49" i="64"/>
  <c r="U75" i="64"/>
  <c r="V15" i="64"/>
  <c r="G30" i="64"/>
  <c r="U37" i="64"/>
  <c r="G42" i="64"/>
  <c r="U73" i="64"/>
  <c r="G78" i="64"/>
  <c r="W83" i="64"/>
  <c r="G15" i="64"/>
  <c r="W15" i="64"/>
  <c r="U17" i="64"/>
  <c r="V25" i="64"/>
  <c r="G27" i="64"/>
  <c r="W27" i="64"/>
  <c r="U29" i="64"/>
  <c r="V37" i="64"/>
  <c r="G39" i="64"/>
  <c r="W39" i="64"/>
  <c r="U41" i="64"/>
  <c r="G51" i="64"/>
  <c r="W51" i="64"/>
  <c r="U53" i="64"/>
  <c r="V61" i="64"/>
  <c r="G63" i="64"/>
  <c r="W63" i="64"/>
  <c r="U65" i="64"/>
  <c r="V73" i="64"/>
  <c r="G75" i="64"/>
  <c r="W75" i="64"/>
  <c r="U77" i="64"/>
  <c r="G87" i="64"/>
  <c r="W87" i="64"/>
  <c r="U89" i="64"/>
  <c r="V97" i="64"/>
  <c r="G99" i="64"/>
  <c r="W99" i="64"/>
  <c r="U101" i="64"/>
  <c r="U11" i="64"/>
  <c r="G28" i="64"/>
  <c r="G61" i="64"/>
  <c r="G18" i="64"/>
  <c r="G66" i="64"/>
  <c r="V3" i="64"/>
  <c r="V5" i="64"/>
  <c r="W13" i="64"/>
  <c r="U15" i="64"/>
  <c r="V17" i="64"/>
  <c r="W25" i="64"/>
  <c r="V29" i="64"/>
  <c r="V41" i="64"/>
  <c r="W49" i="64"/>
  <c r="V53" i="64"/>
  <c r="W61" i="64"/>
  <c r="V65" i="64"/>
  <c r="W73" i="64"/>
  <c r="V77" i="64"/>
  <c r="W85" i="64"/>
  <c r="V89" i="64"/>
  <c r="W97" i="64"/>
  <c r="V101" i="64"/>
  <c r="G59" i="64"/>
  <c r="G71" i="64"/>
  <c r="U23" i="64"/>
  <c r="V23" i="64"/>
  <c r="G102" i="64"/>
  <c r="V27" i="64"/>
  <c r="U47" i="64"/>
  <c r="V11" i="64"/>
  <c r="U13" i="64"/>
  <c r="W35" i="64"/>
  <c r="G10" i="64"/>
  <c r="G22" i="64"/>
  <c r="G34" i="64"/>
  <c r="G46" i="64"/>
  <c r="G58" i="64"/>
  <c r="G70" i="64"/>
  <c r="G82" i="64"/>
  <c r="G94" i="64"/>
  <c r="G106" i="64"/>
  <c r="G40" i="64"/>
  <c r="G25" i="64"/>
  <c r="G7" i="64"/>
  <c r="U9" i="64"/>
  <c r="G19" i="64"/>
  <c r="U21" i="64"/>
  <c r="G31" i="64"/>
  <c r="U33" i="64"/>
  <c r="G43" i="64"/>
  <c r="U45" i="64"/>
  <c r="G55" i="64"/>
  <c r="U57" i="64"/>
  <c r="G67" i="64"/>
  <c r="U69" i="64"/>
  <c r="G79" i="64"/>
  <c r="U81" i="64"/>
  <c r="G91" i="64"/>
  <c r="U93" i="64"/>
  <c r="G103" i="64"/>
  <c r="U105" i="64"/>
  <c r="U35" i="64"/>
  <c r="W39" i="59"/>
  <c r="U65" i="59"/>
  <c r="W69" i="59"/>
  <c r="V43" i="59"/>
  <c r="V31" i="59"/>
  <c r="T83" i="59"/>
  <c r="T23" i="59"/>
  <c r="T59" i="59"/>
  <c r="T35" i="59"/>
  <c r="T95" i="59"/>
  <c r="U87" i="59"/>
  <c r="W75" i="59"/>
  <c r="W13" i="59"/>
  <c r="V105" i="59"/>
  <c r="U41" i="59"/>
  <c r="U5" i="59"/>
  <c r="W15" i="59"/>
  <c r="W45" i="59"/>
  <c r="W63" i="59"/>
  <c r="U89" i="59"/>
  <c r="W93" i="59"/>
  <c r="U29" i="59"/>
  <c r="V95" i="59"/>
  <c r="U3" i="59"/>
  <c r="T43" i="59"/>
  <c r="V55" i="59"/>
  <c r="U91" i="59"/>
  <c r="V91" i="59"/>
  <c r="W61" i="59"/>
  <c r="U75" i="59"/>
  <c r="W105" i="59"/>
  <c r="V79" i="59"/>
  <c r="U15" i="59"/>
  <c r="W49" i="59"/>
  <c r="W97" i="59"/>
  <c r="G56" i="59"/>
  <c r="T55" i="59" s="1"/>
  <c r="W101" i="59"/>
  <c r="G9" i="59"/>
  <c r="T9" i="59" s="1"/>
  <c r="W9" i="59"/>
  <c r="G21" i="59"/>
  <c r="T21" i="59" s="1"/>
  <c r="W21" i="59"/>
  <c r="G33" i="59"/>
  <c r="T33" i="59" s="1"/>
  <c r="G45" i="59"/>
  <c r="T45" i="59" s="1"/>
  <c r="G57" i="59"/>
  <c r="T57" i="59" s="1"/>
  <c r="G69" i="59"/>
  <c r="T69" i="59" s="1"/>
  <c r="G81" i="59"/>
  <c r="T81" i="59" s="1"/>
  <c r="G93" i="59"/>
  <c r="T93" i="59" s="1"/>
  <c r="G14" i="59"/>
  <c r="T13" i="59" s="1"/>
  <c r="G26" i="59"/>
  <c r="T25" i="59" s="1"/>
  <c r="U33" i="59"/>
  <c r="G38" i="59"/>
  <c r="T37" i="59" s="1"/>
  <c r="U45" i="59"/>
  <c r="G50" i="59"/>
  <c r="T49" i="59" s="1"/>
  <c r="U57" i="59"/>
  <c r="G62" i="59"/>
  <c r="T61" i="59" s="1"/>
  <c r="U69" i="59"/>
  <c r="G74" i="59"/>
  <c r="T73" i="59" s="1"/>
  <c r="U81" i="59"/>
  <c r="G86" i="59"/>
  <c r="T85" i="59" s="1"/>
  <c r="U93" i="59"/>
  <c r="G98" i="59"/>
  <c r="T97" i="59" s="1"/>
  <c r="G8" i="59"/>
  <c r="T7" i="59" s="1"/>
  <c r="G32" i="59"/>
  <c r="T31" i="59" s="1"/>
  <c r="U19" i="59"/>
  <c r="G12" i="59"/>
  <c r="T11" i="59" s="1"/>
  <c r="U25" i="59"/>
  <c r="U37" i="59"/>
  <c r="U85" i="59"/>
  <c r="W95" i="59"/>
  <c r="U97" i="59"/>
  <c r="W17" i="59"/>
  <c r="G48" i="59"/>
  <c r="T47" i="59" s="1"/>
  <c r="W23" i="59"/>
  <c r="W35" i="59"/>
  <c r="U49" i="59"/>
  <c r="W59" i="59"/>
  <c r="U61" i="59"/>
  <c r="W71" i="59"/>
  <c r="U73" i="59"/>
  <c r="G4" i="59"/>
  <c r="T3" i="59" s="1"/>
  <c r="G16" i="59"/>
  <c r="T15" i="59" s="1"/>
  <c r="G28" i="59"/>
  <c r="T27" i="59" s="1"/>
  <c r="G40" i="59"/>
  <c r="T39" i="59" s="1"/>
  <c r="G52" i="59"/>
  <c r="T51" i="59" s="1"/>
  <c r="G64" i="59"/>
  <c r="T63" i="59" s="1"/>
  <c r="U71" i="59"/>
  <c r="G76" i="59"/>
  <c r="T75" i="59" s="1"/>
  <c r="G88" i="59"/>
  <c r="T87" i="59" s="1"/>
  <c r="V97" i="59"/>
  <c r="G100" i="59"/>
  <c r="T99" i="59" s="1"/>
  <c r="G20" i="59"/>
  <c r="T19" i="59" s="1"/>
  <c r="U13" i="59"/>
  <c r="W83" i="59"/>
  <c r="G68" i="59"/>
  <c r="T67" i="59" s="1"/>
  <c r="G80" i="59"/>
  <c r="T79" i="59" s="1"/>
  <c r="G92" i="59"/>
  <c r="T91" i="59" s="1"/>
  <c r="G104" i="59"/>
  <c r="T103" i="59" s="1"/>
  <c r="G5" i="59"/>
  <c r="T5" i="59" s="1"/>
  <c r="U7" i="59"/>
  <c r="G17" i="59"/>
  <c r="T17" i="59" s="1"/>
  <c r="V5" i="59"/>
  <c r="W7" i="59"/>
  <c r="W19" i="59"/>
  <c r="W31" i="59"/>
  <c r="W43" i="59"/>
  <c r="W55" i="59"/>
  <c r="W67" i="59"/>
  <c r="W79" i="59"/>
  <c r="W91" i="59"/>
  <c r="W5" i="59"/>
  <c r="W29" i="59"/>
  <c r="W41" i="59"/>
  <c r="W53" i="59"/>
  <c r="W65" i="59"/>
  <c r="W77" i="59"/>
  <c r="W89" i="59"/>
  <c r="U103" i="59"/>
  <c r="V27" i="59"/>
  <c r="G29" i="59"/>
  <c r="T29" i="59" s="1"/>
  <c r="U31" i="59"/>
  <c r="G41" i="59"/>
  <c r="T41" i="59" s="1"/>
  <c r="U43" i="59"/>
  <c r="G53" i="59"/>
  <c r="T53" i="59" s="1"/>
  <c r="U55" i="59"/>
  <c r="G65" i="59"/>
  <c r="T65" i="59" s="1"/>
  <c r="U67" i="59"/>
  <c r="G77" i="59"/>
  <c r="T77" i="59" s="1"/>
  <c r="U79" i="59"/>
  <c r="G89" i="59"/>
  <c r="T89" i="59" s="1"/>
  <c r="G101" i="59"/>
  <c r="T101" i="59" s="1"/>
  <c r="G106" i="59"/>
  <c r="T105" i="59" s="1"/>
  <c r="U105" i="59"/>
  <c r="D37" i="72" l="1" a="1"/>
  <c r="D37" i="72" s="1"/>
  <c r="C37" i="72" a="1"/>
  <c r="C37" i="72" s="1"/>
  <c r="C46" i="72" a="1"/>
  <c r="C46" i="72" s="1"/>
  <c r="E37" i="72" a="1"/>
  <c r="E37" i="72" s="1"/>
  <c r="C46" i="65" a="1"/>
  <c r="C46" i="65" s="1"/>
  <c r="C37" i="65" a="1"/>
  <c r="C37" i="65" s="1"/>
  <c r="D37" i="65" a="1"/>
  <c r="D37" i="65" s="1"/>
  <c r="E37" i="65" a="1"/>
  <c r="E37" i="65" s="1"/>
  <c r="H38" i="73" a="1"/>
  <c r="H38" i="73" s="1"/>
  <c r="H47" i="73" a="1"/>
  <c r="H47" i="73" s="1"/>
  <c r="J38" i="73" a="1"/>
  <c r="J38" i="73" s="1"/>
  <c r="I38" i="73" a="1"/>
  <c r="I38" i="73" s="1"/>
  <c r="C47" i="65" a="1"/>
  <c r="C47" i="65" s="1"/>
  <c r="E38" i="65" a="1"/>
  <c r="E38" i="65" s="1"/>
  <c r="C38" i="65" a="1"/>
  <c r="C38" i="65" s="1"/>
  <c r="D38" i="65" a="1"/>
  <c r="D38" i="65" s="1"/>
  <c r="E37" i="60" a="1"/>
  <c r="E37" i="60" s="1"/>
  <c r="O37" i="60" s="1"/>
  <c r="D37" i="60" a="1"/>
  <c r="D37" i="60" s="1"/>
  <c r="N37" i="60" s="1"/>
  <c r="C37" i="60" a="1"/>
  <c r="C37" i="60" s="1"/>
  <c r="M37" i="60" s="1"/>
  <c r="D38" i="60" a="1"/>
  <c r="D38" i="60" s="1"/>
  <c r="N38" i="60" s="1"/>
  <c r="E38" i="60" a="1"/>
  <c r="E38" i="60" s="1"/>
  <c r="O38" i="60" s="1"/>
  <c r="C38" i="60" a="1"/>
  <c r="C38" i="60" s="1"/>
  <c r="M38" i="60" s="1"/>
  <c r="H37" i="72" a="1"/>
  <c r="H37" i="72" s="1"/>
  <c r="J37" i="72" a="1"/>
  <c r="J37" i="72" s="1"/>
  <c r="H46" i="72" a="1"/>
  <c r="H46" i="72" s="1"/>
  <c r="I37" i="72" a="1"/>
  <c r="I37" i="72" s="1"/>
  <c r="C38" i="72" a="1"/>
  <c r="C38" i="72" s="1"/>
  <c r="E38" i="72" a="1"/>
  <c r="E38" i="72" s="1"/>
  <c r="C47" i="72" a="1"/>
  <c r="C47" i="72" s="1"/>
  <c r="D38" i="72" a="1"/>
  <c r="D38" i="72" s="1"/>
  <c r="I38" i="72" a="1"/>
  <c r="I38" i="72" s="1"/>
  <c r="J38" i="72" a="1"/>
  <c r="J38" i="72" s="1"/>
  <c r="H47" i="72" a="1"/>
  <c r="H47" i="72" s="1"/>
  <c r="H38" i="72" a="1"/>
  <c r="H38" i="72" s="1"/>
  <c r="H47" i="65" a="1"/>
  <c r="H47" i="65" s="1"/>
  <c r="J38" i="65" a="1"/>
  <c r="J38" i="65" s="1"/>
  <c r="I38" i="65" a="1"/>
  <c r="I38" i="65" s="1"/>
  <c r="H38" i="65" a="1"/>
  <c r="H38" i="65" s="1"/>
  <c r="J39" i="72" a="1"/>
  <c r="J39" i="72" s="1"/>
  <c r="H36" i="72" a="1"/>
  <c r="H36" i="72" s="1"/>
  <c r="I39" i="72" a="1"/>
  <c r="I39" i="72" s="1"/>
  <c r="J36" i="72" a="1"/>
  <c r="J36" i="72" s="1"/>
  <c r="H45" i="72" a="1"/>
  <c r="H45" i="72" s="1"/>
  <c r="H39" i="72" a="1"/>
  <c r="H39" i="72" s="1"/>
  <c r="I36" i="72" a="1"/>
  <c r="I36" i="72" s="1"/>
  <c r="I37" i="73" a="1"/>
  <c r="I37" i="73" s="1"/>
  <c r="H37" i="73" a="1"/>
  <c r="H37" i="73" s="1"/>
  <c r="H46" i="73" a="1"/>
  <c r="H46" i="73" s="1"/>
  <c r="J37" i="73" a="1"/>
  <c r="J37" i="73" s="1"/>
  <c r="J39" i="65" a="1"/>
  <c r="J39" i="65" s="1"/>
  <c r="H36" i="65" a="1"/>
  <c r="H36" i="65" s="1"/>
  <c r="H39" i="65" a="1"/>
  <c r="H39" i="65" s="1"/>
  <c r="I39" i="65" a="1"/>
  <c r="I39" i="65" s="1"/>
  <c r="H45" i="65" a="1"/>
  <c r="H45" i="65" s="1"/>
  <c r="J36" i="65" a="1"/>
  <c r="J36" i="65" s="1"/>
  <c r="I36" i="65" a="1"/>
  <c r="I36" i="65" s="1"/>
  <c r="H38" i="60" a="1"/>
  <c r="H38" i="60" s="1"/>
  <c r="I38" i="60" a="1"/>
  <c r="I38" i="60" s="1"/>
  <c r="J38" i="60" a="1"/>
  <c r="J38" i="60" s="1"/>
  <c r="D36" i="60" a="1"/>
  <c r="D36" i="60" s="1"/>
  <c r="E39" i="60" a="1"/>
  <c r="E39" i="60" s="1"/>
  <c r="E36" i="60" a="1"/>
  <c r="E36" i="60" s="1"/>
  <c r="C36" i="60" a="1"/>
  <c r="C36" i="60" s="1"/>
  <c r="C39" i="60" a="1"/>
  <c r="C39" i="60" s="1"/>
  <c r="D39" i="60" a="1"/>
  <c r="D39" i="60" s="1"/>
  <c r="D38" i="73" a="1"/>
  <c r="D38" i="73" s="1"/>
  <c r="E38" i="73" a="1"/>
  <c r="E38" i="73" s="1"/>
  <c r="C47" i="73" a="1"/>
  <c r="C47" i="73" s="1"/>
  <c r="C38" i="73" a="1"/>
  <c r="C38" i="73" s="1"/>
  <c r="C45" i="72" a="1"/>
  <c r="C45" i="72" s="1"/>
  <c r="C39" i="72" a="1"/>
  <c r="C39" i="72" s="1"/>
  <c r="D39" i="72" a="1"/>
  <c r="D39" i="72" s="1"/>
  <c r="D36" i="72" a="1"/>
  <c r="D36" i="72" s="1"/>
  <c r="E39" i="72" a="1"/>
  <c r="E39" i="72" s="1"/>
  <c r="E36" i="72" a="1"/>
  <c r="E36" i="72" s="1"/>
  <c r="C36" i="72" a="1"/>
  <c r="C36" i="72" s="1"/>
  <c r="J36" i="60" a="1"/>
  <c r="J36" i="60" s="1"/>
  <c r="H36" i="60" a="1"/>
  <c r="H36" i="60" s="1"/>
  <c r="H39" i="60" a="1"/>
  <c r="H39" i="60" s="1"/>
  <c r="I36" i="60" a="1"/>
  <c r="I36" i="60" s="1"/>
  <c r="J39" i="60" a="1"/>
  <c r="J39" i="60" s="1"/>
  <c r="I39" i="60" a="1"/>
  <c r="I39" i="60" s="1"/>
  <c r="H45" i="73" a="1"/>
  <c r="H45" i="73" s="1"/>
  <c r="H39" i="73" a="1"/>
  <c r="H39" i="73" s="1"/>
  <c r="J36" i="73" a="1"/>
  <c r="J36" i="73" s="1"/>
  <c r="H36" i="73" a="1"/>
  <c r="H36" i="73" s="1"/>
  <c r="J39" i="73" a="1"/>
  <c r="J39" i="73" s="1"/>
  <c r="I39" i="73" a="1"/>
  <c r="I39" i="73" s="1"/>
  <c r="I36" i="73" a="1"/>
  <c r="I36" i="73" s="1"/>
  <c r="H37" i="65" a="1"/>
  <c r="H37" i="65" s="1"/>
  <c r="I37" i="65" a="1"/>
  <c r="I37" i="65" s="1"/>
  <c r="J37" i="65" a="1"/>
  <c r="J37" i="65" s="1"/>
  <c r="H46" i="65" a="1"/>
  <c r="H46" i="65" s="1"/>
  <c r="E36" i="73" a="1"/>
  <c r="E36" i="73" s="1"/>
  <c r="D36" i="73" a="1"/>
  <c r="D36" i="73" s="1"/>
  <c r="C39" i="73" a="1"/>
  <c r="C39" i="73" s="1"/>
  <c r="C45" i="73" a="1"/>
  <c r="C45" i="73" s="1"/>
  <c r="C36" i="73" a="1"/>
  <c r="C36" i="73" s="1"/>
  <c r="D39" i="73" a="1"/>
  <c r="D39" i="73" s="1"/>
  <c r="E39" i="73" a="1"/>
  <c r="E39" i="73" s="1"/>
  <c r="J37" i="60" a="1"/>
  <c r="J37" i="60" s="1"/>
  <c r="I37" i="60" a="1"/>
  <c r="I37" i="60" s="1"/>
  <c r="H37" i="60" a="1"/>
  <c r="H37" i="60" s="1"/>
  <c r="C39" i="65" a="1"/>
  <c r="C39" i="65" s="1"/>
  <c r="D36" i="65" a="1"/>
  <c r="D36" i="65" s="1"/>
  <c r="E36" i="65" a="1"/>
  <c r="E36" i="65" s="1"/>
  <c r="D39" i="65" a="1"/>
  <c r="D39" i="65" s="1"/>
  <c r="C45" i="65" a="1"/>
  <c r="C45" i="65" s="1"/>
  <c r="C36" i="65" a="1"/>
  <c r="C36" i="65" s="1"/>
  <c r="E39" i="65" a="1"/>
  <c r="E39" i="65" s="1"/>
  <c r="O39" i="65" s="1"/>
  <c r="E37" i="73" a="1"/>
  <c r="E37" i="73" s="1"/>
  <c r="C46" i="73" a="1"/>
  <c r="C46" i="73" s="1"/>
  <c r="D37" i="73" a="1"/>
  <c r="D37" i="73" s="1"/>
  <c r="C37" i="73" a="1"/>
  <c r="C37" i="73" s="1"/>
  <c r="J27" i="70"/>
  <c r="E12" i="66"/>
  <c r="J15" i="70"/>
  <c r="H30" i="70"/>
  <c r="H27" i="70"/>
  <c r="J7" i="70"/>
  <c r="H9" i="70"/>
  <c r="J6" i="70"/>
  <c r="J18" i="70"/>
  <c r="J25" i="70"/>
  <c r="J11" i="70"/>
  <c r="J19" i="70"/>
  <c r="J5" i="70"/>
  <c r="J28" i="70"/>
  <c r="J26" i="70"/>
  <c r="H5" i="70"/>
  <c r="H13" i="70"/>
  <c r="H22" i="70"/>
  <c r="J21" i="70"/>
  <c r="J30" i="70"/>
  <c r="H17" i="70"/>
  <c r="H6" i="70"/>
  <c r="H8" i="70"/>
  <c r="H24" i="70"/>
  <c r="J8" i="70"/>
  <c r="J24" i="70"/>
  <c r="H7" i="70"/>
  <c r="J20" i="70"/>
  <c r="H28" i="70"/>
  <c r="H14" i="70"/>
  <c r="J22" i="70"/>
  <c r="H11" i="70"/>
  <c r="H20" i="70"/>
  <c r="H12" i="70"/>
  <c r="J9" i="70"/>
  <c r="H25" i="70"/>
  <c r="H16" i="70"/>
  <c r="H26" i="70"/>
  <c r="H19" i="70"/>
  <c r="J10" i="70"/>
  <c r="H15" i="70"/>
  <c r="J23" i="70"/>
  <c r="H10" i="70"/>
  <c r="J12" i="70"/>
  <c r="H29" i="70"/>
  <c r="J13" i="70"/>
  <c r="H18" i="70"/>
  <c r="H23" i="70"/>
  <c r="J29" i="70"/>
  <c r="J16" i="70"/>
  <c r="H21" i="70"/>
  <c r="J14" i="70"/>
  <c r="J17" i="70"/>
  <c r="E24" i="66"/>
  <c r="E13" i="66"/>
  <c r="E7" i="66"/>
  <c r="E19" i="66"/>
  <c r="E25" i="66"/>
  <c r="E6" i="66"/>
  <c r="V51" i="64"/>
  <c r="V39" i="64"/>
  <c r="V87" i="64"/>
  <c r="V63" i="64"/>
  <c r="V99" i="64"/>
  <c r="U63" i="64"/>
  <c r="U5" i="64"/>
  <c r="V75" i="64"/>
  <c r="U99" i="64"/>
  <c r="U27" i="64"/>
  <c r="U3" i="64"/>
  <c r="U51" i="64"/>
  <c r="V71" i="59"/>
  <c r="V63" i="59"/>
  <c r="V65" i="59"/>
  <c r="V51" i="59"/>
  <c r="V59" i="59"/>
  <c r="V85" i="59"/>
  <c r="V37" i="59"/>
  <c r="V93" i="59"/>
  <c r="V99" i="59"/>
  <c r="V39" i="59"/>
  <c r="V41" i="59"/>
  <c r="V47" i="59"/>
  <c r="V61" i="59"/>
  <c r="V33" i="59"/>
  <c r="V49" i="59"/>
  <c r="V101" i="59"/>
  <c r="V53" i="59"/>
  <c r="V87" i="59"/>
  <c r="V73" i="59"/>
  <c r="V57" i="59"/>
  <c r="V77" i="59"/>
  <c r="V81" i="59"/>
  <c r="V75" i="59"/>
  <c r="V69" i="59"/>
  <c r="V83" i="59"/>
  <c r="V35" i="59"/>
  <c r="V89" i="59"/>
  <c r="V45" i="59"/>
  <c r="V23" i="59"/>
  <c r="V13" i="59"/>
  <c r="V11" i="59"/>
  <c r="V25" i="59"/>
  <c r="V17" i="59"/>
  <c r="U21" i="59"/>
  <c r="U59" i="59"/>
  <c r="U11" i="59"/>
  <c r="V21" i="59"/>
  <c r="U95" i="59"/>
  <c r="V9" i="59"/>
  <c r="W103" i="59"/>
  <c r="U9" i="59"/>
  <c r="U83" i="59"/>
  <c r="U47" i="59"/>
  <c r="U35" i="59"/>
  <c r="U23" i="59"/>
  <c r="R106" i="38"/>
  <c r="Q106" i="38"/>
  <c r="P106" i="38"/>
  <c r="S105" i="38"/>
  <c r="R105" i="38"/>
  <c r="Q105" i="38"/>
  <c r="P105" i="38"/>
  <c r="R104" i="38"/>
  <c r="Q104" i="38"/>
  <c r="P104" i="38"/>
  <c r="S103" i="38"/>
  <c r="R103" i="38"/>
  <c r="Q103" i="38"/>
  <c r="P103" i="38"/>
  <c r="R102" i="38"/>
  <c r="Q102" i="38"/>
  <c r="U101" i="38" s="1"/>
  <c r="P102" i="38"/>
  <c r="S101" i="38"/>
  <c r="R101" i="38"/>
  <c r="Q101" i="38"/>
  <c r="P101" i="38"/>
  <c r="R100" i="38"/>
  <c r="Q100" i="38"/>
  <c r="P100" i="38"/>
  <c r="S99" i="38"/>
  <c r="R99" i="38"/>
  <c r="Q99" i="38"/>
  <c r="P99" i="38"/>
  <c r="R98" i="38"/>
  <c r="Q98" i="38"/>
  <c r="P98" i="38"/>
  <c r="S97" i="38"/>
  <c r="R97" i="38"/>
  <c r="Q97" i="38"/>
  <c r="P97" i="38"/>
  <c r="R96" i="38"/>
  <c r="Q96" i="38"/>
  <c r="P96" i="38"/>
  <c r="S95" i="38"/>
  <c r="R95" i="38"/>
  <c r="Q95" i="38"/>
  <c r="P95" i="38"/>
  <c r="R94" i="38"/>
  <c r="Q94" i="38"/>
  <c r="P94" i="38"/>
  <c r="S93" i="38"/>
  <c r="R93" i="38"/>
  <c r="Q93" i="38"/>
  <c r="P93" i="38"/>
  <c r="R92" i="38"/>
  <c r="Q92" i="38"/>
  <c r="P92" i="38"/>
  <c r="S91" i="38"/>
  <c r="R91" i="38"/>
  <c r="Q91" i="38"/>
  <c r="P91" i="38"/>
  <c r="R90" i="38"/>
  <c r="Q90" i="38"/>
  <c r="P90" i="38"/>
  <c r="S89" i="38"/>
  <c r="R89" i="38"/>
  <c r="Q89" i="38"/>
  <c r="P89" i="38"/>
  <c r="R88" i="38"/>
  <c r="Q88" i="38"/>
  <c r="U87" i="38" s="1"/>
  <c r="P88" i="38"/>
  <c r="S87" i="38"/>
  <c r="R87" i="38"/>
  <c r="Q87" i="38"/>
  <c r="P87" i="38"/>
  <c r="R86" i="38"/>
  <c r="Q86" i="38"/>
  <c r="U85" i="38" s="1"/>
  <c r="P86" i="38"/>
  <c r="S85" i="38"/>
  <c r="R85" i="38"/>
  <c r="Q85" i="38"/>
  <c r="P85" i="38"/>
  <c r="R84" i="38"/>
  <c r="Q84" i="38"/>
  <c r="P84" i="38"/>
  <c r="S83" i="38"/>
  <c r="R83" i="38"/>
  <c r="Q83" i="38"/>
  <c r="P83" i="38"/>
  <c r="R82" i="38"/>
  <c r="Q82" i="38"/>
  <c r="P82" i="38"/>
  <c r="S81" i="38"/>
  <c r="R81" i="38"/>
  <c r="Q81" i="38"/>
  <c r="P81" i="38"/>
  <c r="R80" i="38"/>
  <c r="Q80" i="38"/>
  <c r="P80" i="38"/>
  <c r="S79" i="38"/>
  <c r="R79" i="38"/>
  <c r="Q79" i="38"/>
  <c r="P79" i="38"/>
  <c r="R78" i="38"/>
  <c r="Q78" i="38"/>
  <c r="P78" i="38"/>
  <c r="S77" i="38"/>
  <c r="R77" i="38"/>
  <c r="Q77" i="38"/>
  <c r="P77" i="38"/>
  <c r="R76" i="38"/>
  <c r="Q76" i="38"/>
  <c r="P76" i="38"/>
  <c r="T75" i="38"/>
  <c r="S75" i="38"/>
  <c r="R75" i="38"/>
  <c r="Q75" i="38"/>
  <c r="P75" i="38"/>
  <c r="R74" i="38"/>
  <c r="Q74" i="38"/>
  <c r="P74" i="38"/>
  <c r="S73" i="38"/>
  <c r="R73" i="38"/>
  <c r="Q73" i="38"/>
  <c r="P73" i="38"/>
  <c r="R72" i="38"/>
  <c r="Q72" i="38"/>
  <c r="P72" i="38"/>
  <c r="S71" i="38"/>
  <c r="R71" i="38"/>
  <c r="Q71" i="38"/>
  <c r="P71" i="38"/>
  <c r="R70" i="38"/>
  <c r="Q70" i="38"/>
  <c r="P70" i="38"/>
  <c r="S69" i="38"/>
  <c r="R69" i="38"/>
  <c r="Q69" i="38"/>
  <c r="U69" i="38" s="1"/>
  <c r="P69" i="38"/>
  <c r="R68" i="38"/>
  <c r="Q68" i="38"/>
  <c r="P68" i="38"/>
  <c r="S67" i="38"/>
  <c r="R67" i="38"/>
  <c r="Q67" i="38"/>
  <c r="P67" i="38"/>
  <c r="R66" i="38"/>
  <c r="Q66" i="38"/>
  <c r="P66" i="38"/>
  <c r="S65" i="38"/>
  <c r="R65" i="38"/>
  <c r="Q65" i="38"/>
  <c r="P65" i="38"/>
  <c r="R64" i="38"/>
  <c r="Q64" i="38"/>
  <c r="P64" i="38"/>
  <c r="S63" i="38"/>
  <c r="R63" i="38"/>
  <c r="Q63" i="38"/>
  <c r="P63" i="38"/>
  <c r="R62" i="38"/>
  <c r="Q62" i="38"/>
  <c r="P62" i="38"/>
  <c r="S61" i="38"/>
  <c r="R61" i="38"/>
  <c r="Q61" i="38"/>
  <c r="P61" i="38"/>
  <c r="R60" i="38"/>
  <c r="Q60" i="38"/>
  <c r="P60" i="38"/>
  <c r="S59" i="38"/>
  <c r="R59" i="38"/>
  <c r="Q59" i="38"/>
  <c r="P59" i="38"/>
  <c r="R58" i="38"/>
  <c r="Q58" i="38"/>
  <c r="P58" i="38"/>
  <c r="S57" i="38"/>
  <c r="R57" i="38"/>
  <c r="Q57" i="38"/>
  <c r="P57" i="38"/>
  <c r="R56" i="38"/>
  <c r="Q56" i="38"/>
  <c r="P56" i="38"/>
  <c r="S55" i="38"/>
  <c r="R55" i="38"/>
  <c r="Q55" i="38"/>
  <c r="P55" i="38"/>
  <c r="R54" i="38"/>
  <c r="Q54" i="38"/>
  <c r="P54" i="38"/>
  <c r="S53" i="38"/>
  <c r="R53" i="38"/>
  <c r="Q53" i="38"/>
  <c r="P53" i="38"/>
  <c r="R52" i="38"/>
  <c r="Q52" i="38"/>
  <c r="U51" i="38" s="1"/>
  <c r="P52" i="38"/>
  <c r="S51" i="38"/>
  <c r="R51" i="38"/>
  <c r="Q51" i="38"/>
  <c r="P51" i="38"/>
  <c r="R50" i="38"/>
  <c r="Q50" i="38"/>
  <c r="P50" i="38"/>
  <c r="S49" i="38"/>
  <c r="R49" i="38"/>
  <c r="Q49" i="38"/>
  <c r="P49" i="38"/>
  <c r="R48" i="38"/>
  <c r="Q48" i="38"/>
  <c r="P48" i="38"/>
  <c r="S47" i="38"/>
  <c r="R47" i="38"/>
  <c r="Q47" i="38"/>
  <c r="P47" i="38"/>
  <c r="R46" i="38"/>
  <c r="Q46" i="38"/>
  <c r="P46" i="38"/>
  <c r="S45" i="38"/>
  <c r="R45" i="38"/>
  <c r="Q45" i="38"/>
  <c r="P45" i="38"/>
  <c r="R44" i="38"/>
  <c r="Q44" i="38"/>
  <c r="P44" i="38"/>
  <c r="S43" i="38"/>
  <c r="R43" i="38"/>
  <c r="Q43" i="38"/>
  <c r="P43" i="38"/>
  <c r="R42" i="38"/>
  <c r="Q42" i="38"/>
  <c r="P42" i="38"/>
  <c r="S41" i="38"/>
  <c r="R41" i="38"/>
  <c r="Q41" i="38"/>
  <c r="P41" i="38"/>
  <c r="R40" i="38"/>
  <c r="Q40" i="38"/>
  <c r="P40" i="38"/>
  <c r="S39" i="38"/>
  <c r="R39" i="38"/>
  <c r="Q39" i="38"/>
  <c r="P39" i="38"/>
  <c r="R38" i="38"/>
  <c r="Q38" i="38"/>
  <c r="P38" i="38"/>
  <c r="T37" i="38" s="1"/>
  <c r="S37" i="38"/>
  <c r="R37" i="38"/>
  <c r="Q37" i="38"/>
  <c r="P37" i="38"/>
  <c r="R36" i="38"/>
  <c r="Q36" i="38"/>
  <c r="P36" i="38"/>
  <c r="S35" i="38"/>
  <c r="R35" i="38"/>
  <c r="Q35" i="38"/>
  <c r="P35" i="38"/>
  <c r="R34" i="38"/>
  <c r="Q34" i="38"/>
  <c r="P34" i="38"/>
  <c r="S33" i="38"/>
  <c r="R33" i="38"/>
  <c r="Q33" i="38"/>
  <c r="P33" i="38"/>
  <c r="R32" i="38"/>
  <c r="Q32" i="38"/>
  <c r="P32" i="38"/>
  <c r="S31" i="38"/>
  <c r="R31" i="38"/>
  <c r="Q31" i="38"/>
  <c r="P31" i="38"/>
  <c r="R30" i="38"/>
  <c r="Q30" i="38"/>
  <c r="P30" i="38"/>
  <c r="S29" i="38"/>
  <c r="R29" i="38"/>
  <c r="Q29" i="38"/>
  <c r="P29" i="38"/>
  <c r="R28" i="38"/>
  <c r="Q28" i="38"/>
  <c r="P28" i="38"/>
  <c r="S27" i="38"/>
  <c r="R27" i="38"/>
  <c r="Q27" i="38"/>
  <c r="P27" i="38"/>
  <c r="R26" i="38"/>
  <c r="Q26" i="38"/>
  <c r="P26" i="38"/>
  <c r="S25" i="38"/>
  <c r="R25" i="38"/>
  <c r="Q25" i="38"/>
  <c r="P25" i="38"/>
  <c r="R24" i="38"/>
  <c r="Q24" i="38"/>
  <c r="P24" i="38"/>
  <c r="S23" i="38"/>
  <c r="R23" i="38"/>
  <c r="Q23" i="38"/>
  <c r="P23" i="38"/>
  <c r="R22" i="38"/>
  <c r="Q22" i="38"/>
  <c r="P22" i="38"/>
  <c r="S21" i="38"/>
  <c r="R21" i="38"/>
  <c r="Q21" i="38"/>
  <c r="P21" i="38"/>
  <c r="R20" i="38"/>
  <c r="Q20" i="38"/>
  <c r="P20" i="38"/>
  <c r="S19" i="38"/>
  <c r="R19" i="38"/>
  <c r="Q19" i="38"/>
  <c r="P19" i="38"/>
  <c r="R18" i="38"/>
  <c r="Q18" i="38"/>
  <c r="P18" i="38"/>
  <c r="S17" i="38"/>
  <c r="R17" i="38"/>
  <c r="Q17" i="38"/>
  <c r="P17" i="38"/>
  <c r="R16" i="38"/>
  <c r="Q16" i="38"/>
  <c r="P16" i="38"/>
  <c r="S15" i="38"/>
  <c r="R15" i="38"/>
  <c r="Q15" i="38"/>
  <c r="P15" i="38"/>
  <c r="R14" i="38"/>
  <c r="Q14" i="38"/>
  <c r="P14" i="38"/>
  <c r="S13" i="38"/>
  <c r="R13" i="38"/>
  <c r="Q13" i="38"/>
  <c r="P13" i="38"/>
  <c r="R12" i="38"/>
  <c r="Q12" i="38"/>
  <c r="P12" i="38"/>
  <c r="S11" i="38"/>
  <c r="R11" i="38"/>
  <c r="Q11" i="38"/>
  <c r="U11" i="38" s="1"/>
  <c r="P11" i="38"/>
  <c r="R10" i="38"/>
  <c r="Q10" i="38"/>
  <c r="P10" i="38"/>
  <c r="S9" i="38"/>
  <c r="R9" i="38"/>
  <c r="Q9" i="38"/>
  <c r="P9" i="38"/>
  <c r="R8" i="38"/>
  <c r="Q8" i="38"/>
  <c r="P8" i="38"/>
  <c r="S7" i="38"/>
  <c r="R7" i="38"/>
  <c r="Q7" i="38"/>
  <c r="P7" i="38"/>
  <c r="R6" i="38"/>
  <c r="V5" i="38" s="1"/>
  <c r="Q6" i="38"/>
  <c r="P6" i="38"/>
  <c r="S5" i="38"/>
  <c r="R5" i="38"/>
  <c r="Q5" i="38"/>
  <c r="P5" i="38"/>
  <c r="R4" i="38"/>
  <c r="Q4" i="38"/>
  <c r="U3" i="38" s="1"/>
  <c r="P4" i="38"/>
  <c r="T3" i="38" s="1"/>
  <c r="S3" i="38"/>
  <c r="R3" i="38"/>
  <c r="Q3" i="38"/>
  <c r="P13" i="37"/>
  <c r="R106" i="37"/>
  <c r="Q106" i="37"/>
  <c r="P106" i="37"/>
  <c r="S105" i="37"/>
  <c r="R105" i="37"/>
  <c r="Q105" i="37"/>
  <c r="P105" i="37"/>
  <c r="R104" i="37"/>
  <c r="Q104" i="37"/>
  <c r="P104" i="37"/>
  <c r="S103" i="37"/>
  <c r="R103" i="37"/>
  <c r="Q103" i="37"/>
  <c r="P103" i="37"/>
  <c r="R102" i="37"/>
  <c r="Q102" i="37"/>
  <c r="P102" i="37"/>
  <c r="S101" i="37"/>
  <c r="R101" i="37"/>
  <c r="Q101" i="37"/>
  <c r="P101" i="37"/>
  <c r="R100" i="37"/>
  <c r="Q100" i="37"/>
  <c r="P100" i="37"/>
  <c r="S99" i="37"/>
  <c r="R99" i="37"/>
  <c r="Q99" i="37"/>
  <c r="P99" i="37"/>
  <c r="R98" i="37"/>
  <c r="Q98" i="37"/>
  <c r="P98" i="37"/>
  <c r="S97" i="37"/>
  <c r="R97" i="37"/>
  <c r="Q97" i="37"/>
  <c r="P97" i="37"/>
  <c r="R96" i="37"/>
  <c r="Q96" i="37"/>
  <c r="P96" i="37"/>
  <c r="S95" i="37"/>
  <c r="R95" i="37"/>
  <c r="Q95" i="37"/>
  <c r="P95" i="37"/>
  <c r="R94" i="37"/>
  <c r="Q94" i="37"/>
  <c r="P94" i="37"/>
  <c r="S93" i="37"/>
  <c r="R93" i="37"/>
  <c r="Q93" i="37"/>
  <c r="P93" i="37"/>
  <c r="R92" i="37"/>
  <c r="Q92" i="37"/>
  <c r="P92" i="37"/>
  <c r="S91" i="37"/>
  <c r="R91" i="37"/>
  <c r="Q91" i="37"/>
  <c r="P91" i="37"/>
  <c r="R90" i="37"/>
  <c r="Q90" i="37"/>
  <c r="P90" i="37"/>
  <c r="S89" i="37"/>
  <c r="R89" i="37"/>
  <c r="Q89" i="37"/>
  <c r="P89" i="37"/>
  <c r="R88" i="37"/>
  <c r="Q88" i="37"/>
  <c r="P88" i="37"/>
  <c r="S87" i="37"/>
  <c r="R87" i="37"/>
  <c r="Q87" i="37"/>
  <c r="P87" i="37"/>
  <c r="R86" i="37"/>
  <c r="Q86" i="37"/>
  <c r="P86" i="37"/>
  <c r="S85" i="37"/>
  <c r="R85" i="37"/>
  <c r="Q85" i="37"/>
  <c r="P85" i="37"/>
  <c r="R84" i="37"/>
  <c r="Q84" i="37"/>
  <c r="P84" i="37"/>
  <c r="S83" i="37"/>
  <c r="R83" i="37"/>
  <c r="Q83" i="37"/>
  <c r="P83" i="37"/>
  <c r="R82" i="37"/>
  <c r="Q82" i="37"/>
  <c r="P82" i="37"/>
  <c r="S81" i="37"/>
  <c r="R81" i="37"/>
  <c r="Q81" i="37"/>
  <c r="P81" i="37"/>
  <c r="R80" i="37"/>
  <c r="Q80" i="37"/>
  <c r="P80" i="37"/>
  <c r="S79" i="37"/>
  <c r="R79" i="37"/>
  <c r="Q79" i="37"/>
  <c r="P79" i="37"/>
  <c r="R78" i="37"/>
  <c r="Q78" i="37"/>
  <c r="P78" i="37"/>
  <c r="S77" i="37"/>
  <c r="R77" i="37"/>
  <c r="Q77" i="37"/>
  <c r="P77" i="37"/>
  <c r="R76" i="37"/>
  <c r="Q76" i="37"/>
  <c r="P76" i="37"/>
  <c r="S75" i="37"/>
  <c r="R75" i="37"/>
  <c r="Q75" i="37"/>
  <c r="P75" i="37"/>
  <c r="R74" i="37"/>
  <c r="Q74" i="37"/>
  <c r="P74" i="37"/>
  <c r="S73" i="37"/>
  <c r="R73" i="37"/>
  <c r="Q73" i="37"/>
  <c r="P73" i="37"/>
  <c r="R72" i="37"/>
  <c r="Q72" i="37"/>
  <c r="P72" i="37"/>
  <c r="S71" i="37"/>
  <c r="R71" i="37"/>
  <c r="Q71" i="37"/>
  <c r="P71" i="37"/>
  <c r="R70" i="37"/>
  <c r="Q70" i="37"/>
  <c r="P70" i="37"/>
  <c r="S69" i="37"/>
  <c r="R69" i="37"/>
  <c r="Q69" i="37"/>
  <c r="P69" i="37"/>
  <c r="R68" i="37"/>
  <c r="Q68" i="37"/>
  <c r="P68" i="37"/>
  <c r="S67" i="37"/>
  <c r="R67" i="37"/>
  <c r="Q67" i="37"/>
  <c r="P67" i="37"/>
  <c r="R66" i="37"/>
  <c r="Q66" i="37"/>
  <c r="P66" i="37"/>
  <c r="S65" i="37"/>
  <c r="R65" i="37"/>
  <c r="Q65" i="37"/>
  <c r="P65" i="37"/>
  <c r="R64" i="37"/>
  <c r="Q64" i="37"/>
  <c r="P64" i="37"/>
  <c r="S63" i="37"/>
  <c r="R63" i="37"/>
  <c r="Q63" i="37"/>
  <c r="P63" i="37"/>
  <c r="R62" i="37"/>
  <c r="Q62" i="37"/>
  <c r="P62" i="37"/>
  <c r="S61" i="37"/>
  <c r="R61" i="37"/>
  <c r="Q61" i="37"/>
  <c r="P61" i="37"/>
  <c r="R60" i="37"/>
  <c r="Q60" i="37"/>
  <c r="P60" i="37"/>
  <c r="S59" i="37"/>
  <c r="R59" i="37"/>
  <c r="Q59" i="37"/>
  <c r="P59" i="37"/>
  <c r="R58" i="37"/>
  <c r="Q58" i="37"/>
  <c r="P58" i="37"/>
  <c r="S57" i="37"/>
  <c r="R57" i="37"/>
  <c r="Q57" i="37"/>
  <c r="P57" i="37"/>
  <c r="R56" i="37"/>
  <c r="Q56" i="37"/>
  <c r="P56" i="37"/>
  <c r="S55" i="37"/>
  <c r="R55" i="37"/>
  <c r="Q55" i="37"/>
  <c r="P55" i="37"/>
  <c r="R54" i="37"/>
  <c r="Q54" i="37"/>
  <c r="P54" i="37"/>
  <c r="S53" i="37"/>
  <c r="R53" i="37"/>
  <c r="Q53" i="37"/>
  <c r="P53" i="37"/>
  <c r="R52" i="37"/>
  <c r="Q52" i="37"/>
  <c r="P52" i="37"/>
  <c r="S51" i="37"/>
  <c r="R51" i="37"/>
  <c r="Q51" i="37"/>
  <c r="P51" i="37"/>
  <c r="T49" i="37"/>
  <c r="V49" i="37"/>
  <c r="U49" i="37"/>
  <c r="S49" i="37"/>
  <c r="S47" i="37"/>
  <c r="V47" i="37"/>
  <c r="U47" i="37"/>
  <c r="T47" i="37"/>
  <c r="R46" i="37"/>
  <c r="Q46" i="37"/>
  <c r="P46" i="37"/>
  <c r="S45" i="37"/>
  <c r="R45" i="37"/>
  <c r="Q45" i="37"/>
  <c r="P45" i="37"/>
  <c r="R44" i="37"/>
  <c r="Q44" i="37"/>
  <c r="P44" i="37"/>
  <c r="S43" i="37"/>
  <c r="R43" i="37"/>
  <c r="Q43" i="37"/>
  <c r="P43" i="37"/>
  <c r="R42" i="37"/>
  <c r="Q42" i="37"/>
  <c r="P42" i="37"/>
  <c r="S41" i="37"/>
  <c r="R41" i="37"/>
  <c r="Q41" i="37"/>
  <c r="P41" i="37"/>
  <c r="R40" i="37"/>
  <c r="Q40" i="37"/>
  <c r="P40" i="37"/>
  <c r="S39" i="37"/>
  <c r="R39" i="37"/>
  <c r="Q39" i="37"/>
  <c r="P39" i="37"/>
  <c r="R38" i="37"/>
  <c r="Q38" i="37"/>
  <c r="P38" i="37"/>
  <c r="S37" i="37"/>
  <c r="R37" i="37"/>
  <c r="Q37" i="37"/>
  <c r="P37" i="37"/>
  <c r="R36" i="37"/>
  <c r="Q36" i="37"/>
  <c r="P36" i="37"/>
  <c r="S35" i="37"/>
  <c r="R35" i="37"/>
  <c r="Q35" i="37"/>
  <c r="U35" i="37" s="1"/>
  <c r="P35" i="37"/>
  <c r="R34" i="37"/>
  <c r="Q34" i="37"/>
  <c r="P34" i="37"/>
  <c r="S33" i="37"/>
  <c r="R33" i="37"/>
  <c r="Q33" i="37"/>
  <c r="P33" i="37"/>
  <c r="R32" i="37"/>
  <c r="Q32" i="37"/>
  <c r="P32" i="37"/>
  <c r="S31" i="37"/>
  <c r="R31" i="37"/>
  <c r="Q31" i="37"/>
  <c r="P31" i="37"/>
  <c r="R30" i="37"/>
  <c r="Q30" i="37"/>
  <c r="P30" i="37"/>
  <c r="S29" i="37"/>
  <c r="R29" i="37"/>
  <c r="Q29" i="37"/>
  <c r="P29" i="37"/>
  <c r="R28" i="37"/>
  <c r="Q28" i="37"/>
  <c r="P28" i="37"/>
  <c r="S27" i="37"/>
  <c r="R27" i="37"/>
  <c r="Q27" i="37"/>
  <c r="P27" i="37"/>
  <c r="R26" i="37"/>
  <c r="Q26" i="37"/>
  <c r="P26" i="37"/>
  <c r="S25" i="37"/>
  <c r="R25" i="37"/>
  <c r="Q25" i="37"/>
  <c r="U25" i="37" s="1"/>
  <c r="P25" i="37"/>
  <c r="T25" i="37" s="1"/>
  <c r="R24" i="37"/>
  <c r="Q24" i="37"/>
  <c r="P24" i="37"/>
  <c r="S23" i="37"/>
  <c r="R23" i="37"/>
  <c r="Q23" i="37"/>
  <c r="P23" i="37"/>
  <c r="R22" i="37"/>
  <c r="Q22" i="37"/>
  <c r="P22" i="37"/>
  <c r="S21" i="37"/>
  <c r="R21" i="37"/>
  <c r="Q21" i="37"/>
  <c r="P21" i="37"/>
  <c r="R20" i="37"/>
  <c r="Q20" i="37"/>
  <c r="P20" i="37"/>
  <c r="S19" i="37"/>
  <c r="R19" i="37"/>
  <c r="Q19" i="37"/>
  <c r="P19" i="37"/>
  <c r="R18" i="37"/>
  <c r="Q18" i="37"/>
  <c r="P18" i="37"/>
  <c r="T17" i="37" s="1"/>
  <c r="S17" i="37"/>
  <c r="R17" i="37"/>
  <c r="Q17" i="37"/>
  <c r="P17" i="37"/>
  <c r="R16" i="37"/>
  <c r="Q16" i="37"/>
  <c r="P16" i="37"/>
  <c r="S15" i="37"/>
  <c r="R15" i="37"/>
  <c r="Q15" i="37"/>
  <c r="P15" i="37"/>
  <c r="R14" i="37"/>
  <c r="Q14" i="37"/>
  <c r="P14" i="37"/>
  <c r="S13" i="37"/>
  <c r="R13" i="37"/>
  <c r="Q13" i="37"/>
  <c r="R12" i="37"/>
  <c r="Q12" i="37"/>
  <c r="P12" i="37"/>
  <c r="S11" i="37"/>
  <c r="R11" i="37"/>
  <c r="Q11" i="37"/>
  <c r="P11" i="37"/>
  <c r="R10" i="37"/>
  <c r="Q10" i="37"/>
  <c r="P10" i="37"/>
  <c r="S9" i="37"/>
  <c r="R9" i="37"/>
  <c r="Q9" i="37"/>
  <c r="P9" i="37"/>
  <c r="R8" i="37"/>
  <c r="Q8" i="37"/>
  <c r="P8" i="37"/>
  <c r="S7" i="37"/>
  <c r="R7" i="37"/>
  <c r="Q7" i="37"/>
  <c r="P7" i="37"/>
  <c r="R6" i="37"/>
  <c r="Q6" i="37"/>
  <c r="P6" i="37"/>
  <c r="S5" i="37"/>
  <c r="R5" i="37"/>
  <c r="Q5" i="37"/>
  <c r="P5" i="37"/>
  <c r="R4" i="37"/>
  <c r="Q4" i="37"/>
  <c r="P4" i="37"/>
  <c r="T3" i="37" s="1"/>
  <c r="S3" i="37"/>
  <c r="R3" i="37"/>
  <c r="Q3" i="37"/>
  <c r="P3" i="37"/>
  <c r="C106" i="38"/>
  <c r="C105" i="38"/>
  <c r="C104" i="38"/>
  <c r="C103" i="38"/>
  <c r="C102" i="38"/>
  <c r="C101" i="38"/>
  <c r="C100" i="38"/>
  <c r="C99" i="38"/>
  <c r="C98" i="38"/>
  <c r="C97" i="38"/>
  <c r="C96" i="38"/>
  <c r="C95" i="38"/>
  <c r="C94" i="38"/>
  <c r="C93" i="38"/>
  <c r="C92" i="38"/>
  <c r="C91" i="38"/>
  <c r="C90" i="38"/>
  <c r="C89" i="38"/>
  <c r="C88" i="38"/>
  <c r="C87" i="38"/>
  <c r="C86" i="38"/>
  <c r="C85" i="38"/>
  <c r="C84" i="38"/>
  <c r="C83" i="38"/>
  <c r="C82" i="38"/>
  <c r="C81" i="38"/>
  <c r="C80" i="38"/>
  <c r="C79" i="38"/>
  <c r="C78" i="38"/>
  <c r="C77" i="38"/>
  <c r="C76" i="38"/>
  <c r="C75" i="38"/>
  <c r="C74" i="38"/>
  <c r="C73" i="38"/>
  <c r="C72" i="38"/>
  <c r="C71" i="38"/>
  <c r="C70" i="38"/>
  <c r="C69" i="38"/>
  <c r="C68" i="38"/>
  <c r="C67" i="38"/>
  <c r="C66" i="38"/>
  <c r="C65" i="38"/>
  <c r="C64" i="38"/>
  <c r="C63" i="38"/>
  <c r="C62" i="38"/>
  <c r="C61" i="38"/>
  <c r="C60" i="38"/>
  <c r="C59" i="38"/>
  <c r="C58" i="38"/>
  <c r="C57" i="38"/>
  <c r="C56" i="38"/>
  <c r="C55" i="38"/>
  <c r="C54" i="38"/>
  <c r="C53" i="38"/>
  <c r="C52" i="38"/>
  <c r="C51" i="38"/>
  <c r="C50" i="38"/>
  <c r="C49" i="38"/>
  <c r="C48" i="38"/>
  <c r="C47" i="38"/>
  <c r="C46" i="38"/>
  <c r="C45" i="38"/>
  <c r="C44" i="38"/>
  <c r="C43" i="38"/>
  <c r="C42" i="38"/>
  <c r="C41" i="38"/>
  <c r="C40" i="38"/>
  <c r="C39" i="38"/>
  <c r="C38" i="38"/>
  <c r="C37" i="38"/>
  <c r="C36" i="38"/>
  <c r="C35" i="38"/>
  <c r="C34" i="38"/>
  <c r="C33" i="38"/>
  <c r="C32" i="38"/>
  <c r="C31" i="38"/>
  <c r="C30" i="38"/>
  <c r="C29" i="38"/>
  <c r="C28" i="38"/>
  <c r="C27" i="38"/>
  <c r="C26" i="38"/>
  <c r="C25" i="38"/>
  <c r="C24" i="38"/>
  <c r="C23" i="38"/>
  <c r="C22" i="38"/>
  <c r="C21" i="38"/>
  <c r="C20" i="38"/>
  <c r="C19" i="38"/>
  <c r="C18" i="38"/>
  <c r="C17" i="38"/>
  <c r="C16" i="38"/>
  <c r="C15" i="38"/>
  <c r="C14" i="38"/>
  <c r="C13" i="38"/>
  <c r="C12" i="38"/>
  <c r="C11" i="38"/>
  <c r="C10" i="38"/>
  <c r="C9" i="38"/>
  <c r="C8" i="38"/>
  <c r="C7" i="38"/>
  <c r="C6" i="38"/>
  <c r="C5" i="38"/>
  <c r="C4" i="38"/>
  <c r="C3" i="38"/>
  <c r="C106" i="37"/>
  <c r="C105" i="37"/>
  <c r="C104" i="37"/>
  <c r="C103" i="37"/>
  <c r="C102" i="37"/>
  <c r="C101" i="37"/>
  <c r="C100" i="37"/>
  <c r="C99" i="37"/>
  <c r="C98" i="37"/>
  <c r="C97" i="37"/>
  <c r="C96" i="37"/>
  <c r="C95" i="37"/>
  <c r="C94" i="37"/>
  <c r="C93" i="37"/>
  <c r="C92" i="37"/>
  <c r="C91" i="37"/>
  <c r="C90" i="37"/>
  <c r="C89" i="37"/>
  <c r="C88" i="37"/>
  <c r="C87" i="37"/>
  <c r="C86" i="37"/>
  <c r="C85" i="37"/>
  <c r="C84" i="37"/>
  <c r="C83" i="37"/>
  <c r="C82" i="37"/>
  <c r="C81" i="37"/>
  <c r="C80" i="37"/>
  <c r="C79" i="37"/>
  <c r="C78" i="37"/>
  <c r="C77" i="37"/>
  <c r="C76" i="37"/>
  <c r="C75" i="37"/>
  <c r="C74" i="37"/>
  <c r="C73" i="37"/>
  <c r="C72" i="37"/>
  <c r="C71" i="37"/>
  <c r="C70" i="37"/>
  <c r="C69" i="37"/>
  <c r="C68" i="37"/>
  <c r="C67" i="37"/>
  <c r="C66" i="37"/>
  <c r="C65" i="37"/>
  <c r="C64" i="37"/>
  <c r="C63" i="37"/>
  <c r="C62" i="37"/>
  <c r="C61" i="37"/>
  <c r="C60" i="37"/>
  <c r="C59" i="37"/>
  <c r="C58" i="37"/>
  <c r="C57" i="37"/>
  <c r="C56" i="37"/>
  <c r="C55" i="37"/>
  <c r="C54" i="37"/>
  <c r="C53" i="37"/>
  <c r="C52" i="37"/>
  <c r="C51" i="37"/>
  <c r="C50" i="37"/>
  <c r="C49" i="37"/>
  <c r="C48" i="37"/>
  <c r="C47" i="37"/>
  <c r="C46" i="37"/>
  <c r="C45" i="37"/>
  <c r="C44" i="37"/>
  <c r="C43" i="37"/>
  <c r="C42" i="37"/>
  <c r="C41" i="37"/>
  <c r="C40" i="37"/>
  <c r="C39" i="37"/>
  <c r="C38" i="37"/>
  <c r="C37" i="37"/>
  <c r="C36" i="37"/>
  <c r="C35" i="37"/>
  <c r="C34" i="37"/>
  <c r="C33" i="37"/>
  <c r="C32" i="37"/>
  <c r="C31" i="37"/>
  <c r="C30" i="37"/>
  <c r="C29" i="37"/>
  <c r="C28" i="37"/>
  <c r="C27" i="37"/>
  <c r="C26" i="37"/>
  <c r="C25" i="37"/>
  <c r="C24" i="37"/>
  <c r="C23" i="37"/>
  <c r="C22" i="37"/>
  <c r="C21" i="37"/>
  <c r="C20" i="37"/>
  <c r="C19" i="37"/>
  <c r="C18" i="37"/>
  <c r="C17" i="37"/>
  <c r="C16" i="37"/>
  <c r="C15" i="37"/>
  <c r="C14" i="37"/>
  <c r="C13" i="37"/>
  <c r="C12" i="37"/>
  <c r="C11" i="37"/>
  <c r="C10" i="37"/>
  <c r="C9" i="37"/>
  <c r="C8" i="37"/>
  <c r="C7" i="37"/>
  <c r="C6" i="37"/>
  <c r="C5" i="37"/>
  <c r="C4" i="37"/>
  <c r="C3" i="37"/>
  <c r="M36" i="72" l="1"/>
  <c r="O37" i="73"/>
  <c r="N39" i="65"/>
  <c r="M36" i="73"/>
  <c r="M39" i="73"/>
  <c r="N36" i="73"/>
  <c r="N39" i="72"/>
  <c r="M36" i="65"/>
  <c r="O39" i="72"/>
  <c r="O36" i="73"/>
  <c r="M38" i="73"/>
  <c r="O39" i="73"/>
  <c r="N36" i="60"/>
  <c r="O36" i="65"/>
  <c r="M39" i="72"/>
  <c r="N36" i="65"/>
  <c r="M39" i="65"/>
  <c r="M39" i="60"/>
  <c r="O38" i="72"/>
  <c r="N38" i="65"/>
  <c r="C48" i="72"/>
  <c r="E48" i="72" s="1"/>
  <c r="M45" i="72"/>
  <c r="M47" i="73"/>
  <c r="O37" i="65"/>
  <c r="M37" i="73"/>
  <c r="O38" i="73"/>
  <c r="H48" i="72"/>
  <c r="J48" i="72" s="1"/>
  <c r="N37" i="65"/>
  <c r="M46" i="65"/>
  <c r="N37" i="73"/>
  <c r="N38" i="73"/>
  <c r="H48" i="65"/>
  <c r="N38" i="72"/>
  <c r="M37" i="65"/>
  <c r="N39" i="60"/>
  <c r="M47" i="72"/>
  <c r="N39" i="73"/>
  <c r="O37" i="72"/>
  <c r="O36" i="72"/>
  <c r="M36" i="60"/>
  <c r="M38" i="72"/>
  <c r="M38" i="65"/>
  <c r="M46" i="72"/>
  <c r="H48" i="73"/>
  <c r="J48" i="73" s="1"/>
  <c r="M46" i="73"/>
  <c r="M45" i="73"/>
  <c r="C48" i="73"/>
  <c r="E48" i="73" s="1"/>
  <c r="O36" i="60"/>
  <c r="O38" i="65"/>
  <c r="M37" i="72"/>
  <c r="M45" i="65"/>
  <c r="C48" i="65"/>
  <c r="E46" i="65" s="1"/>
  <c r="N36" i="72"/>
  <c r="O39" i="60"/>
  <c r="M47" i="65"/>
  <c r="N37" i="72"/>
  <c r="T99" i="38"/>
  <c r="U99" i="38"/>
  <c r="T87" i="38"/>
  <c r="T35" i="37"/>
  <c r="U3" i="37"/>
  <c r="U15" i="37"/>
  <c r="T75" i="37"/>
  <c r="T73" i="37"/>
  <c r="U45" i="37"/>
  <c r="V25" i="37"/>
  <c r="V15" i="37"/>
  <c r="T39" i="37"/>
  <c r="V51" i="37"/>
  <c r="U39" i="37"/>
  <c r="T51" i="37"/>
  <c r="V39" i="37"/>
  <c r="U51" i="37"/>
  <c r="V29" i="37"/>
  <c r="V53" i="38"/>
  <c r="V89" i="38"/>
  <c r="V77" i="38"/>
  <c r="V85" i="38"/>
  <c r="V87" i="38"/>
  <c r="V3" i="38"/>
  <c r="E4" i="66" s="1"/>
  <c r="V45" i="38"/>
  <c r="U39" i="38"/>
  <c r="V3" i="37"/>
  <c r="U37" i="37"/>
  <c r="V33" i="37"/>
  <c r="V75" i="37"/>
  <c r="V77" i="37"/>
  <c r="V27" i="37"/>
  <c r="U73" i="37"/>
  <c r="T15" i="37"/>
  <c r="T23" i="37"/>
  <c r="V31" i="37"/>
  <c r="V9" i="37"/>
  <c r="U13" i="37"/>
  <c r="T77" i="37"/>
  <c r="T101" i="37"/>
  <c r="V105" i="37"/>
  <c r="U27" i="37"/>
  <c r="V53" i="37"/>
  <c r="U75" i="37"/>
  <c r="U77" i="37"/>
  <c r="U101" i="37"/>
  <c r="T85" i="38"/>
  <c r="V91" i="38"/>
  <c r="V101" i="38"/>
  <c r="V51" i="38"/>
  <c r="U83" i="38"/>
  <c r="V41" i="38"/>
  <c r="E23" i="66" s="1"/>
  <c r="V65" i="38"/>
  <c r="V83" i="38"/>
  <c r="V31" i="38"/>
  <c r="V63" i="38"/>
  <c r="U89" i="38"/>
  <c r="V97" i="38"/>
  <c r="V99" i="38"/>
  <c r="U5" i="38"/>
  <c r="U13" i="38"/>
  <c r="V15" i="38"/>
  <c r="U53" i="38"/>
  <c r="T97" i="38"/>
  <c r="U33" i="38"/>
  <c r="T5" i="38"/>
  <c r="T13" i="38"/>
  <c r="U47" i="38"/>
  <c r="T91" i="38"/>
  <c r="U75" i="38"/>
  <c r="U77" i="38"/>
  <c r="U97" i="38"/>
  <c r="U95" i="38"/>
  <c r="V95" i="38"/>
  <c r="V65" i="37"/>
  <c r="U99" i="37"/>
  <c r="T103" i="37"/>
  <c r="V17" i="37"/>
  <c r="U43" i="37"/>
  <c r="V21" i="37"/>
  <c r="U17" i="37"/>
  <c r="V99" i="37"/>
  <c r="T19" i="37"/>
  <c r="T27" i="37"/>
  <c r="T37" i="37"/>
  <c r="U93" i="37"/>
  <c r="T13" i="37"/>
  <c r="V35" i="37"/>
  <c r="V13" i="37"/>
  <c r="U23" i="37"/>
  <c r="U31" i="37"/>
  <c r="V45" i="37"/>
  <c r="V23" i="37"/>
  <c r="T7" i="37"/>
  <c r="V41" i="37"/>
  <c r="V101" i="37"/>
  <c r="U97" i="37"/>
  <c r="U105" i="37"/>
  <c r="D4" i="66"/>
  <c r="D11" i="66"/>
  <c r="D22" i="66"/>
  <c r="D17" i="66"/>
  <c r="U15" i="38"/>
  <c r="V33" i="38"/>
  <c r="U55" i="38"/>
  <c r="U65" i="38"/>
  <c r="T83" i="38"/>
  <c r="T95" i="38"/>
  <c r="D10" i="66"/>
  <c r="T73" i="38"/>
  <c r="U91" i="38"/>
  <c r="V11" i="38"/>
  <c r="V17" i="38"/>
  <c r="T27" i="38"/>
  <c r="U37" i="38"/>
  <c r="V43" i="38"/>
  <c r="T93" i="38"/>
  <c r="E5" i="66"/>
  <c r="U27" i="38"/>
  <c r="U35" i="38"/>
  <c r="D23" i="66"/>
  <c r="U81" i="38"/>
  <c r="U93" i="38"/>
  <c r="U105" i="38"/>
  <c r="U29" i="38"/>
  <c r="U49" i="38"/>
  <c r="V75" i="38"/>
  <c r="V29" i="38"/>
  <c r="V39" i="38"/>
  <c r="D16" i="66"/>
  <c r="D5" i="66"/>
  <c r="U25" i="38"/>
  <c r="V27" i="38"/>
  <c r="V35" i="38"/>
  <c r="U45" i="38"/>
  <c r="V81" i="38"/>
  <c r="T89" i="38"/>
  <c r="V93" i="38"/>
  <c r="T101" i="38"/>
  <c r="V105" i="38"/>
  <c r="G5" i="68"/>
  <c r="V103" i="37"/>
  <c r="T105" i="37"/>
  <c r="U53" i="37"/>
  <c r="T53" i="37"/>
  <c r="T103" i="38"/>
  <c r="T105" i="38"/>
  <c r="U103" i="38"/>
  <c r="V103" i="38"/>
  <c r="T77" i="38"/>
  <c r="T53" i="38"/>
  <c r="T51" i="38"/>
  <c r="T81" i="38"/>
  <c r="T79" i="38"/>
  <c r="U79" i="38"/>
  <c r="V79" i="38"/>
  <c r="U67" i="37"/>
  <c r="T69" i="37"/>
  <c r="U69" i="37"/>
  <c r="U9" i="37"/>
  <c r="V47" i="38"/>
  <c r="V19" i="37"/>
  <c r="T21" i="37"/>
  <c r="U21" i="37"/>
  <c r="T11" i="37"/>
  <c r="U11" i="37"/>
  <c r="V11" i="37"/>
  <c r="U19" i="37"/>
  <c r="U7" i="37"/>
  <c r="V7" i="37"/>
  <c r="T9" i="37"/>
  <c r="T29" i="37"/>
  <c r="U29" i="37"/>
  <c r="T19" i="38"/>
  <c r="T11" i="38"/>
  <c r="U21" i="38"/>
  <c r="U19" i="38"/>
  <c r="V19" i="38"/>
  <c r="T21" i="38"/>
  <c r="T17" i="38"/>
  <c r="V21" i="38"/>
  <c r="T15" i="38"/>
  <c r="U17" i="38"/>
  <c r="V13" i="38"/>
  <c r="U7" i="38"/>
  <c r="V7" i="38"/>
  <c r="T9" i="38"/>
  <c r="U9" i="38"/>
  <c r="T7" i="38"/>
  <c r="V9" i="38"/>
  <c r="T29" i="38"/>
  <c r="V25" i="38"/>
  <c r="T25" i="38"/>
  <c r="T23" i="38"/>
  <c r="U23" i="38"/>
  <c r="V23" i="38"/>
  <c r="T33" i="37"/>
  <c r="V43" i="37"/>
  <c r="U33" i="37"/>
  <c r="T45" i="37"/>
  <c r="T41" i="37"/>
  <c r="U41" i="37"/>
  <c r="T31" i="37"/>
  <c r="V37" i="37"/>
  <c r="T43" i="37"/>
  <c r="T41" i="38"/>
  <c r="T31" i="38"/>
  <c r="T43" i="38"/>
  <c r="T49" i="38"/>
  <c r="T35" i="38"/>
  <c r="T47" i="38"/>
  <c r="U31" i="38"/>
  <c r="U43" i="38"/>
  <c r="T33" i="38"/>
  <c r="T45" i="38"/>
  <c r="T39" i="38"/>
  <c r="U41" i="38"/>
  <c r="V37" i="38"/>
  <c r="V49" i="38"/>
  <c r="U57" i="38"/>
  <c r="T63" i="38"/>
  <c r="U71" i="38"/>
  <c r="U73" i="38"/>
  <c r="T69" i="38"/>
  <c r="V69" i="38"/>
  <c r="V73" i="38"/>
  <c r="T67" i="38"/>
  <c r="U63" i="38"/>
  <c r="T71" i="38"/>
  <c r="V71" i="38"/>
  <c r="U67" i="38"/>
  <c r="V67" i="38"/>
  <c r="V61" i="38"/>
  <c r="T5" i="37"/>
  <c r="V5" i="37"/>
  <c r="U5" i="37"/>
  <c r="T89" i="37"/>
  <c r="V89" i="37"/>
  <c r="V85" i="37"/>
  <c r="T79" i="37"/>
  <c r="T99" i="37"/>
  <c r="V93" i="37"/>
  <c r="T97" i="37"/>
  <c r="T87" i="37"/>
  <c r="U85" i="37"/>
  <c r="V91" i="37"/>
  <c r="T93" i="37"/>
  <c r="V79" i="37"/>
  <c r="V87" i="37"/>
  <c r="U89" i="37"/>
  <c r="T81" i="37"/>
  <c r="V97" i="37"/>
  <c r="U81" i="37"/>
  <c r="T91" i="37"/>
  <c r="U87" i="37"/>
  <c r="V81" i="37"/>
  <c r="T85" i="37"/>
  <c r="U103" i="37"/>
  <c r="T83" i="37"/>
  <c r="T95" i="37"/>
  <c r="U83" i="37"/>
  <c r="U95" i="37"/>
  <c r="V83" i="37"/>
  <c r="V95" i="37"/>
  <c r="U79" i="37"/>
  <c r="U91" i="37"/>
  <c r="U63" i="37"/>
  <c r="T65" i="37"/>
  <c r="V63" i="37"/>
  <c r="T67" i="37"/>
  <c r="V69" i="37"/>
  <c r="T63" i="37"/>
  <c r="T71" i="37"/>
  <c r="V67" i="37"/>
  <c r="U65" i="37"/>
  <c r="V73" i="37"/>
  <c r="U71" i="37"/>
  <c r="V71" i="37"/>
  <c r="T61" i="37"/>
  <c r="V61" i="37"/>
  <c r="T55" i="37"/>
  <c r="T59" i="37"/>
  <c r="U59" i="37"/>
  <c r="U61" i="37"/>
  <c r="V59" i="37"/>
  <c r="V57" i="38"/>
  <c r="T61" i="38"/>
  <c r="U61" i="38"/>
  <c r="T65" i="38"/>
  <c r="T57" i="38"/>
  <c r="T55" i="38"/>
  <c r="T59" i="38"/>
  <c r="U59" i="38"/>
  <c r="V59" i="38"/>
  <c r="V55" i="38"/>
  <c r="U55" i="37"/>
  <c r="V55" i="37"/>
  <c r="T57" i="37"/>
  <c r="U57" i="37"/>
  <c r="V57" i="37"/>
  <c r="J45" i="73" l="1"/>
  <c r="J45" i="72"/>
  <c r="E47" i="72"/>
  <c r="E46" i="72"/>
  <c r="J46" i="72"/>
  <c r="E45" i="72"/>
  <c r="M48" i="65"/>
  <c r="O46" i="65" s="1"/>
  <c r="J46" i="73"/>
  <c r="E45" i="65"/>
  <c r="E48" i="65"/>
  <c r="J45" i="65"/>
  <c r="J48" i="65"/>
  <c r="J47" i="72"/>
  <c r="E45" i="73"/>
  <c r="J47" i="73"/>
  <c r="E47" i="73"/>
  <c r="J46" i="65"/>
  <c r="E47" i="65"/>
  <c r="M48" i="73"/>
  <c r="O48" i="73" s="1"/>
  <c r="E46" i="73"/>
  <c r="J47" i="65"/>
  <c r="M48" i="72"/>
  <c r="O48" i="72" s="1"/>
  <c r="X16" i="76"/>
  <c r="I27" i="70"/>
  <c r="K27" i="70" s="1"/>
  <c r="I5" i="70"/>
  <c r="K5" i="70" s="1"/>
  <c r="C46" i="69"/>
  <c r="C11" i="69"/>
  <c r="C13" i="69"/>
  <c r="C27" i="69" s="1"/>
  <c r="C12" i="69"/>
  <c r="C26" i="69" s="1"/>
  <c r="C55" i="69"/>
  <c r="C54" i="69"/>
  <c r="C53" i="69"/>
  <c r="C56" i="69" s="1"/>
  <c r="C48" i="69"/>
  <c r="C47" i="69"/>
  <c r="E10" i="66"/>
  <c r="E11" i="66"/>
  <c r="E22" i="66"/>
  <c r="E16" i="66"/>
  <c r="E17" i="66"/>
  <c r="P105" i="33"/>
  <c r="O105" i="33"/>
  <c r="N105" i="33"/>
  <c r="Q103" i="33"/>
  <c r="P103" i="33"/>
  <c r="O103" i="33"/>
  <c r="N103" i="33"/>
  <c r="Q101" i="33"/>
  <c r="P101" i="33"/>
  <c r="O101" i="33"/>
  <c r="N101" i="33"/>
  <c r="Q99" i="33"/>
  <c r="P99" i="33"/>
  <c r="O99" i="33"/>
  <c r="N99" i="33"/>
  <c r="Q97" i="33"/>
  <c r="P97" i="33"/>
  <c r="O97" i="33"/>
  <c r="N97" i="33"/>
  <c r="Q95" i="33"/>
  <c r="P95" i="33"/>
  <c r="O95" i="33"/>
  <c r="N95" i="33"/>
  <c r="Q93" i="33"/>
  <c r="P93" i="33"/>
  <c r="O93" i="33"/>
  <c r="N93" i="33"/>
  <c r="Q91" i="33"/>
  <c r="P91" i="33"/>
  <c r="O91" i="33"/>
  <c r="N91" i="33"/>
  <c r="Q89" i="33"/>
  <c r="P89" i="33"/>
  <c r="O89" i="33"/>
  <c r="N89" i="33"/>
  <c r="Q87" i="33"/>
  <c r="P87" i="33"/>
  <c r="O87" i="33"/>
  <c r="N87" i="33"/>
  <c r="Q85" i="33"/>
  <c r="P85" i="33"/>
  <c r="O85" i="33"/>
  <c r="N85" i="33"/>
  <c r="Q83" i="33"/>
  <c r="P83" i="33"/>
  <c r="O83" i="33"/>
  <c r="N83" i="33"/>
  <c r="Q81" i="33"/>
  <c r="P81" i="33"/>
  <c r="O81" i="33"/>
  <c r="N81" i="33"/>
  <c r="Q79" i="33"/>
  <c r="P79" i="33"/>
  <c r="O79" i="33"/>
  <c r="N79" i="33"/>
  <c r="Q77" i="33"/>
  <c r="P77" i="33"/>
  <c r="O77" i="33"/>
  <c r="N77" i="33"/>
  <c r="Q75" i="33"/>
  <c r="P75" i="33"/>
  <c r="O75" i="33"/>
  <c r="N75" i="33"/>
  <c r="Q73" i="33"/>
  <c r="P73" i="33"/>
  <c r="O73" i="33"/>
  <c r="N73" i="33"/>
  <c r="Q71" i="33"/>
  <c r="P71" i="33"/>
  <c r="O71" i="33"/>
  <c r="N71" i="33"/>
  <c r="Q69" i="33"/>
  <c r="P69" i="33"/>
  <c r="O69" i="33"/>
  <c r="N69" i="33"/>
  <c r="Q67" i="33"/>
  <c r="P67" i="33"/>
  <c r="O67" i="33"/>
  <c r="N67" i="33"/>
  <c r="Q65" i="33"/>
  <c r="P65" i="33"/>
  <c r="O65" i="33"/>
  <c r="N65" i="33"/>
  <c r="Q63" i="33"/>
  <c r="P63" i="33"/>
  <c r="O63" i="33"/>
  <c r="N63" i="33"/>
  <c r="Q61" i="33"/>
  <c r="P61" i="33"/>
  <c r="O61" i="33"/>
  <c r="N61" i="33"/>
  <c r="Q59" i="33"/>
  <c r="P59" i="33"/>
  <c r="O59" i="33"/>
  <c r="N59" i="33"/>
  <c r="Q57" i="33"/>
  <c r="P57" i="33"/>
  <c r="O57" i="33"/>
  <c r="N57" i="33"/>
  <c r="Q55" i="33"/>
  <c r="P55" i="33"/>
  <c r="O55" i="33"/>
  <c r="N55" i="33"/>
  <c r="Q53" i="33"/>
  <c r="P53" i="33"/>
  <c r="O53" i="33"/>
  <c r="N53" i="33"/>
  <c r="Q51" i="33"/>
  <c r="P51" i="33"/>
  <c r="O51" i="33"/>
  <c r="N51" i="33"/>
  <c r="Q49" i="33"/>
  <c r="P49" i="33"/>
  <c r="O49" i="33"/>
  <c r="N49" i="33"/>
  <c r="Q47" i="33"/>
  <c r="P47" i="33"/>
  <c r="O47" i="33"/>
  <c r="N47" i="33"/>
  <c r="Q45" i="33"/>
  <c r="P45" i="33"/>
  <c r="O45" i="33"/>
  <c r="N45" i="33"/>
  <c r="Q43" i="33"/>
  <c r="P43" i="33"/>
  <c r="O43" i="33"/>
  <c r="N43" i="33"/>
  <c r="Q41" i="33"/>
  <c r="P41" i="33"/>
  <c r="O41" i="33"/>
  <c r="N41" i="33"/>
  <c r="Q39" i="33"/>
  <c r="P39" i="33"/>
  <c r="O39" i="33"/>
  <c r="N39" i="33"/>
  <c r="Q37" i="33"/>
  <c r="P37" i="33"/>
  <c r="O37" i="33"/>
  <c r="N37" i="33"/>
  <c r="Q35" i="33"/>
  <c r="P35" i="33"/>
  <c r="O35" i="33"/>
  <c r="N35" i="33"/>
  <c r="Q33" i="33"/>
  <c r="P33" i="33"/>
  <c r="O33" i="33"/>
  <c r="N33" i="33"/>
  <c r="Q31" i="33"/>
  <c r="P31" i="33"/>
  <c r="O31" i="33"/>
  <c r="N31" i="33"/>
  <c r="Q29" i="33"/>
  <c r="P29" i="33"/>
  <c r="O29" i="33"/>
  <c r="N29" i="33"/>
  <c r="Q27" i="33"/>
  <c r="P27" i="33"/>
  <c r="O27" i="33"/>
  <c r="N27" i="33"/>
  <c r="Q25" i="33"/>
  <c r="P25" i="33"/>
  <c r="O25" i="33"/>
  <c r="N25" i="33"/>
  <c r="Q23" i="33"/>
  <c r="P23" i="33"/>
  <c r="O23" i="33"/>
  <c r="N23" i="33"/>
  <c r="Q21" i="33"/>
  <c r="P21" i="33"/>
  <c r="O21" i="33"/>
  <c r="N21" i="33"/>
  <c r="Q19" i="33"/>
  <c r="P19" i="33"/>
  <c r="O19" i="33"/>
  <c r="N19" i="33"/>
  <c r="Q17" i="33"/>
  <c r="P17" i="33"/>
  <c r="O17" i="33"/>
  <c r="N17" i="33"/>
  <c r="Q15" i="33"/>
  <c r="P15" i="33"/>
  <c r="O15" i="33"/>
  <c r="N15" i="33"/>
  <c r="Q13" i="33"/>
  <c r="P13" i="33"/>
  <c r="O13" i="33"/>
  <c r="N13" i="33"/>
  <c r="Q11" i="33"/>
  <c r="P11" i="33"/>
  <c r="O11" i="33"/>
  <c r="N11" i="33"/>
  <c r="Q9" i="33"/>
  <c r="P9" i="33"/>
  <c r="O9" i="33"/>
  <c r="N9" i="33"/>
  <c r="Q7" i="33"/>
  <c r="P7" i="33"/>
  <c r="O7" i="33"/>
  <c r="N7" i="33"/>
  <c r="Q5" i="33"/>
  <c r="P5" i="33"/>
  <c r="O5" i="33"/>
  <c r="N5" i="33"/>
  <c r="Q3" i="33"/>
  <c r="P3" i="33"/>
  <c r="O3" i="33"/>
  <c r="N3" i="33"/>
  <c r="Q105" i="32"/>
  <c r="P105" i="32"/>
  <c r="O105" i="32"/>
  <c r="N105" i="32"/>
  <c r="Q103" i="32"/>
  <c r="P103" i="32"/>
  <c r="O103" i="32"/>
  <c r="N103" i="32"/>
  <c r="Q101" i="32"/>
  <c r="P101" i="32"/>
  <c r="O101" i="32"/>
  <c r="N101" i="32"/>
  <c r="Q99" i="32"/>
  <c r="P99" i="32"/>
  <c r="O99" i="32"/>
  <c r="N99" i="32"/>
  <c r="Q97" i="32"/>
  <c r="P97" i="32"/>
  <c r="O97" i="32"/>
  <c r="N97" i="32"/>
  <c r="Q95" i="32"/>
  <c r="P95" i="32"/>
  <c r="O95" i="32"/>
  <c r="N95" i="32"/>
  <c r="Q93" i="32"/>
  <c r="P93" i="32"/>
  <c r="O93" i="32"/>
  <c r="N93" i="32"/>
  <c r="Q91" i="32"/>
  <c r="P91" i="32"/>
  <c r="O91" i="32"/>
  <c r="N91" i="32"/>
  <c r="Q89" i="32"/>
  <c r="P89" i="32"/>
  <c r="O89" i="32"/>
  <c r="N89" i="32"/>
  <c r="Q87" i="32"/>
  <c r="P87" i="32"/>
  <c r="O87" i="32"/>
  <c r="N87" i="32"/>
  <c r="Q85" i="32"/>
  <c r="P85" i="32"/>
  <c r="O85" i="32"/>
  <c r="N85" i="32"/>
  <c r="Q83" i="32"/>
  <c r="P83" i="32"/>
  <c r="O83" i="32"/>
  <c r="N83" i="32"/>
  <c r="Q81" i="32"/>
  <c r="P81" i="32"/>
  <c r="O81" i="32"/>
  <c r="N81" i="32"/>
  <c r="Q79" i="32"/>
  <c r="P79" i="32"/>
  <c r="O79" i="32"/>
  <c r="N79" i="32"/>
  <c r="Q77" i="32"/>
  <c r="P77" i="32"/>
  <c r="O77" i="32"/>
  <c r="N77" i="32"/>
  <c r="Q75" i="32"/>
  <c r="P75" i="32"/>
  <c r="O75" i="32"/>
  <c r="N75" i="32"/>
  <c r="Q73" i="32"/>
  <c r="P73" i="32"/>
  <c r="O73" i="32"/>
  <c r="N73" i="32"/>
  <c r="Q71" i="32"/>
  <c r="P71" i="32"/>
  <c r="O71" i="32"/>
  <c r="N71" i="32"/>
  <c r="Q69" i="32"/>
  <c r="P69" i="32"/>
  <c r="O69" i="32"/>
  <c r="N69" i="32"/>
  <c r="Q67" i="32"/>
  <c r="P67" i="32"/>
  <c r="O67" i="32"/>
  <c r="N67" i="32"/>
  <c r="Q65" i="32"/>
  <c r="P65" i="32"/>
  <c r="O65" i="32"/>
  <c r="N65" i="32"/>
  <c r="Q63" i="32"/>
  <c r="P63" i="32"/>
  <c r="O63" i="32"/>
  <c r="N63" i="32"/>
  <c r="Q61" i="32"/>
  <c r="P61" i="32"/>
  <c r="O61" i="32"/>
  <c r="N61" i="32"/>
  <c r="Q59" i="32"/>
  <c r="P59" i="32"/>
  <c r="O59" i="32"/>
  <c r="N59" i="32"/>
  <c r="Q57" i="32"/>
  <c r="P57" i="32"/>
  <c r="O57" i="32"/>
  <c r="N57" i="32"/>
  <c r="Q55" i="32"/>
  <c r="P55" i="32"/>
  <c r="O55" i="32"/>
  <c r="N55" i="32"/>
  <c r="Q53" i="32"/>
  <c r="P53" i="32"/>
  <c r="O53" i="32"/>
  <c r="N53" i="32"/>
  <c r="Q51" i="32"/>
  <c r="P51" i="32"/>
  <c r="O51" i="32"/>
  <c r="N51" i="32"/>
  <c r="Q49" i="32"/>
  <c r="P49" i="32"/>
  <c r="O49" i="32"/>
  <c r="N49" i="32"/>
  <c r="Q47" i="32"/>
  <c r="P47" i="32"/>
  <c r="O47" i="32"/>
  <c r="N47" i="32"/>
  <c r="Q45" i="32"/>
  <c r="P45" i="32"/>
  <c r="O45" i="32"/>
  <c r="N45" i="32"/>
  <c r="Q43" i="32"/>
  <c r="P43" i="32"/>
  <c r="O43" i="32"/>
  <c r="N43" i="32"/>
  <c r="Q41" i="32"/>
  <c r="P41" i="32"/>
  <c r="O41" i="32"/>
  <c r="N41" i="32"/>
  <c r="Q39" i="32"/>
  <c r="P39" i="32"/>
  <c r="O39" i="32"/>
  <c r="N39" i="32"/>
  <c r="Q37" i="32"/>
  <c r="P37" i="32"/>
  <c r="O37" i="32"/>
  <c r="N37" i="32"/>
  <c r="Q35" i="32"/>
  <c r="P35" i="32"/>
  <c r="O35" i="32"/>
  <c r="N35" i="32"/>
  <c r="Q33" i="32"/>
  <c r="P33" i="32"/>
  <c r="O33" i="32"/>
  <c r="N33" i="32"/>
  <c r="Q31" i="32"/>
  <c r="P31" i="32"/>
  <c r="O31" i="32"/>
  <c r="N31" i="32"/>
  <c r="Q29" i="32"/>
  <c r="P29" i="32"/>
  <c r="O29" i="32"/>
  <c r="N29" i="32"/>
  <c r="Q27" i="32"/>
  <c r="P27" i="32"/>
  <c r="O27" i="32"/>
  <c r="N27" i="32"/>
  <c r="Q25" i="32"/>
  <c r="P25" i="32"/>
  <c r="O25" i="32"/>
  <c r="N25" i="32"/>
  <c r="Q23" i="32"/>
  <c r="P23" i="32"/>
  <c r="O23" i="32"/>
  <c r="N23" i="32"/>
  <c r="Q21" i="32"/>
  <c r="P21" i="32"/>
  <c r="O21" i="32"/>
  <c r="N21" i="32"/>
  <c r="Q19" i="32"/>
  <c r="P19" i="32"/>
  <c r="O19" i="32"/>
  <c r="N19" i="32"/>
  <c r="Q17" i="32"/>
  <c r="P17" i="32"/>
  <c r="O17" i="32"/>
  <c r="N17" i="32"/>
  <c r="Q15" i="32"/>
  <c r="P15" i="32"/>
  <c r="O15" i="32"/>
  <c r="N15" i="32"/>
  <c r="Q13" i="32"/>
  <c r="P13" i="32"/>
  <c r="O13" i="32"/>
  <c r="N13" i="32"/>
  <c r="Q11" i="32"/>
  <c r="P11" i="32"/>
  <c r="O11" i="32"/>
  <c r="N11" i="32"/>
  <c r="Q9" i="32"/>
  <c r="P9" i="32"/>
  <c r="O9" i="32"/>
  <c r="N9" i="32"/>
  <c r="Q7" i="32"/>
  <c r="P7" i="32"/>
  <c r="O7" i="32"/>
  <c r="N7" i="32"/>
  <c r="Q5" i="32"/>
  <c r="P5" i="32"/>
  <c r="O5" i="32"/>
  <c r="N5" i="32"/>
  <c r="Q3" i="32"/>
  <c r="P3" i="32"/>
  <c r="O3" i="32"/>
  <c r="N3" i="32"/>
  <c r="O45" i="73" l="1"/>
  <c r="X28" i="77"/>
  <c r="O48" i="65"/>
  <c r="O47" i="65"/>
  <c r="O45" i="65"/>
  <c r="O46" i="73"/>
  <c r="O47" i="73"/>
  <c r="O45" i="72"/>
  <c r="O46" i="72"/>
  <c r="O47" i="72"/>
  <c r="I6" i="70"/>
  <c r="K6" i="70" s="1"/>
  <c r="X23" i="76"/>
  <c r="X13" i="77"/>
  <c r="X6" i="77"/>
  <c r="I29" i="70"/>
  <c r="K29" i="70" s="1"/>
  <c r="I24" i="70"/>
  <c r="K24" i="70" s="1"/>
  <c r="X18" i="76"/>
  <c r="X7" i="76"/>
  <c r="I28" i="70"/>
  <c r="K28" i="70" s="1"/>
  <c r="X27" i="77"/>
  <c r="X10" i="77"/>
  <c r="I17" i="70"/>
  <c r="K17" i="70" s="1"/>
  <c r="I14" i="70"/>
  <c r="K14" i="70" s="1"/>
  <c r="X11" i="77"/>
  <c r="X12" i="76"/>
  <c r="X28" i="76"/>
  <c r="X22" i="76"/>
  <c r="X21" i="77"/>
  <c r="I11" i="70"/>
  <c r="K11" i="70" s="1"/>
  <c r="X24" i="76"/>
  <c r="X19" i="76"/>
  <c r="X30" i="76"/>
  <c r="X11" i="76"/>
  <c r="I20" i="70"/>
  <c r="K20" i="70" s="1"/>
  <c r="X14" i="76"/>
  <c r="X25" i="76"/>
  <c r="X29" i="76"/>
  <c r="AD12" i="77" a="1"/>
  <c r="AD12" i="77" s="1"/>
  <c r="X30" i="77"/>
  <c r="I26" i="70"/>
  <c r="K26" i="70" s="1"/>
  <c r="I18" i="70"/>
  <c r="K18" i="70" s="1"/>
  <c r="X9" i="77"/>
  <c r="X10" i="76"/>
  <c r="X17" i="76"/>
  <c r="AA10" i="76" a="1"/>
  <c r="AA10" i="76" s="1"/>
  <c r="AA12" i="76" a="1"/>
  <c r="AA12" i="76" s="1"/>
  <c r="AA7" i="76" a="1"/>
  <c r="AA7" i="76" s="1"/>
  <c r="AA8" i="76" a="1"/>
  <c r="AA8" i="76" s="1"/>
  <c r="X5" i="76"/>
  <c r="AA6" i="76" a="1"/>
  <c r="AA6" i="76" s="1"/>
  <c r="AA9" i="76" a="1"/>
  <c r="AA9" i="76" s="1"/>
  <c r="AA11" i="76" a="1"/>
  <c r="AA11" i="76" s="1"/>
  <c r="X9" i="76"/>
  <c r="I30" i="70"/>
  <c r="K30" i="70" s="1"/>
  <c r="X17" i="77"/>
  <c r="X29" i="77"/>
  <c r="X14" i="77"/>
  <c r="I9" i="70"/>
  <c r="K9" i="70" s="1"/>
  <c r="X27" i="76"/>
  <c r="X15" i="76"/>
  <c r="X26" i="76"/>
  <c r="X13" i="76"/>
  <c r="X21" i="76"/>
  <c r="AD8" i="76" a="1"/>
  <c r="AD8" i="76" s="1"/>
  <c r="AD11" i="76" a="1"/>
  <c r="AD11" i="76" s="1"/>
  <c r="AD7" i="76" a="1"/>
  <c r="AD7" i="76" s="1"/>
  <c r="AD9" i="76" a="1"/>
  <c r="AD9" i="76" s="1"/>
  <c r="AD12" i="76" a="1"/>
  <c r="AD12" i="76" s="1"/>
  <c r="AD6" i="76" a="1"/>
  <c r="AD6" i="76" s="1"/>
  <c r="AD10" i="76" a="1"/>
  <c r="AD10" i="76" s="1"/>
  <c r="X20" i="76"/>
  <c r="X8" i="76"/>
  <c r="X6" i="76"/>
  <c r="AD11" i="77" a="1"/>
  <c r="AD11" i="77" s="1"/>
  <c r="X12" i="77"/>
  <c r="X16" i="77"/>
  <c r="AD9" i="77" a="1"/>
  <c r="AD9" i="77" s="1"/>
  <c r="AD7" i="77" a="1"/>
  <c r="AD7" i="77" s="1"/>
  <c r="AD10" i="77" a="1"/>
  <c r="AD10" i="77" s="1"/>
  <c r="I12" i="70"/>
  <c r="K12" i="70" s="1"/>
  <c r="X26" i="77"/>
  <c r="X18" i="77"/>
  <c r="X19" i="77"/>
  <c r="I16" i="70"/>
  <c r="K16" i="70" s="1"/>
  <c r="I8" i="70"/>
  <c r="K8" i="70" s="1"/>
  <c r="I21" i="70"/>
  <c r="K21" i="70" s="1"/>
  <c r="I19" i="70"/>
  <c r="K19" i="70" s="1"/>
  <c r="X22" i="77"/>
  <c r="X8" i="77"/>
  <c r="AD8" i="77" a="1"/>
  <c r="AD8" i="77" s="1"/>
  <c r="X25" i="77"/>
  <c r="X23" i="77"/>
  <c r="I22" i="70"/>
  <c r="K22" i="70" s="1"/>
  <c r="AD6" i="77" a="1"/>
  <c r="AD6" i="77" s="1"/>
  <c r="I25" i="70"/>
  <c r="K25" i="70" s="1"/>
  <c r="AA8" i="77" a="1"/>
  <c r="AA8" i="77" s="1"/>
  <c r="AA6" i="77" a="1"/>
  <c r="AA6" i="77" s="1"/>
  <c r="AA11" i="77" a="1"/>
  <c r="AA11" i="77" s="1"/>
  <c r="AA10" i="77" a="1"/>
  <c r="AA10" i="77" s="1"/>
  <c r="AA12" i="77" a="1"/>
  <c r="AA12" i="77" s="1"/>
  <c r="AA7" i="77" a="1"/>
  <c r="AA7" i="77" s="1"/>
  <c r="X5" i="77"/>
  <c r="AA9" i="77" a="1"/>
  <c r="AA9" i="77" s="1"/>
  <c r="X20" i="77"/>
  <c r="I23" i="70"/>
  <c r="K23" i="70" s="1"/>
  <c r="C25" i="69"/>
  <c r="C28" i="69" s="1"/>
  <c r="C14" i="69"/>
  <c r="X7" i="77"/>
  <c r="X15" i="77"/>
  <c r="I13" i="70"/>
  <c r="K13" i="70" s="1"/>
  <c r="I10" i="70"/>
  <c r="K10" i="70" s="1"/>
  <c r="C49" i="69"/>
  <c r="I7" i="70"/>
  <c r="K7" i="70" s="1"/>
  <c r="X24" i="77"/>
  <c r="I15" i="70"/>
  <c r="K15" i="70" s="1"/>
  <c r="G4" i="68"/>
  <c r="E14" i="66"/>
  <c r="E21" i="66"/>
  <c r="D8" i="66"/>
  <c r="D15" i="66"/>
  <c r="E3" i="66"/>
  <c r="E8" i="66"/>
  <c r="E15" i="66"/>
  <c r="D2" i="66"/>
  <c r="D9" i="66"/>
  <c r="D20" i="66"/>
  <c r="E2" i="66"/>
  <c r="E20" i="66"/>
  <c r="D3" i="66"/>
  <c r="D14" i="66"/>
  <c r="D21" i="66"/>
  <c r="N35" i="70" l="1"/>
  <c r="L35" i="70"/>
  <c r="H37" i="76" a="1"/>
  <c r="H37" i="76" s="1"/>
  <c r="J37" i="76" a="1"/>
  <c r="J37" i="76" s="1"/>
  <c r="I37" i="76" a="1"/>
  <c r="I37" i="76" s="1"/>
  <c r="H46" i="76" a="1"/>
  <c r="H46" i="76" s="1"/>
  <c r="C45" i="76" a="1"/>
  <c r="C45" i="76" s="1"/>
  <c r="D36" i="76" a="1"/>
  <c r="D36" i="76" s="1"/>
  <c r="E39" i="76" a="1"/>
  <c r="E39" i="76" s="1"/>
  <c r="C39" i="76" a="1"/>
  <c r="C39" i="76" s="1"/>
  <c r="C36" i="76" a="1"/>
  <c r="C36" i="76" s="1"/>
  <c r="E36" i="76" a="1"/>
  <c r="E36" i="76" s="1"/>
  <c r="D39" i="76" a="1"/>
  <c r="D39" i="76" s="1"/>
  <c r="E38" i="76" a="1"/>
  <c r="E38" i="76" s="1"/>
  <c r="C38" i="76" a="1"/>
  <c r="C38" i="76" s="1"/>
  <c r="C47" i="76" a="1"/>
  <c r="C47" i="76" s="1"/>
  <c r="D38" i="76" a="1"/>
  <c r="D38" i="76" s="1"/>
  <c r="I38" i="76" a="1"/>
  <c r="I38" i="76" s="1"/>
  <c r="H47" i="76" a="1"/>
  <c r="H47" i="76" s="1"/>
  <c r="H38" i="76" a="1"/>
  <c r="H38" i="76" s="1"/>
  <c r="J38" i="76" a="1"/>
  <c r="J38" i="76" s="1"/>
  <c r="H36" i="76" a="1"/>
  <c r="H36" i="76" s="1"/>
  <c r="J39" i="76" a="1"/>
  <c r="J39" i="76" s="1"/>
  <c r="J36" i="76" a="1"/>
  <c r="J36" i="76" s="1"/>
  <c r="I39" i="76" a="1"/>
  <c r="I39" i="76" s="1"/>
  <c r="H39" i="76" a="1"/>
  <c r="H39" i="76" s="1"/>
  <c r="I36" i="76" a="1"/>
  <c r="I36" i="76" s="1"/>
  <c r="H45" i="76" a="1"/>
  <c r="H45" i="76" s="1"/>
  <c r="D37" i="76" a="1"/>
  <c r="D37" i="76" s="1"/>
  <c r="N37" i="76" s="1"/>
  <c r="C37" i="76" a="1"/>
  <c r="C37" i="76" s="1"/>
  <c r="M37" i="76" s="1"/>
  <c r="E37" i="76" a="1"/>
  <c r="E37" i="76" s="1"/>
  <c r="O37" i="76" s="1"/>
  <c r="C46" i="76" a="1"/>
  <c r="C46" i="76" s="1"/>
  <c r="M35" i="70"/>
  <c r="C39" i="77" a="1"/>
  <c r="C39" i="77" s="1"/>
  <c r="E36" i="77" a="1"/>
  <c r="E36" i="77" s="1"/>
  <c r="E39" i="77" a="1"/>
  <c r="E39" i="77" s="1"/>
  <c r="C36" i="77" a="1"/>
  <c r="C36" i="77" s="1"/>
  <c r="D39" i="77" a="1"/>
  <c r="D39" i="77" s="1"/>
  <c r="D36" i="77" a="1"/>
  <c r="D36" i="77" s="1"/>
  <c r="C45" i="77" a="1"/>
  <c r="C45" i="77" s="1"/>
  <c r="E37" i="77" a="1"/>
  <c r="E37" i="77" s="1"/>
  <c r="C46" i="77" a="1"/>
  <c r="C46" i="77" s="1"/>
  <c r="D37" i="77" a="1"/>
  <c r="D37" i="77" s="1"/>
  <c r="C37" i="77" a="1"/>
  <c r="C37" i="77" s="1"/>
  <c r="J38" i="77" a="1"/>
  <c r="J38" i="77" s="1"/>
  <c r="I38" i="77" a="1"/>
  <c r="I38" i="77" s="1"/>
  <c r="H38" i="77" a="1"/>
  <c r="H38" i="77" s="1"/>
  <c r="H47" i="77" a="1"/>
  <c r="H47" i="77" s="1"/>
  <c r="I39" i="77" a="1"/>
  <c r="I39" i="77" s="1"/>
  <c r="H36" i="77" a="1"/>
  <c r="H36" i="77" s="1"/>
  <c r="H45" i="77" a="1"/>
  <c r="H45" i="77" s="1"/>
  <c r="I36" i="77" a="1"/>
  <c r="I36" i="77" s="1"/>
  <c r="J39" i="77" a="1"/>
  <c r="J39" i="77" s="1"/>
  <c r="H39" i="77" a="1"/>
  <c r="H39" i="77" s="1"/>
  <c r="J36" i="77" a="1"/>
  <c r="J36" i="77" s="1"/>
  <c r="J37" i="77" a="1"/>
  <c r="J37" i="77" s="1"/>
  <c r="H46" i="77" a="1"/>
  <c r="H46" i="77" s="1"/>
  <c r="H37" i="77" a="1"/>
  <c r="H37" i="77" s="1"/>
  <c r="I37" i="77" a="1"/>
  <c r="I37" i="77" s="1"/>
  <c r="O35" i="70"/>
  <c r="D38" i="77" a="1"/>
  <c r="D38" i="77" s="1"/>
  <c r="E38" i="77" a="1"/>
  <c r="E38" i="77" s="1"/>
  <c r="C38" i="77" a="1"/>
  <c r="C38" i="77" s="1"/>
  <c r="C47" i="77" a="1"/>
  <c r="C47" i="77" s="1"/>
  <c r="G3" i="68"/>
  <c r="G6" i="68"/>
  <c r="M39" i="76" l="1"/>
  <c r="N39" i="76"/>
  <c r="M38" i="77"/>
  <c r="O38" i="77"/>
  <c r="N38" i="77"/>
  <c r="O36" i="76"/>
  <c r="M36" i="76"/>
  <c r="M46" i="76"/>
  <c r="O39" i="76"/>
  <c r="N37" i="77"/>
  <c r="N36" i="76"/>
  <c r="C48" i="76"/>
  <c r="E48" i="76" s="1"/>
  <c r="M45" i="76"/>
  <c r="N38" i="76"/>
  <c r="H48" i="76"/>
  <c r="J48" i="76" s="1"/>
  <c r="M47" i="76"/>
  <c r="M38" i="76"/>
  <c r="O38" i="76"/>
  <c r="M37" i="77"/>
  <c r="M46" i="77"/>
  <c r="O37" i="77"/>
  <c r="M47" i="77"/>
  <c r="C48" i="77"/>
  <c r="E48" i="77" s="1"/>
  <c r="M45" i="77"/>
  <c r="H48" i="77"/>
  <c r="J48" i="77" s="1"/>
  <c r="N36" i="77"/>
  <c r="N39" i="77"/>
  <c r="M36" i="77"/>
  <c r="O39" i="77"/>
  <c r="O36" i="77"/>
  <c r="M39" i="77"/>
  <c r="J47" i="76" l="1"/>
  <c r="E46" i="76"/>
  <c r="J45" i="76"/>
  <c r="E47" i="76"/>
  <c r="J46" i="76"/>
  <c r="E45" i="76"/>
  <c r="J45" i="77"/>
  <c r="M48" i="76"/>
  <c r="O48" i="76" s="1"/>
  <c r="E45" i="77"/>
  <c r="M48" i="77"/>
  <c r="O48" i="77" s="1"/>
  <c r="E47" i="77"/>
  <c r="J47" i="77"/>
  <c r="E46" i="77"/>
  <c r="J46" i="77"/>
  <c r="O47" i="77" l="1"/>
  <c r="O45" i="76"/>
  <c r="O46" i="76"/>
  <c r="O46" i="77"/>
  <c r="O47" i="76"/>
  <c r="O45" i="77"/>
  <c r="M33" i="70" l="1"/>
  <c r="M32" i="70"/>
  <c r="M31" i="70"/>
  <c r="M34" i="70"/>
  <c r="N32" i="70"/>
  <c r="N34" i="70"/>
  <c r="N33" i="70"/>
  <c r="N31" i="70"/>
  <c r="O31" i="70"/>
  <c r="O34" i="70"/>
  <c r="O32" i="70"/>
  <c r="O33" i="70"/>
  <c r="L34" i="70"/>
  <c r="L33" i="70"/>
  <c r="L31" i="70"/>
  <c r="L32" i="7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<sst xmlns="http://schemas.openxmlformats.org/spreadsheetml/2006/main" count="3421" uniqueCount="233">
  <si>
    <t>ID</t>
  </si>
  <si>
    <t>T01</t>
  </si>
  <si>
    <t>Bit Fields</t>
  </si>
  <si>
    <t>T02</t>
  </si>
  <si>
    <t>Bit Sets</t>
  </si>
  <si>
    <t>T03</t>
  </si>
  <si>
    <t>Boolean Return</t>
  </si>
  <si>
    <t>T04</t>
  </si>
  <si>
    <t>Cascaded Function Calls</t>
  </si>
  <si>
    <t>T05</t>
  </si>
  <si>
    <t>Row Major Accesing</t>
  </si>
  <si>
    <t>T06</t>
  </si>
  <si>
    <t>Constructor Initialization Lists</t>
  </si>
  <si>
    <t>T07</t>
  </si>
  <si>
    <t>Common Subexpression Elimination</t>
  </si>
  <si>
    <t>T08</t>
  </si>
  <si>
    <t>Mapping Estructures</t>
  </si>
  <si>
    <t>T09</t>
  </si>
  <si>
    <t>Dead Code Elimination</t>
  </si>
  <si>
    <t>T10</t>
  </si>
  <si>
    <t>Exception Handling</t>
  </si>
  <si>
    <t>T11</t>
  </si>
  <si>
    <t>Global Variables Within Loops</t>
  </si>
  <si>
    <t>T12</t>
  </si>
  <si>
    <t>Function Inlining</t>
  </si>
  <si>
    <t>T13</t>
  </si>
  <si>
    <t>Global Variables</t>
  </si>
  <si>
    <t>T14</t>
  </si>
  <si>
    <t>Constants Inside Loop</t>
  </si>
  <si>
    <t>T15</t>
  </si>
  <si>
    <t>Initialization Versus Assignment</t>
  </si>
  <si>
    <t>T16</t>
  </si>
  <si>
    <t>Division By A Power Of Two Denominator</t>
  </si>
  <si>
    <t>T17</t>
  </si>
  <si>
    <t>Multiplication By A Power Of Two Factor</t>
  </si>
  <si>
    <t>T18</t>
  </si>
  <si>
    <t>Integer Versus Character</t>
  </si>
  <si>
    <t>T19</t>
  </si>
  <si>
    <t>Loop Count Down</t>
  </si>
  <si>
    <t>T20</t>
  </si>
  <si>
    <t>Loop Unrolling</t>
  </si>
  <si>
    <t>T21</t>
  </si>
  <si>
    <t>Passing Structures By Reference Instead Of Value</t>
  </si>
  <si>
    <t>T22</t>
  </si>
  <si>
    <t>Pointer Aliasing</t>
  </si>
  <si>
    <t>T23</t>
  </si>
  <si>
    <t>Chains Of Pointers</t>
  </si>
  <si>
    <t>T24</t>
  </si>
  <si>
    <t>Preincrement Versus Postincrement</t>
  </si>
  <si>
    <t>T25</t>
  </si>
  <si>
    <t>Linear Search</t>
  </si>
  <si>
    <t>T26</t>
  </si>
  <si>
    <t>Invariant If Statements Within Loops</t>
  </si>
  <si>
    <t>T27</t>
  </si>
  <si>
    <t>Complex numbers</t>
  </si>
  <si>
    <t>T28</t>
  </si>
  <si>
    <t>Loop Fission</t>
  </si>
  <si>
    <t>T29</t>
  </si>
  <si>
    <t>Range Check</t>
  </si>
  <si>
    <t>T30</t>
  </si>
  <si>
    <t>Struct Variables order</t>
  </si>
  <si>
    <t>T31</t>
  </si>
  <si>
    <t>Buffer IO</t>
  </si>
  <si>
    <t>T32</t>
  </si>
  <si>
    <t>Lookup Table</t>
  </si>
  <si>
    <t>T33</t>
  </si>
  <si>
    <t>Tail Function Calls</t>
  </si>
  <si>
    <t>T34</t>
  </si>
  <si>
    <t>Direct Initialization vs Loop Assignation</t>
  </si>
  <si>
    <t>T35</t>
  </si>
  <si>
    <t>Macros vs Functions</t>
  </si>
  <si>
    <t>T36</t>
  </si>
  <si>
    <t>Loop Exit Using Break</t>
  </si>
  <si>
    <t>T37</t>
  </si>
  <si>
    <t>Matrix Access Through Pointers</t>
  </si>
  <si>
    <t>T38</t>
  </si>
  <si>
    <t>Loop Unswitching</t>
  </si>
  <si>
    <t>T39</t>
  </si>
  <si>
    <t>Do While Vs For Loop</t>
  </si>
  <si>
    <t>T40</t>
  </si>
  <si>
    <t>Loop Jamming</t>
  </si>
  <si>
    <t>T41</t>
  </si>
  <si>
    <t>Pointer Deference</t>
  </si>
  <si>
    <t>T42</t>
  </si>
  <si>
    <t>Register Variables In Loop</t>
  </si>
  <si>
    <t>T43</t>
  </si>
  <si>
    <t>Nested Switches</t>
  </si>
  <si>
    <t>T44</t>
  </si>
  <si>
    <t>Lazy Evaluation</t>
  </si>
  <si>
    <t>T45</t>
  </si>
  <si>
    <t>CrossLinking Switches</t>
  </si>
  <si>
    <t>T49</t>
  </si>
  <si>
    <t>Sentinels</t>
  </si>
  <si>
    <t>T50</t>
  </si>
  <si>
    <t>Wasted Iterations</t>
  </si>
  <si>
    <t>T51</t>
  </si>
  <si>
    <t>Coarsening Recursion</t>
  </si>
  <si>
    <t>Technique</t>
  </si>
  <si>
    <t>Test</t>
  </si>
  <si>
    <t>Optimization</t>
  </si>
  <si>
    <t>Time (s)</t>
  </si>
  <si>
    <t>Power</t>
  </si>
  <si>
    <t>Consumption (with baseline)</t>
  </si>
  <si>
    <t>Consumption (without baseline)</t>
  </si>
  <si>
    <t>Impact of Optimization (O3-O0)/O0%</t>
  </si>
  <si>
    <t>HDD (w)</t>
  </si>
  <si>
    <t>CPU (w)</t>
  </si>
  <si>
    <t>DUT (w)</t>
  </si>
  <si>
    <t>HDD (J)</t>
  </si>
  <si>
    <t>CPU (J)</t>
  </si>
  <si>
    <t>DUT (J)</t>
  </si>
  <si>
    <t>Test1</t>
  </si>
  <si>
    <t>O0</t>
  </si>
  <si>
    <t>O3</t>
  </si>
  <si>
    <t>Test2</t>
  </si>
  <si>
    <t>Tecnica</t>
  </si>
  <si>
    <t>Impact of Technique ((Test2-Test1)/Test1%)</t>
  </si>
  <si>
    <t>Optimizacion</t>
  </si>
  <si>
    <t>Nuitka</t>
  </si>
  <si>
    <t>Reduces</t>
  </si>
  <si>
    <t>Increases</t>
  </si>
  <si>
    <t>Total</t>
  </si>
  <si>
    <t>C</t>
  </si>
  <si>
    <t>Python</t>
  </si>
  <si>
    <t>Programming language</t>
  </si>
  <si>
    <t>x</t>
  </si>
  <si>
    <t>Does not have a built-in switch construct.</t>
  </si>
  <si>
    <t>Does not have built-in support for pointers.</t>
  </si>
  <si>
    <t>Does not have a built-in do-while loop construct.</t>
  </si>
  <si>
    <t>Does not have register keyword.</t>
  </si>
  <si>
    <t>Does not exist the concept of pre-increment or post-increment.</t>
  </si>
  <si>
    <t>Does not have macros.</t>
  </si>
  <si>
    <t>Does not support direct initialization.</t>
  </si>
  <si>
    <t>Does not have Complex__ variable type.</t>
  </si>
  <si>
    <t>Does not have a mechanism like pass-by-value or pass-by-reference. Instead, it uses pass-by-assignment.</t>
  </si>
  <si>
    <t>Does not have a native struct data type.</t>
  </si>
  <si>
    <t>Does not have constants.</t>
  </si>
  <si>
    <t>Does not distinguish between initialization and assignment.</t>
  </si>
  <si>
    <t>Does not support constructor initialization lists.</t>
  </si>
  <si>
    <t>Does not have Bit Fields.</t>
  </si>
  <si>
    <t>Does not support returning multiple boolean values as a single unsigned int.</t>
  </si>
  <si>
    <t>Does not have built-in support for Bit Sets.</t>
  </si>
  <si>
    <t>Name</t>
  </si>
  <si>
    <t>(1) loops</t>
  </si>
  <si>
    <t>(2) parameters</t>
  </si>
  <si>
    <t>(3) data/variable type</t>
  </si>
  <si>
    <t>(4) arithmetic</t>
  </si>
  <si>
    <t>(5) implementation</t>
  </si>
  <si>
    <t>Categories</t>
  </si>
  <si>
    <t>Optimization level O0</t>
  </si>
  <si>
    <t>Optimization level O3</t>
  </si>
  <si>
    <t>Standard</t>
  </si>
  <si>
    <t>Efficient</t>
  </si>
  <si>
    <t>Impact (%)</t>
  </si>
  <si>
    <t>Techniques</t>
  </si>
  <si>
    <t>Impact</t>
  </si>
  <si>
    <t>T4</t>
  </si>
  <si>
    <t>T5</t>
  </si>
  <si>
    <t>T7</t>
  </si>
  <si>
    <t>T9</t>
  </si>
  <si>
    <t>T8</t>
  </si>
  <si>
    <t>&lt;= -75</t>
  </si>
  <si>
    <t>&gt; -75 &amp; &lt;= -25</t>
  </si>
  <si>
    <t>&gt; -3 &amp; &lt; 3</t>
  </si>
  <si>
    <t xml:space="preserve">&gt;= 3 &amp; &lt; 25 </t>
  </si>
  <si>
    <t>&gt;= 25 &amp; &lt; 75</t>
  </si>
  <si>
    <t>&gt;= 75</t>
  </si>
  <si>
    <t>&gt; -25 &amp; &lt;= -3</t>
  </si>
  <si>
    <t>Interpreter</t>
  </si>
  <si>
    <t>No notable difference</t>
  </si>
  <si>
    <t>Impact (%)4</t>
  </si>
  <si>
    <t>Code REPS</t>
  </si>
  <si>
    <t>Extrapolate</t>
  </si>
  <si>
    <t>Time (s) Extrapolate</t>
  </si>
  <si>
    <t>Consumption (without baseline) Extrapolate</t>
  </si>
  <si>
    <t>JIT</t>
  </si>
  <si>
    <t>Xint</t>
  </si>
  <si>
    <t>Effect size</t>
  </si>
  <si>
    <t>Average impact (%)</t>
  </si>
  <si>
    <t>Average</t>
  </si>
  <si>
    <t>Min</t>
  </si>
  <si>
    <t>Max</t>
  </si>
  <si>
    <t>Reduction</t>
  </si>
  <si>
    <t>No impact</t>
  </si>
  <si>
    <t>Increase</t>
  </si>
  <si>
    <t>small</t>
  </si>
  <si>
    <t>large</t>
  </si>
  <si>
    <t>Java</t>
  </si>
  <si>
    <t>No JIT</t>
  </si>
  <si>
    <t>Language</t>
  </si>
  <si>
    <t>Configuration</t>
  </si>
  <si>
    <t>Impact time</t>
  </si>
  <si>
    <t>Impact energy</t>
  </si>
  <si>
    <t>Cpython</t>
  </si>
  <si>
    <t>All</t>
  </si>
  <si>
    <t>Impact of using the efficient program variant compared to the standard variant in C</t>
  </si>
  <si>
    <t>Impact of using the efficient program variant compared to the standard variant in Python</t>
  </si>
  <si>
    <t>Impact of using the efficient program variant compared to the standard variant in Java</t>
  </si>
  <si>
    <t>Impact of using the efficient program variant compared to the standard variant</t>
  </si>
  <si>
    <t>Impact (%)2</t>
  </si>
  <si>
    <t>Impact (%)3</t>
  </si>
  <si>
    <t>Impact (%)5</t>
  </si>
  <si>
    <t>Impact (%)6</t>
  </si>
  <si>
    <t>Average impact (%) C</t>
  </si>
  <si>
    <t>Average impact (%) Python</t>
  </si>
  <si>
    <t>Average impact (%) Java</t>
  </si>
  <si>
    <t>Global impact (%)</t>
  </si>
  <si>
    <t>(1) data/memory structure</t>
  </si>
  <si>
    <t>(2) algorithm implementation</t>
  </si>
  <si>
    <t>(4) loops</t>
  </si>
  <si>
    <t>(3) arithmetic/logic operations</t>
  </si>
  <si>
    <t>Energy consumption (J)</t>
  </si>
  <si>
    <t>JIT enabled</t>
  </si>
  <si>
    <t>JIT disabled</t>
  </si>
  <si>
    <t>p-value</t>
  </si>
  <si>
    <t>medium</t>
  </si>
  <si>
    <t>null hypothesis cannot be rejected</t>
  </si>
  <si>
    <t>Test1+Test2</t>
  </si>
  <si>
    <t>JIT enabled + JIT disabled</t>
  </si>
  <si>
    <t>%</t>
  </si>
  <si>
    <t>Nº</t>
  </si>
  <si>
    <t>Test1 + Test2</t>
  </si>
  <si>
    <t>Optimization level O0 + Optimization level O3</t>
  </si>
  <si>
    <t>CPython</t>
  </si>
  <si>
    <t>Impact of using the efficient program variant compared to the standard variant in C (O0)</t>
  </si>
  <si>
    <t>Impact of using the efficient program variant compared to the standard variant in C (O3)</t>
  </si>
  <si>
    <t>Impact of using the efficient program variant compared to the standard variant in Python (CPython)</t>
  </si>
  <si>
    <t>Impact of using the efficient program variant compared to the standard variant in Python (Nuitka)</t>
  </si>
  <si>
    <t>Impact of using the efficient program variant compared to the standard variant in Java (JIT enabled)</t>
  </si>
  <si>
    <t>Impact of using the efficient program variant compared to the standard variant in Java (JIT disabled)</t>
  </si>
  <si>
    <t>Java does not support true pass by reference.</t>
  </si>
  <si>
    <t>Cannot be operated directly.</t>
  </si>
  <si>
    <t>Cpython + Nuitka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</si>
</sst>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0">
    <xf numFmtId="0" fontId="0" fillId="0" borderId="0" xfId="0"/>
    <xf numFmtId="2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9" xfId="0" applyBorder="1"/>
    <xf numFmtId="0" fontId="0" fillId="4" borderId="12" xfId="0" applyFill="1" applyBorder="1"/>
    <xf numFmtId="0" fontId="0" fillId="4" borderId="1" xfId="0" applyFill="1" applyBorder="1"/>
    <xf numFmtId="0" fontId="0" fillId="3" borderId="10" xfId="0" applyFill="1" applyBorder="1"/>
    <xf numFmtId="0" fontId="0" fillId="3" borderId="9" xfId="0" applyFill="1" applyBorder="1"/>
    <xf numFmtId="0" fontId="0" fillId="3" borderId="12" xfId="0" applyFill="1" applyBorder="1"/>
    <xf numFmtId="0" fontId="0" fillId="3" borderId="1" xfId="0" applyFill="1" applyBorder="1"/>
    <xf numFmtId="0" fontId="3" fillId="2" borderId="1" xfId="0" applyFont="1" applyFill="1" applyBorder="1"/>
    <xf numFmtId="0" fontId="4" fillId="0" borderId="4" xfId="0" applyFont="1" applyBorder="1"/>
    <xf numFmtId="0" fontId="3" fillId="2" borderId="1" xfId="0" applyFont="1" applyFill="1" applyBorder="1" applyAlignment="1">
      <alignment horizontal="center" vertical="center"/>
    </xf>
    <xf numFmtId="2" fontId="4" fillId="0" borderId="8" xfId="0" applyNumberFormat="1" applyFont="1" applyBorder="1"/>
    <xf numFmtId="2" fontId="4" fillId="0" borderId="0" xfId="0" applyNumberFormat="1" applyFont="1"/>
    <xf numFmtId="2" fontId="4" fillId="0" borderId="3" xfId="0" applyNumberFormat="1" applyFont="1" applyBorder="1"/>
    <xf numFmtId="2" fontId="4" fillId="0" borderId="4" xfId="0" applyNumberFormat="1" applyFont="1" applyBorder="1"/>
    <xf numFmtId="2" fontId="4" fillId="0" borderId="11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0" fontId="0" fillId="0" borderId="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0" borderId="4" xfId="0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/>
    <xf numFmtId="0" fontId="0" fillId="0" borderId="6" xfId="0" applyBorder="1"/>
    <xf numFmtId="2" fontId="0" fillId="0" borderId="1" xfId="0" applyNumberFormat="1" applyBorder="1"/>
    <xf numFmtId="0" fontId="3" fillId="2" borderId="7" xfId="0" applyFont="1" applyFill="1" applyBorder="1" applyAlignment="1">
      <alignment horizontal="center" vertical="center"/>
    </xf>
    <xf numFmtId="2" fontId="4" fillId="0" borderId="7" xfId="0" applyNumberFormat="1" applyFont="1" applyBorder="1"/>
    <xf numFmtId="2" fontId="4" fillId="0" borderId="16" xfId="0" applyNumberFormat="1" applyFont="1" applyBorder="1"/>
    <xf numFmtId="2" fontId="4" fillId="0" borderId="17" xfId="0" applyNumberFormat="1" applyFont="1" applyBorder="1"/>
    <xf numFmtId="2" fontId="4" fillId="0" borderId="2" xfId="0" applyNumberFormat="1" applyFont="1" applyBorder="1"/>
    <xf numFmtId="1" fontId="4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3" fillId="2" borderId="7" xfId="0" applyFont="1" applyFill="1" applyBorder="1"/>
    <xf numFmtId="0" fontId="0" fillId="0" borderId="13" xfId="0" applyBorder="1"/>
    <xf numFmtId="0" fontId="3" fillId="0" borderId="0" xfId="0" applyFont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7" borderId="9" xfId="0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0" fontId="3" fillId="0" borderId="0" xfId="0" applyFont="1"/>
    <xf numFmtId="10" fontId="0" fillId="0" borderId="0" xfId="0" applyNumberFormat="1" applyAlignment="1">
      <alignment horizontal="center"/>
    </xf>
    <xf numFmtId="10" fontId="0" fillId="0" borderId="1" xfId="0" applyNumberFormat="1" applyBorder="1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2" fontId="0" fillId="0" borderId="8" xfId="0" applyNumberFormat="1" applyBorder="1" applyAlignment="1">
      <alignment horizontal="center"/>
    </xf>
    <xf numFmtId="2" fontId="3" fillId="0" borderId="21" xfId="0" applyNumberFormat="1" applyFont="1" applyBorder="1"/>
    <xf numFmtId="2" fontId="3" fillId="0" borderId="20" xfId="0" applyNumberFormat="1" applyFont="1" applyBorder="1" applyAlignment="1">
      <alignment horizontal="center"/>
    </xf>
    <xf numFmtId="0" fontId="3" fillId="14" borderId="7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6" borderId="3" xfId="0" applyNumberFormat="1" applyFill="1" applyBorder="1" applyAlignment="1">
      <alignment horizontal="center" vertical="center"/>
    </xf>
    <xf numFmtId="2" fontId="0" fillId="6" borderId="5" xfId="0" applyNumberFormat="1" applyFill="1" applyBorder="1" applyAlignment="1">
      <alignment horizontal="center" vertical="center"/>
    </xf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3" fillId="2" borderId="15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2" borderId="7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3" xfId="1" applyNumberFormat="1" applyFont="1" applyBorder="1" applyAlignment="1">
      <alignment horizontal="center" vertical="center"/>
    </xf>
    <xf numFmtId="10" fontId="0" fillId="0" borderId="0" xfId="1" applyNumberFormat="1" applyFont="1" applyBorder="1" applyAlignment="1">
      <alignment horizontal="center" vertical="center"/>
    </xf>
    <xf numFmtId="10" fontId="0" fillId="0" borderId="4" xfId="1" applyNumberFormat="1" applyFont="1" applyBorder="1" applyAlignment="1">
      <alignment horizontal="center" vertical="center"/>
    </xf>
    <xf numFmtId="10" fontId="0" fillId="0" borderId="5" xfId="1" applyNumberFormat="1" applyFont="1" applyBorder="1" applyAlignment="1">
      <alignment horizontal="center" vertical="center"/>
    </xf>
    <xf numFmtId="10" fontId="0" fillId="0" borderId="11" xfId="1" applyNumberFormat="1" applyFont="1" applyBorder="1" applyAlignment="1">
      <alignment horizontal="center" vertical="center"/>
    </xf>
    <xf numFmtId="10" fontId="0" fillId="0" borderId="6" xfId="1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2" fontId="0" fillId="0" borderId="13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center"/>
    </xf>
    <xf numFmtId="0" fontId="7" fillId="6" borderId="15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6" fillId="6" borderId="13" xfId="0" applyFont="1" applyFill="1" applyBorder="1" applyAlignment="1">
      <alignment horizontal="center"/>
    </xf>
    <xf numFmtId="0" fontId="6" fillId="6" borderId="15" xfId="0" applyFont="1" applyFill="1" applyBorder="1" applyAlignment="1">
      <alignment horizontal="center"/>
    </xf>
    <xf numFmtId="0" fontId="6" fillId="6" borderId="14" xfId="0" applyFont="1" applyFill="1" applyBorder="1" applyAlignment="1">
      <alignment horizontal="center"/>
    </xf>
    <xf numFmtId="1" fontId="3" fillId="2" borderId="7" xfId="0" applyNumberFormat="1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0" fontId="0" fillId="0" borderId="16" xfId="1" applyNumberFormat="1" applyFont="1" applyBorder="1" applyAlignment="1">
      <alignment horizontal="center" vertical="center"/>
    </xf>
    <xf numFmtId="10" fontId="0" fillId="0" borderId="17" xfId="1" applyNumberFormat="1" applyFont="1" applyBorder="1" applyAlignment="1">
      <alignment horizontal="center" vertical="center"/>
    </xf>
    <xf numFmtId="10" fontId="0" fillId="0" borderId="2" xfId="1" applyNumberFormat="1" applyFont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2" borderId="15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0" fontId="0" fillId="0" borderId="0" xfId="0" applyNumberFormat="1"/>
  </cellXfs>
  <cellStyles count="2">
    <cellStyle name="Normal" xfId="0" builtinId="0"/>
    <cellStyle name="Porcentaje" xfId="1" builtinId="5"/>
  </cellStyles>
  <dxfs count="264"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CCCC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CCCC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CCCC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CCCC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CCCC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</dxf>
    <dxf>
      <numFmt numFmtId="2" formatCode="0.00"/>
      <alignment horizontal="general" textRotation="0" wrapText="0" indent="0" justifyLastLine="0" shrinkToFit="0" readingOrder="0"/>
    </dxf>
    <dxf>
      <numFmt numFmtId="2" formatCode="0.00"/>
    </dxf>
    <dxf>
      <numFmt numFmtId="2" formatCode="0.00"/>
      <alignment horizontal="general" textRotation="0" wrapText="0" indent="0" justifyLastLine="0" shrinkToFit="0" readingOrder="0"/>
    </dxf>
    <dxf>
      <numFmt numFmtId="2" formatCode="0.00"/>
    </dxf>
    <dxf>
      <numFmt numFmtId="2" formatCode="0.00"/>
      <alignment horizontal="general" textRotation="0" wrapText="0" indent="0" justifyLastLine="0" shrinkToFit="0" readingOrder="0"/>
    </dxf>
    <dxf>
      <numFmt numFmtId="2" formatCode="0.00"/>
    </dxf>
    <dxf>
      <numFmt numFmtId="2" formatCode="0.00"/>
      <alignment horizontal="general" textRotation="0" wrapText="0" indent="0" justifyLastLine="0" shrinkToFit="0" readingOrder="0"/>
    </dxf>
    <dxf>
      <numFmt numFmtId="2" formatCode="0.00"/>
    </dxf>
    <dxf>
      <numFmt numFmtId="2" formatCode="0.00"/>
      <alignment horizontal="general" textRotation="0" wrapText="0" indent="0" justifyLastLine="0" shrinkToFit="0" readingOrder="0"/>
    </dxf>
    <dxf>
      <numFmt numFmtId="2" formatCode="0.00"/>
    </dxf>
    <dxf>
      <numFmt numFmtId="2" formatCode="0.00"/>
      <alignment horizontal="general" textRotation="0" wrapText="0" indent="0" justifyLastLine="0" shrinkToFit="0" readingOrder="0"/>
    </dxf>
    <dxf>
      <numFmt numFmtId="2" formatCode="0.00"/>
    </dxf>
    <dxf>
      <numFmt numFmtId="2" formatCode="0.00"/>
      <alignment horizontal="general" textRotation="0" wrapText="0" indent="0" justifyLastLine="0" shrinkToFit="0" readingOrder="0"/>
    </dxf>
    <dxf>
      <numFmt numFmtId="2" formatCode="0.00"/>
    </dxf>
    <dxf>
      <numFmt numFmtId="2" formatCode="0.00"/>
      <alignment horizontal="general" textRotation="0" wrapText="0" indent="0" justifyLastLine="0" shrinkToFit="0" readingOrder="0"/>
    </dxf>
    <dxf>
      <numFmt numFmtId="2" formatCode="0.00"/>
    </dxf>
    <dxf>
      <numFmt numFmtId="2" formatCode="0.00"/>
      <alignment horizontal="general" textRotation="0" wrapText="0" indent="0" justifyLastLine="0" shrinkToFit="0" readingOrder="0"/>
    </dxf>
    <dxf>
      <numFmt numFmtId="2" formatCode="0.00"/>
    </dxf>
    <dxf>
      <numFmt numFmtId="2" formatCode="0.00"/>
      <alignment horizontal="general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5050"/>
      <color rgb="FFFF7C80"/>
      <color rgb="FFFF9999"/>
      <color rgb="FFFFCCCC"/>
      <color rgb="FFFFFF66"/>
      <color rgb="FFEAB5AA"/>
      <color rgb="FFCCFFCC"/>
      <color rgb="FF99FF99"/>
      <color rgb="FF66FF66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Impact of using the efficient program variant compared to the standard variant on energy consumption in 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O0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'C Technique results'!$J$5:$J$30</c:f>
              <c:numCache>
                <c:formatCode>0.00</c:formatCode>
                <c:ptCount val="26"/>
                <c:pt idx="0">
                  <c:v>-34.326777870823719</c:v>
                </c:pt>
                <c:pt idx="1">
                  <c:v>21.78833068453201</c:v>
                </c:pt>
                <c:pt idx="2">
                  <c:v>-54.192603441962639</c:v>
                </c:pt>
                <c:pt idx="3">
                  <c:v>17.42869480071947</c:v>
                </c:pt>
                <c:pt idx="4">
                  <c:v>-8.8453747467927055</c:v>
                </c:pt>
                <c:pt idx="5">
                  <c:v>-99.692291932242398</c:v>
                </c:pt>
                <c:pt idx="6">
                  <c:v>-11.129660545353373</c:v>
                </c:pt>
                <c:pt idx="7">
                  <c:v>-21.317011397214014</c:v>
                </c:pt>
                <c:pt idx="8">
                  <c:v>-1.2566579607337245</c:v>
                </c:pt>
                <c:pt idx="9">
                  <c:v>-6.5706570657065715</c:v>
                </c:pt>
                <c:pt idx="10">
                  <c:v>1.4804845222072716</c:v>
                </c:pt>
                <c:pt idx="11">
                  <c:v>34.799737035073242</c:v>
                </c:pt>
                <c:pt idx="12">
                  <c:v>-70.08552968596203</c:v>
                </c:pt>
                <c:pt idx="13">
                  <c:v>-20.259485981490965</c:v>
                </c:pt>
                <c:pt idx="14">
                  <c:v>0.32219652263731924</c:v>
                </c:pt>
                <c:pt idx="15">
                  <c:v>117.53809318882146</c:v>
                </c:pt>
                <c:pt idx="16">
                  <c:v>1.8577494692144394</c:v>
                </c:pt>
                <c:pt idx="17">
                  <c:v>47.885204720464124</c:v>
                </c:pt>
                <c:pt idx="18">
                  <c:v>-15.429309231762423</c:v>
                </c:pt>
                <c:pt idx="19">
                  <c:v>-1.4104372355430175</c:v>
                </c:pt>
                <c:pt idx="20">
                  <c:v>-3.351687592375272</c:v>
                </c:pt>
                <c:pt idx="21">
                  <c:v>-15.380015339371027</c:v>
                </c:pt>
                <c:pt idx="22">
                  <c:v>-15.222826886306814</c:v>
                </c:pt>
                <c:pt idx="23">
                  <c:v>-57.77473300181024</c:v>
                </c:pt>
                <c:pt idx="24">
                  <c:v>-50.531083840924026</c:v>
                </c:pt>
                <c:pt idx="25">
                  <c:v>-4.2171628465208926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91-4A5F-B8A3-3CF25EBC9B06}"/>
            </c:ext>
          </c:extLst>
        </c:ser>
        <c:ser>
          <c:idx val="1"/>
          <c:order val="1"/>
          <c:tx>
            <c:v>O3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'C Technique results'!$U$5:$U$30</c:f>
              <c:numCache>
                <c:formatCode>0.00</c:formatCode>
                <c:ptCount val="26"/>
                <c:pt idx="0">
                  <c:v>-81.100245452958262</c:v>
                </c:pt>
                <c:pt idx="1">
                  <c:v>-14.168039538714993</c:v>
                </c:pt>
                <c:pt idx="2">
                  <c:v>-54.716981132075468</c:v>
                </c:pt>
                <c:pt idx="3">
                  <c:v>-80.576980408930851</c:v>
                </c:pt>
                <c:pt idx="4">
                  <c:v>-3.8106862904193144</c:v>
                </c:pt>
                <c:pt idx="5">
                  <c:v>-99.871559371234</c:v>
                </c:pt>
                <c:pt idx="6">
                  <c:v>-31.416441528367429</c:v>
                </c:pt>
                <c:pt idx="7">
                  <c:v>12.103541848205078</c:v>
                </c:pt>
                <c:pt idx="8">
                  <c:v>-12.524632829181193</c:v>
                </c:pt>
                <c:pt idx="9">
                  <c:v>16.593142254861974</c:v>
                </c:pt>
                <c:pt idx="10">
                  <c:v>-8.0974276973324297</c:v>
                </c:pt>
                <c:pt idx="11">
                  <c:v>13.700571278481846</c:v>
                </c:pt>
                <c:pt idx="12">
                  <c:v>57.49350380537517</c:v>
                </c:pt>
                <c:pt idx="13">
                  <c:v>-22.376136589281785</c:v>
                </c:pt>
                <c:pt idx="14">
                  <c:v>-89.181534844989258</c:v>
                </c:pt>
                <c:pt idx="15">
                  <c:v>-7.8200100193229805</c:v>
                </c:pt>
                <c:pt idx="16">
                  <c:v>4.2873051224944128</c:v>
                </c:pt>
                <c:pt idx="17">
                  <c:v>43.859344756558819</c:v>
                </c:pt>
                <c:pt idx="18">
                  <c:v>7.3619631901840439</c:v>
                </c:pt>
                <c:pt idx="19">
                  <c:v>3.9135514018691571</c:v>
                </c:pt>
                <c:pt idx="20">
                  <c:v>10.571652310101806</c:v>
                </c:pt>
                <c:pt idx="21">
                  <c:v>-78.789760357693382</c:v>
                </c:pt>
                <c:pt idx="22">
                  <c:v>15.288509389978774</c:v>
                </c:pt>
                <c:pt idx="23">
                  <c:v>449.66941262665063</c:v>
                </c:pt>
                <c:pt idx="24">
                  <c:v>6.969696969696952</c:v>
                </c:pt>
                <c:pt idx="25">
                  <c:v>-6.3647084479714771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91-4A5F-B8A3-3CF25EBC9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66005407"/>
        <c:axId val="1566003967"/>
      </c:barChart>
      <c:catAx>
        <c:axId val="1566005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Techniques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3967"/>
        <c:crosses val="autoZero"/>
        <c:auto val="1"/>
        <c:lblAlgn val="ctr"/>
        <c:lblOffset val="100"/>
        <c:noMultiLvlLbl val="0"/>
      </c:catAx>
      <c:valAx>
        <c:axId val="1566003967"/>
        <c:scaling>
          <c:orientation val="minMax"/>
          <c:max val="500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5407"/>
        <c:crosses val="autoZero"/>
        <c:crossBetween val="between"/>
        <c:majorUnit val="1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Impact of using compiler optimization level -O3 compared to -O0 on energy consumption in 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Standard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'C Optimization results'!$J$5:$J$30</c:f>
              <c:numCache>
                <c:formatCode>0.00</c:formatCode>
                <c:ptCount val="26"/>
                <c:pt idx="0">
                  <c:v>-43.217417267512793</c:v>
                </c:pt>
                <c:pt idx="1">
                  <c:v>-99.971972578902466</c:v>
                </c:pt>
                <c:pt idx="2">
                  <c:v>2.8560966678872295</c:v>
                </c:pt>
                <c:pt idx="3">
                  <c:v>364.47063742876833</c:v>
                </c:pt>
                <c:pt idx="4">
                  <c:v>-11.551868959999808</c:v>
                </c:pt>
                <c:pt idx="5">
                  <c:v>-2.8428875485946437</c:v>
                </c:pt>
                <c:pt idx="6">
                  <c:v>-63.953811908736782</c:v>
                </c:pt>
                <c:pt idx="7">
                  <c:v>-67.566300306046372</c:v>
                </c:pt>
                <c:pt idx="8">
                  <c:v>-30.419496542923369</c:v>
                </c:pt>
                <c:pt idx="9">
                  <c:v>-59.543920008046648</c:v>
                </c:pt>
                <c:pt idx="10">
                  <c:v>-50.880744959963806</c:v>
                </c:pt>
                <c:pt idx="11">
                  <c:v>-92.946504033771561</c:v>
                </c:pt>
                <c:pt idx="12">
                  <c:v>-94.141438981898901</c:v>
                </c:pt>
                <c:pt idx="13">
                  <c:v>-78.9775548711103</c:v>
                </c:pt>
                <c:pt idx="14">
                  <c:v>-74.653954569770562</c:v>
                </c:pt>
                <c:pt idx="15">
                  <c:v>-88.326061872623995</c:v>
                </c:pt>
                <c:pt idx="16">
                  <c:v>-52.289931601157477</c:v>
                </c:pt>
                <c:pt idx="17">
                  <c:v>-21.266493800541554</c:v>
                </c:pt>
                <c:pt idx="18">
                  <c:v>-63.134610060531394</c:v>
                </c:pt>
                <c:pt idx="19">
                  <c:v>-19.511048425011758</c:v>
                </c:pt>
                <c:pt idx="20">
                  <c:v>-96.316180628501542</c:v>
                </c:pt>
                <c:pt idx="21">
                  <c:v>-58.328137701347181</c:v>
                </c:pt>
                <c:pt idx="22">
                  <c:v>-14.548494983277596</c:v>
                </c:pt>
                <c:pt idx="23">
                  <c:v>-98.284165629634956</c:v>
                </c:pt>
                <c:pt idx="24">
                  <c:v>-99.976017106725038</c:v>
                </c:pt>
                <c:pt idx="25">
                  <c:v>-60.414287887403148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12-4E07-9D2C-FC7FCC976475}"/>
            </c:ext>
          </c:extLst>
        </c:ser>
        <c:ser>
          <c:idx val="1"/>
          <c:order val="1"/>
          <c:tx>
            <c:v>Efficient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'C Optimization results'!$U$5:$U$30</c:f>
              <c:numCache>
                <c:formatCode>0.00</c:formatCode>
                <c:ptCount val="26"/>
                <c:pt idx="0">
                  <c:v>-83.658836259317255</c:v>
                </c:pt>
                <c:pt idx="1">
                  <c:v>-99.98024729885077</c:v>
                </c:pt>
                <c:pt idx="2">
                  <c:v>1.6786570743405294</c:v>
                </c:pt>
                <c:pt idx="3">
                  <c:v>-23.175316684180089</c:v>
                </c:pt>
                <c:pt idx="4">
                  <c:v>-6.6666666666666821</c:v>
                </c:pt>
                <c:pt idx="5">
                  <c:v>-59.445585215605746</c:v>
                </c:pt>
                <c:pt idx="6">
                  <c:v>-72.182216656230423</c:v>
                </c:pt>
                <c:pt idx="7">
                  <c:v>-53.790105390016848</c:v>
                </c:pt>
                <c:pt idx="8">
                  <c:v>-38.359590002353613</c:v>
                </c:pt>
                <c:pt idx="9">
                  <c:v>-49.513703709837998</c:v>
                </c:pt>
                <c:pt idx="10">
                  <c:v>-55.516709355262861</c:v>
                </c:pt>
                <c:pt idx="11">
                  <c:v>-94.050533491308116</c:v>
                </c:pt>
                <c:pt idx="12">
                  <c:v>-69.155887023500469</c:v>
                </c:pt>
                <c:pt idx="13">
                  <c:v>-79.535579506479266</c:v>
                </c:pt>
                <c:pt idx="14">
                  <c:v>-97.266753332674654</c:v>
                </c:pt>
                <c:pt idx="15">
                  <c:v>-95.053264079673099</c:v>
                </c:pt>
                <c:pt idx="16">
                  <c:v>-51.151930153051509</c:v>
                </c:pt>
                <c:pt idx="17">
                  <c:v>-23.409845943343353</c:v>
                </c:pt>
                <c:pt idx="18">
                  <c:v>-53.199617956064948</c:v>
                </c:pt>
                <c:pt idx="19">
                  <c:v>-15.164520743919891</c:v>
                </c:pt>
                <c:pt idx="20">
                  <c:v>-95.785482595902934</c:v>
                </c:pt>
                <c:pt idx="21">
                  <c:v>-89.554829284826539</c:v>
                </c:pt>
                <c:pt idx="22">
                  <c:v>16.205533596837938</c:v>
                </c:pt>
                <c:pt idx="23">
                  <c:v>-77.664044834492003</c:v>
                </c:pt>
                <c:pt idx="24">
                  <c:v>-99.948140306574942</c:v>
                </c:pt>
                <c:pt idx="25">
                  <c:v>-61.301838564060148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12-4E07-9D2C-FC7FCC976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66005407"/>
        <c:axId val="1566003967"/>
      </c:barChart>
      <c:catAx>
        <c:axId val="1566005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Techniques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3967"/>
        <c:crosses val="autoZero"/>
        <c:auto val="1"/>
        <c:lblAlgn val="ctr"/>
        <c:lblOffset val="100"/>
        <c:noMultiLvlLbl val="0"/>
      </c:catAx>
      <c:valAx>
        <c:axId val="1566003967"/>
        <c:scaling>
          <c:orientation val="minMax"/>
          <c:max val="80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54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Impact of using the efficient program variant compared to the standard variant on energy consumption in Python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Standard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'Python Technique results'!$J$5:$J$30</c:f>
              <c:numCache>
                <c:formatCode>0.00</c:formatCode>
                <c:ptCount val="26"/>
                <c:pt idx="0">
                  <c:v>-44.384416433402926</c:v>
                </c:pt>
                <c:pt idx="1">
                  <c:v>-7.8080514506188319</c:v>
                </c:pt>
                <c:pt idx="2">
                  <c:v>-31.32900465822085</c:v>
                </c:pt>
                <c:pt idx="3">
                  <c:v>-69.683630227634922</c:v>
                </c:pt>
                <c:pt idx="4">
                  <c:v>-27.274013191821179</c:v>
                </c:pt>
                <c:pt idx="5">
                  <c:v>-52.180376640790492</c:v>
                </c:pt>
                <c:pt idx="6">
                  <c:v>-34.82427788814865</c:v>
                </c:pt>
                <c:pt idx="7">
                  <c:v>-16.992982719477656</c:v>
                </c:pt>
                <c:pt idx="8">
                  <c:v>-20.412140015853751</c:v>
                </c:pt>
                <c:pt idx="9">
                  <c:v>-3.4952950209055782</c:v>
                </c:pt>
                <c:pt idx="10">
                  <c:v>4.8706387864363325</c:v>
                </c:pt>
                <c:pt idx="11">
                  <c:v>0.81015123244076237</c:v>
                </c:pt>
                <c:pt idx="12">
                  <c:v>-9.3432347677227892</c:v>
                </c:pt>
                <c:pt idx="13">
                  <c:v>-6.8791099551593513</c:v>
                </c:pt>
                <c:pt idx="14">
                  <c:v>-24.193086436020895</c:v>
                </c:pt>
                <c:pt idx="15">
                  <c:v>18.437834636047523</c:v>
                </c:pt>
                <c:pt idx="16">
                  <c:v>3.3175865989495472</c:v>
                </c:pt>
                <c:pt idx="17">
                  <c:v>101.05267119561432</c:v>
                </c:pt>
                <c:pt idx="18">
                  <c:v>-10.381105691372278</c:v>
                </c:pt>
                <c:pt idx="19">
                  <c:v>-4.1382729181149465</c:v>
                </c:pt>
                <c:pt idx="20">
                  <c:v>-13.259511732246471</c:v>
                </c:pt>
                <c:pt idx="21">
                  <c:v>-37.571502279778656</c:v>
                </c:pt>
                <c:pt idx="22">
                  <c:v>-1.0895480132343356</c:v>
                </c:pt>
                <c:pt idx="23">
                  <c:v>-44.557423091856222</c:v>
                </c:pt>
                <c:pt idx="24">
                  <c:v>-22.594942100395375</c:v>
                </c:pt>
                <c:pt idx="25">
                  <c:v>-4.7721217400215119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C8-44D4-91E3-A23AFD1D98BB}"/>
            </c:ext>
          </c:extLst>
        </c:ser>
        <c:ser>
          <c:idx val="1"/>
          <c:order val="1"/>
          <c:tx>
            <c:v>Efficient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'Python Technique results'!$U$5:$U$30</c:f>
              <c:numCache>
                <c:formatCode>0.00</c:formatCode>
                <c:ptCount val="26"/>
                <c:pt idx="0">
                  <c:v>-69.284878041857652</c:v>
                </c:pt>
                <c:pt idx="1">
                  <c:v>-6.5085898600706171</c:v>
                </c:pt>
                <c:pt idx="2">
                  <c:v>-42.331657970206898</c:v>
                </c:pt>
                <c:pt idx="3">
                  <c:v>-52.168461082225939</c:v>
                </c:pt>
                <c:pt idx="4">
                  <c:v>-25.910980406307505</c:v>
                </c:pt>
                <c:pt idx="5">
                  <c:v>-69.557375147005601</c:v>
                </c:pt>
                <c:pt idx="6">
                  <c:v>-5.9871736738393837</c:v>
                </c:pt>
                <c:pt idx="7">
                  <c:v>-16.443551697555062</c:v>
                </c:pt>
                <c:pt idx="8">
                  <c:v>1.1694198273670959</c:v>
                </c:pt>
                <c:pt idx="9">
                  <c:v>-5.5450796384420293</c:v>
                </c:pt>
                <c:pt idx="10">
                  <c:v>19.346738850219126</c:v>
                </c:pt>
                <c:pt idx="11">
                  <c:v>-2.4175998831744128</c:v>
                </c:pt>
                <c:pt idx="12">
                  <c:v>14.710905616765139</c:v>
                </c:pt>
                <c:pt idx="13">
                  <c:v>-10.324756903777324</c:v>
                </c:pt>
                <c:pt idx="14">
                  <c:v>-15.49149791696304</c:v>
                </c:pt>
                <c:pt idx="15">
                  <c:v>20.585199929652369</c:v>
                </c:pt>
                <c:pt idx="16">
                  <c:v>16.449833371527653</c:v>
                </c:pt>
                <c:pt idx="17">
                  <c:v>4.0793259725610227</c:v>
                </c:pt>
                <c:pt idx="18">
                  <c:v>33.902988700528802</c:v>
                </c:pt>
                <c:pt idx="19">
                  <c:v>-0.30565399865311282</c:v>
                </c:pt>
                <c:pt idx="20">
                  <c:v>-12.028577040559247</c:v>
                </c:pt>
                <c:pt idx="21">
                  <c:v>0.50763369723440022</c:v>
                </c:pt>
                <c:pt idx="22">
                  <c:v>1.2958413017751322</c:v>
                </c:pt>
                <c:pt idx="23">
                  <c:v>-34.27749333370857</c:v>
                </c:pt>
                <c:pt idx="24">
                  <c:v>-31.728834126386378</c:v>
                </c:pt>
                <c:pt idx="25">
                  <c:v>-7.6442299034682817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C8-44D4-91E3-A23AFD1D9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66005407"/>
        <c:axId val="1566003967"/>
      </c:barChart>
      <c:catAx>
        <c:axId val="1566005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Techniques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3967"/>
        <c:crosses val="autoZero"/>
        <c:auto val="1"/>
        <c:lblAlgn val="ctr"/>
        <c:lblOffset val="100"/>
        <c:noMultiLvlLbl val="0"/>
      </c:catAx>
      <c:valAx>
        <c:axId val="1566003967"/>
        <c:scaling>
          <c:orientation val="minMax"/>
          <c:max val="80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54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Impact of using Nuitka compared to the CPython interpreter on energy consumption in Python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CPython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'Python Optimization results'!$J$5:$J$30</c:f>
              <c:numCache>
                <c:formatCode>0.00</c:formatCode>
                <c:ptCount val="26"/>
                <c:pt idx="0">
                  <c:v>55.571630105371938</c:v>
                </c:pt>
                <c:pt idx="1">
                  <c:v>20.934724661661026</c:v>
                </c:pt>
                <c:pt idx="2">
                  <c:v>-15.974538129107877</c:v>
                </c:pt>
                <c:pt idx="3">
                  <c:v>-26.850616622535245</c:v>
                </c:pt>
                <c:pt idx="4">
                  <c:v>-55.479450954461583</c:v>
                </c:pt>
                <c:pt idx="5">
                  <c:v>-46.76208348694405</c:v>
                </c:pt>
                <c:pt idx="6">
                  <c:v>-37.927206897475919</c:v>
                </c:pt>
                <c:pt idx="7">
                  <c:v>-49.154642850441874</c:v>
                </c:pt>
                <c:pt idx="8">
                  <c:v>-60.616190936106662</c:v>
                </c:pt>
                <c:pt idx="9">
                  <c:v>-49.761736508346736</c:v>
                </c:pt>
                <c:pt idx="10">
                  <c:v>-49.825563776396429</c:v>
                </c:pt>
                <c:pt idx="11">
                  <c:v>-3.0391777394509107</c:v>
                </c:pt>
                <c:pt idx="12">
                  <c:v>-11.054225901364802</c:v>
                </c:pt>
                <c:pt idx="13">
                  <c:v>-10.903889763478139</c:v>
                </c:pt>
                <c:pt idx="14">
                  <c:v>-12.152444846453497</c:v>
                </c:pt>
                <c:pt idx="15">
                  <c:v>-6.4552648173048883</c:v>
                </c:pt>
                <c:pt idx="16">
                  <c:v>-48.859784052349873</c:v>
                </c:pt>
                <c:pt idx="17">
                  <c:v>170.89497247916481</c:v>
                </c:pt>
                <c:pt idx="18">
                  <c:v>-60.257258463358589</c:v>
                </c:pt>
                <c:pt idx="19">
                  <c:v>-48.329355543622341</c:v>
                </c:pt>
                <c:pt idx="20">
                  <c:v>-26.598639549633791</c:v>
                </c:pt>
                <c:pt idx="21">
                  <c:v>-25.592119073634972</c:v>
                </c:pt>
                <c:pt idx="22">
                  <c:v>-64.208177249502839</c:v>
                </c:pt>
                <c:pt idx="23">
                  <c:v>-13.996865007176309</c:v>
                </c:pt>
                <c:pt idx="24">
                  <c:v>-9.3670946776560022</c:v>
                </c:pt>
                <c:pt idx="25">
                  <c:v>39.135453967955755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F0-4BAD-A1C6-37FEF1DB1295}"/>
            </c:ext>
          </c:extLst>
        </c:ser>
        <c:ser>
          <c:idx val="1"/>
          <c:order val="1"/>
          <c:tx>
            <c:v>Nuitka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'Python Optimization results'!$U$5:$U$30</c:f>
              <c:numCache>
                <c:formatCode>0.00</c:formatCode>
                <c:ptCount val="26"/>
                <c:pt idx="0">
                  <c:v>-14.08160653045031</c:v>
                </c:pt>
                <c:pt idx="1">
                  <c:v>22.639320693462842</c:v>
                </c:pt>
                <c:pt idx="2">
                  <c:v>-29.437325754998955</c:v>
                </c:pt>
                <c:pt idx="3">
                  <c:v>15.411165786075042</c:v>
                </c:pt>
                <c:pt idx="4">
                  <c:v>-54.645045391314049</c:v>
                </c:pt>
                <c:pt idx="5">
                  <c:v>-66.108015778633913</c:v>
                </c:pt>
                <c:pt idx="6">
                  <c:v>-10.462998668239338</c:v>
                </c:pt>
                <c:pt idx="7">
                  <c:v>-48.818092791736703</c:v>
                </c:pt>
                <c:pt idx="8">
                  <c:v>-49.936622062968119</c:v>
                </c:pt>
                <c:pt idx="9">
                  <c:v>-50.828810074752042</c:v>
                </c:pt>
                <c:pt idx="10">
                  <c:v>-42.899600820302418</c:v>
                </c:pt>
                <c:pt idx="11">
                  <c:v>-6.1436805935418546</c:v>
                </c:pt>
                <c:pt idx="12">
                  <c:v>12.545933792109171</c:v>
                </c:pt>
                <c:pt idx="13">
                  <c:v>-14.200612337997939</c:v>
                </c:pt>
                <c:pt idx="14">
                  <c:v>-2.0687566785365106</c:v>
                </c:pt>
                <c:pt idx="15">
                  <c:v>-4.7592297762383939</c:v>
                </c:pt>
                <c:pt idx="16">
                  <c:v>-42.359574766254298</c:v>
                </c:pt>
                <c:pt idx="17">
                  <c:v>40.234725444433515</c:v>
                </c:pt>
                <c:pt idx="18">
                  <c:v>-40.618862663243007</c:v>
                </c:pt>
                <c:pt idx="19">
                  <c:v>-46.263527026312836</c:v>
                </c:pt>
                <c:pt idx="20">
                  <c:v>-25.557000485803627</c:v>
                </c:pt>
                <c:pt idx="21">
                  <c:v>19.794009361723511</c:v>
                </c:pt>
                <c:pt idx="22">
                  <c:v>-63.344998183602186</c:v>
                </c:pt>
                <c:pt idx="23">
                  <c:v>1.9494750803612577</c:v>
                </c:pt>
                <c:pt idx="24">
                  <c:v>-20.061888967324563</c:v>
                </c:pt>
                <c:pt idx="25">
                  <c:v>34.939077019650021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F0-4BAD-A1C6-37FEF1DB1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66005407"/>
        <c:axId val="1566003967"/>
      </c:barChart>
      <c:catAx>
        <c:axId val="1566005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Techniques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3967"/>
        <c:crosses val="autoZero"/>
        <c:auto val="1"/>
        <c:lblAlgn val="ctr"/>
        <c:lblOffset val="100"/>
        <c:noMultiLvlLbl val="0"/>
      </c:catAx>
      <c:valAx>
        <c:axId val="1566003967"/>
        <c:scaling>
          <c:orientation val="minMax"/>
          <c:max val="80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54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Impact of using the efficient program variant compared to the standard variant on energy consumption in Java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JIT enabled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'Java Technique results'!$J$5:$J$30</c:f>
              <c:numCache>
                <c:formatCode>0.00</c:formatCode>
                <c:ptCount val="26"/>
                <c:pt idx="0">
                  <c:v>0.46988022511533806</c:v>
                </c:pt>
                <c:pt idx="1">
                  <c:v>-70.489247974796598</c:v>
                </c:pt>
                <c:pt idx="2">
                  <c:v>0.79487745639214547</c:v>
                </c:pt>
                <c:pt idx="3">
                  <c:v>-92.058701883923348</c:v>
                </c:pt>
                <c:pt idx="4">
                  <c:v>-0.1403086790939925</c:v>
                </c:pt>
                <c:pt idx="5">
                  <c:v>-99.957789376107471</c:v>
                </c:pt>
                <c:pt idx="6">
                  <c:v>-88.835674927956717</c:v>
                </c:pt>
                <c:pt idx="7">
                  <c:v>0.43308791684711678</c:v>
                </c:pt>
                <c:pt idx="8">
                  <c:v>-73.714951176790763</c:v>
                </c:pt>
                <c:pt idx="9">
                  <c:v>40.460220022044865</c:v>
                </c:pt>
                <c:pt idx="10">
                  <c:v>-0.47865430630935535</c:v>
                </c:pt>
                <c:pt idx="11">
                  <c:v>-13.977822295459591</c:v>
                </c:pt>
                <c:pt idx="12">
                  <c:v>75.153372622166358</c:v>
                </c:pt>
                <c:pt idx="13">
                  <c:v>5.5328774597779615</c:v>
                </c:pt>
                <c:pt idx="14">
                  <c:v>0.55422094616288509</c:v>
                </c:pt>
                <c:pt idx="15">
                  <c:v>32.655847197753729</c:v>
                </c:pt>
                <c:pt idx="16">
                  <c:v>-0.79376207599354631</c:v>
                </c:pt>
                <c:pt idx="17">
                  <c:v>26.154581551808981</c:v>
                </c:pt>
                <c:pt idx="18">
                  <c:v>-29.658398233701515</c:v>
                </c:pt>
                <c:pt idx="19">
                  <c:v>1.8483855872718766</c:v>
                </c:pt>
                <c:pt idx="20">
                  <c:v>-7.5011132650567021</c:v>
                </c:pt>
                <c:pt idx="21">
                  <c:v>-2.47059467199918</c:v>
                </c:pt>
                <c:pt idx="22">
                  <c:v>-1.5872082736901827</c:v>
                </c:pt>
                <c:pt idx="23">
                  <c:v>-48.90840481039082</c:v>
                </c:pt>
                <c:pt idx="24">
                  <c:v>-20.147074882501791</c:v>
                </c:pt>
                <c:pt idx="25">
                  <c:v>13.42700471742792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F0-42CE-9398-9D810BF1D444}"/>
            </c:ext>
          </c:extLst>
        </c:ser>
        <c:ser>
          <c:idx val="1"/>
          <c:order val="1"/>
          <c:tx>
            <c:v>JIT disabled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'Java Technique results'!$U$5:$U$30</c:f>
              <c:numCache>
                <c:formatCode>0.00</c:formatCode>
                <c:ptCount val="26"/>
                <c:pt idx="0">
                  <c:v>-75.707387900206115</c:v>
                </c:pt>
                <c:pt idx="1">
                  <c:v>-5.4467903025404256</c:v>
                </c:pt>
                <c:pt idx="2">
                  <c:v>-2.0579863712741595</c:v>
                </c:pt>
                <c:pt idx="3">
                  <c:v>-82.069812548613541</c:v>
                </c:pt>
                <c:pt idx="4">
                  <c:v>1.297796191054629</c:v>
                </c:pt>
                <c:pt idx="5">
                  <c:v>-96.630591111932546</c:v>
                </c:pt>
                <c:pt idx="6">
                  <c:v>-29.211322577094862</c:v>
                </c:pt>
                <c:pt idx="7">
                  <c:v>-35.591049167889082</c:v>
                </c:pt>
                <c:pt idx="8">
                  <c:v>-4.5700051135959914</c:v>
                </c:pt>
                <c:pt idx="9">
                  <c:v>18.902915226754512</c:v>
                </c:pt>
                <c:pt idx="10">
                  <c:v>-5.3994735214955858</c:v>
                </c:pt>
                <c:pt idx="11">
                  <c:v>-7.5519814807571892</c:v>
                </c:pt>
                <c:pt idx="12">
                  <c:v>-29.452869279247746</c:v>
                </c:pt>
                <c:pt idx="13">
                  <c:v>-1.696180778665447E-2</c:v>
                </c:pt>
                <c:pt idx="14">
                  <c:v>-25.734224431249263</c:v>
                </c:pt>
                <c:pt idx="15">
                  <c:v>33.396223426190964</c:v>
                </c:pt>
                <c:pt idx="16">
                  <c:v>0.67577257562733128</c:v>
                </c:pt>
                <c:pt idx="17">
                  <c:v>63.283270165936422</c:v>
                </c:pt>
                <c:pt idx="18">
                  <c:v>8.0137405952079401</c:v>
                </c:pt>
                <c:pt idx="19">
                  <c:v>-4.8223016073483445</c:v>
                </c:pt>
                <c:pt idx="20">
                  <c:v>-16.049971866075001</c:v>
                </c:pt>
                <c:pt idx="21">
                  <c:v>-72.170812375656382</c:v>
                </c:pt>
                <c:pt idx="22">
                  <c:v>7.9427044656595021</c:v>
                </c:pt>
                <c:pt idx="23">
                  <c:v>-59.481514999310768</c:v>
                </c:pt>
                <c:pt idx="24">
                  <c:v>-47.543973477662909</c:v>
                </c:pt>
                <c:pt idx="25">
                  <c:v>-11.584929075908819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F0-42CE-9398-9D810BF1D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66005407"/>
        <c:axId val="1566003967"/>
      </c:barChart>
      <c:catAx>
        <c:axId val="1566005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Techniques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3967"/>
        <c:crosses val="autoZero"/>
        <c:auto val="1"/>
        <c:lblAlgn val="ctr"/>
        <c:lblOffset val="100"/>
        <c:noMultiLvlLbl val="0"/>
      </c:catAx>
      <c:valAx>
        <c:axId val="1566003967"/>
        <c:scaling>
          <c:orientation val="minMax"/>
          <c:max val="80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54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Impact of using the efficient program variant compared to the standard variant in Java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Standard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'Java Optimization results'!$H$5:$H$30</c:f>
              <c:numCache>
                <c:formatCode>0.00</c:formatCode>
                <c:ptCount val="26"/>
                <c:pt idx="0">
                  <c:v>-99.5240604082597</c:v>
                </c:pt>
                <c:pt idx="1">
                  <c:v>-95.049473768324603</c:v>
                </c:pt>
                <c:pt idx="2">
                  <c:v>-99.579534477484231</c:v>
                </c:pt>
                <c:pt idx="3">
                  <c:v>-98.442063507151587</c:v>
                </c:pt>
                <c:pt idx="4">
                  <c:v>-99.433486291267187</c:v>
                </c:pt>
                <c:pt idx="5">
                  <c:v>-57.173731740114931</c:v>
                </c:pt>
                <c:pt idx="6">
                  <c:v>-98.785406380813669</c:v>
                </c:pt>
                <c:pt idx="7">
                  <c:v>-99.835794953556572</c:v>
                </c:pt>
                <c:pt idx="8">
                  <c:v>-99.9503376742108</c:v>
                </c:pt>
                <c:pt idx="9">
                  <c:v>-99.780792012607449</c:v>
                </c:pt>
                <c:pt idx="10">
                  <c:v>-99.754524598296186</c:v>
                </c:pt>
                <c:pt idx="11">
                  <c:v>-97.079919234981233</c:v>
                </c:pt>
                <c:pt idx="12">
                  <c:v>-98.458871323257341</c:v>
                </c:pt>
                <c:pt idx="13">
                  <c:v>-98.666128871501186</c:v>
                </c:pt>
                <c:pt idx="14">
                  <c:v>-98.992129709181427</c:v>
                </c:pt>
                <c:pt idx="15">
                  <c:v>-98.386420129967476</c:v>
                </c:pt>
                <c:pt idx="16">
                  <c:v>-99.57508111456518</c:v>
                </c:pt>
                <c:pt idx="17">
                  <c:v>-76.792008480776119</c:v>
                </c:pt>
                <c:pt idx="18">
                  <c:v>-99.402867739477188</c:v>
                </c:pt>
                <c:pt idx="19">
                  <c:v>-99.892317620691458</c:v>
                </c:pt>
                <c:pt idx="20">
                  <c:v>-97.421739842023939</c:v>
                </c:pt>
                <c:pt idx="21">
                  <c:v>-99.512560445750282</c:v>
                </c:pt>
                <c:pt idx="22">
                  <c:v>-99.593838782750083</c:v>
                </c:pt>
                <c:pt idx="23">
                  <c:v>-97.41692931857699</c:v>
                </c:pt>
                <c:pt idx="24">
                  <c:v>-88.398560177989921</c:v>
                </c:pt>
                <c:pt idx="25">
                  <c:v>-99.298797569894873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0A-43FB-949B-736CE3BC5307}"/>
            </c:ext>
          </c:extLst>
        </c:ser>
        <c:ser>
          <c:idx val="1"/>
          <c:order val="1"/>
          <c:tx>
            <c:v>Efficient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'Java Optimization results'!$O$5:$O$30</c:f>
              <c:numCache>
                <c:formatCode>0.00</c:formatCode>
                <c:ptCount val="26"/>
                <c:pt idx="0">
                  <c:v>-98.031599336452445</c:v>
                </c:pt>
                <c:pt idx="1">
                  <c:v>-98.454904360362889</c:v>
                </c:pt>
                <c:pt idx="2">
                  <c:v>-99.567287119731176</c:v>
                </c:pt>
                <c:pt idx="3">
                  <c:v>-99.309988355159803</c:v>
                </c:pt>
                <c:pt idx="4">
                  <c:v>-99.4415289748612</c:v>
                </c:pt>
                <c:pt idx="5">
                  <c:v>-99.46348942431996</c:v>
                </c:pt>
                <c:pt idx="6">
                  <c:v>-99.808442275111105</c:v>
                </c:pt>
                <c:pt idx="7">
                  <c:v>-99.743954533449383</c:v>
                </c:pt>
                <c:pt idx="8">
                  <c:v>-99.986321107324827</c:v>
                </c:pt>
                <c:pt idx="9">
                  <c:v>-99.741049224226103</c:v>
                </c:pt>
                <c:pt idx="10">
                  <c:v>-99.741755746805339</c:v>
                </c:pt>
                <c:pt idx="11">
                  <c:v>-97.282887069907616</c:v>
                </c:pt>
                <c:pt idx="12">
                  <c:v>-96.173708517718495</c:v>
                </c:pt>
                <c:pt idx="13">
                  <c:v>-98.592088609266085</c:v>
                </c:pt>
                <c:pt idx="14">
                  <c:v>-98.635365871669606</c:v>
                </c:pt>
                <c:pt idx="15">
                  <c:v>-98.395375827121228</c:v>
                </c:pt>
                <c:pt idx="16">
                  <c:v>-99.581283530601311</c:v>
                </c:pt>
                <c:pt idx="17">
                  <c:v>-82.069231858289868</c:v>
                </c:pt>
                <c:pt idx="18">
                  <c:v>-99.611130589126461</c:v>
                </c:pt>
                <c:pt idx="19">
                  <c:v>-99.884770522149765</c:v>
                </c:pt>
                <c:pt idx="20">
                  <c:v>-97.15918863129636</c:v>
                </c:pt>
                <c:pt idx="21">
                  <c:v>-98.291732748327377</c:v>
                </c:pt>
                <c:pt idx="22">
                  <c:v>-99.629697444784355</c:v>
                </c:pt>
                <c:pt idx="23">
                  <c:v>-96.74288903943058</c:v>
                </c:pt>
                <c:pt idx="24">
                  <c:v>-82.339323681566981</c:v>
                </c:pt>
                <c:pt idx="25">
                  <c:v>-99.100432872856118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0A-43FB-949B-736CE3BC5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66005407"/>
        <c:axId val="1566003967"/>
      </c:barChart>
      <c:catAx>
        <c:axId val="1566005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Techniques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3967"/>
        <c:crosses val="autoZero"/>
        <c:auto val="1"/>
        <c:lblAlgn val="ctr"/>
        <c:lblOffset val="100"/>
        <c:noMultiLvlLbl val="0"/>
      </c:catAx>
      <c:valAx>
        <c:axId val="1566003967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54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 b="0" i="0" u="none" strike="noStrike" baseline="0"/>
              <a:t>Distribution of effects of the efficient program variant compared to the standard variant </a:t>
            </a:r>
            <a:r>
              <a:rPr lang="es-ES" sz="1600"/>
              <a:t>in 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8BC-47A4-A1D8-F32B011CE9AE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8BC-47A4-A1D8-F32B011CE9AE}"/>
              </c:ext>
            </c:extLst>
          </c:dPt>
          <c:dPt>
            <c:idx val="2"/>
            <c:bubble3D val="0"/>
            <c:spPr>
              <a:solidFill>
                <a:srgbClr val="FF5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8BC-47A4-A1D8-F32B011CE9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Stats1!$B$4:$B$6</c:f>
              <c:strCache>
                <c:ptCount val="3"/>
                <c:pt idx="0">
                  <c:v>Reduces</c:v>
                </c:pt>
                <c:pt idx="1">
                  <c:v>No notable difference</c:v>
                </c:pt>
                <c:pt idx="2">
                  <c:v>Increases</c:v>
                </c:pt>
              </c:strCache>
            </c:strRef>
          </c:cat>
          <c:val>
            <c:numRef>
              <c:f>Stats1!$C$4:$C$6</c:f>
              <c:numCache>
                <c:formatCode>General</c:formatCode>
                <c:ptCount val="3"/>
                <c:pt idx="0">
                  <c:v>30</c:v>
                </c:pt>
                <c:pt idx="1">
                  <c:v>5</c:v>
                </c:pt>
                <c:pt idx="2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8BC-47A4-A1D8-F32B011CE9A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 b="0" i="0" u="none" strike="noStrike" baseline="0"/>
              <a:t>Distribution of effects of the efficient program variant compared to the standard variant </a:t>
            </a:r>
            <a:r>
              <a:rPr lang="es-ES" sz="1600"/>
              <a:t>in Python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70AD4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B1-4AFE-A408-CBC04D175E3E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B1-4AFE-A408-CBC04D175E3E}"/>
              </c:ext>
            </c:extLst>
          </c:dPt>
          <c:dPt>
            <c:idx val="2"/>
            <c:bubble3D val="0"/>
            <c:spPr>
              <a:solidFill>
                <a:srgbClr val="FF5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B1-4AFE-A408-CBC04D175E3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Stats1!$B$11:$B$13</c:f>
              <c:strCache>
                <c:ptCount val="3"/>
                <c:pt idx="0">
                  <c:v>Reduces</c:v>
                </c:pt>
                <c:pt idx="1">
                  <c:v>No notable difference</c:v>
                </c:pt>
                <c:pt idx="2">
                  <c:v>Increases</c:v>
                </c:pt>
              </c:strCache>
            </c:strRef>
          </c:cat>
          <c:val>
            <c:numRef>
              <c:f>Stats1!$C$11:$C$13</c:f>
              <c:numCache>
                <c:formatCode>General</c:formatCode>
                <c:ptCount val="3"/>
                <c:pt idx="0">
                  <c:v>35</c:v>
                </c:pt>
                <c:pt idx="1">
                  <c:v>7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2B1-4AFE-A408-CBC04D175E3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 b="0" i="0" u="none" strike="noStrike" baseline="0"/>
              <a:t>Distribution of effects of the efficient program variant compared to the standard variant </a:t>
            </a:r>
            <a:r>
              <a:rPr lang="es-ES" sz="1600"/>
              <a:t>in Java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70AD4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34D-4682-AB22-2EDC7C27904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34D-4682-AB22-2EDC7C279049}"/>
              </c:ext>
            </c:extLst>
          </c:dPt>
          <c:dPt>
            <c:idx val="2"/>
            <c:bubble3D val="0"/>
            <c:spPr>
              <a:solidFill>
                <a:srgbClr val="FF5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34D-4682-AB22-2EDC7C27904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Stats1!$B$18:$B$20</c:f>
              <c:strCache>
                <c:ptCount val="3"/>
                <c:pt idx="0">
                  <c:v>Reduces</c:v>
                </c:pt>
                <c:pt idx="1">
                  <c:v>No notable difference</c:v>
                </c:pt>
                <c:pt idx="2">
                  <c:v>Increases</c:v>
                </c:pt>
              </c:strCache>
            </c:strRef>
          </c:cat>
          <c:val>
            <c:numRef>
              <c:f>Stats1!$C$18:$C$20</c:f>
              <c:numCache>
                <c:formatCode>General</c:formatCode>
                <c:ptCount val="3"/>
                <c:pt idx="0">
                  <c:v>27</c:v>
                </c:pt>
                <c:pt idx="1">
                  <c:v>14</c:v>
                </c:pt>
                <c:pt idx="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34D-4682-AB22-2EDC7C27904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0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Impact of optimization techniques on execution time and energy consumption </a:t>
            </a:r>
          </a:p>
          <a:p>
            <a:pPr>
              <a:defRPr/>
            </a:pPr>
            <a:endParaRPr lang="es-ES"/>
          </a:p>
          <a:p>
            <a:pPr>
              <a:defRPr/>
            </a:pPr>
            <a:endParaRPr lang="es-ES"/>
          </a:p>
          <a:p>
            <a:pPr>
              <a:defRPr/>
            </a:pPr>
            <a:endParaRPr lang="es-ES"/>
          </a:p>
          <a:p>
            <a:pPr>
              <a:defRPr/>
            </a:pPr>
            <a:endParaRPr lang="es-ES"/>
          </a:p>
          <a:p>
            <a:pPr>
              <a:defRPr/>
            </a:pPr>
            <a:endParaRPr lang="es-ES"/>
          </a:p>
          <a:p>
            <a:pPr>
              <a:defRPr/>
            </a:pPr>
            <a:endParaRPr lang="es-ES"/>
          </a:p>
        </c:rich>
      </c:tx>
      <c:layout>
        <c:manualLayout>
          <c:xMode val="edge"/>
          <c:yMode val="edge"/>
          <c:x val="0.25670472605418204"/>
          <c:y val="2.58012799350353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Stats2!$D$1</c:f>
              <c:strCache>
                <c:ptCount val="1"/>
                <c:pt idx="0">
                  <c:v>Impact 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Stats2!$A$2:$C$25</c:f>
              <c:multiLvlStrCache>
                <c:ptCount val="24"/>
                <c:lvl>
                  <c:pt idx="0">
                    <c:v>T4</c:v>
                  </c:pt>
                  <c:pt idx="1">
                    <c:v>T4</c:v>
                  </c:pt>
                  <c:pt idx="2">
                    <c:v>T4</c:v>
                  </c:pt>
                  <c:pt idx="3">
                    <c:v>T4</c:v>
                  </c:pt>
                  <c:pt idx="4">
                    <c:v>T4</c:v>
                  </c:pt>
                  <c:pt idx="5">
                    <c:v>T4</c:v>
                  </c:pt>
                  <c:pt idx="6">
                    <c:v>T5</c:v>
                  </c:pt>
                  <c:pt idx="7">
                    <c:v>T5</c:v>
                  </c:pt>
                  <c:pt idx="8">
                    <c:v>T5</c:v>
                  </c:pt>
                  <c:pt idx="9">
                    <c:v>T5</c:v>
                  </c:pt>
                  <c:pt idx="10">
                    <c:v>T5</c:v>
                  </c:pt>
                  <c:pt idx="11">
                    <c:v>T5</c:v>
                  </c:pt>
                  <c:pt idx="12">
                    <c:v>T7</c:v>
                  </c:pt>
                  <c:pt idx="13">
                    <c:v>T7</c:v>
                  </c:pt>
                  <c:pt idx="14">
                    <c:v>T7</c:v>
                  </c:pt>
                  <c:pt idx="15">
                    <c:v>T7</c:v>
                  </c:pt>
                  <c:pt idx="16">
                    <c:v>T7</c:v>
                  </c:pt>
                  <c:pt idx="17">
                    <c:v>T7</c:v>
                  </c:pt>
                  <c:pt idx="18">
                    <c:v>T16</c:v>
                  </c:pt>
                  <c:pt idx="19">
                    <c:v>T16</c:v>
                  </c:pt>
                  <c:pt idx="20">
                    <c:v>T16</c:v>
                  </c:pt>
                  <c:pt idx="21">
                    <c:v>T16</c:v>
                  </c:pt>
                  <c:pt idx="22">
                    <c:v>T16</c:v>
                  </c:pt>
                  <c:pt idx="23">
                    <c:v>T16</c:v>
                  </c:pt>
                </c:lvl>
                <c:lvl>
                  <c:pt idx="0">
                    <c:v>C</c:v>
                  </c:pt>
                  <c:pt idx="1">
                    <c:v>C</c:v>
                  </c:pt>
                  <c:pt idx="2">
                    <c:v>Python</c:v>
                  </c:pt>
                  <c:pt idx="3">
                    <c:v>Python</c:v>
                  </c:pt>
                  <c:pt idx="4">
                    <c:v>Java</c:v>
                  </c:pt>
                  <c:pt idx="5">
                    <c:v>Java</c:v>
                  </c:pt>
                  <c:pt idx="6">
                    <c:v>C</c:v>
                  </c:pt>
                  <c:pt idx="7">
                    <c:v>C</c:v>
                  </c:pt>
                  <c:pt idx="8">
                    <c:v>Python</c:v>
                  </c:pt>
                  <c:pt idx="9">
                    <c:v>Python</c:v>
                  </c:pt>
                  <c:pt idx="10">
                    <c:v>Java</c:v>
                  </c:pt>
                  <c:pt idx="11">
                    <c:v>Java</c:v>
                  </c:pt>
                  <c:pt idx="12">
                    <c:v>C</c:v>
                  </c:pt>
                  <c:pt idx="13">
                    <c:v>C</c:v>
                  </c:pt>
                  <c:pt idx="14">
                    <c:v>Python</c:v>
                  </c:pt>
                  <c:pt idx="15">
                    <c:v>Python</c:v>
                  </c:pt>
                  <c:pt idx="16">
                    <c:v>Java</c:v>
                  </c:pt>
                  <c:pt idx="17">
                    <c:v>Java</c:v>
                  </c:pt>
                  <c:pt idx="18">
                    <c:v>C</c:v>
                  </c:pt>
                  <c:pt idx="19">
                    <c:v>C</c:v>
                  </c:pt>
                  <c:pt idx="20">
                    <c:v>Python</c:v>
                  </c:pt>
                  <c:pt idx="21">
                    <c:v>Python</c:v>
                  </c:pt>
                  <c:pt idx="22">
                    <c:v>Java</c:v>
                  </c:pt>
                  <c:pt idx="23">
                    <c:v>Java</c:v>
                  </c:pt>
                </c:lvl>
                <c:lvl>
                  <c:pt idx="0">
                    <c:v>O0</c:v>
                  </c:pt>
                  <c:pt idx="1">
                    <c:v>O3</c:v>
                  </c:pt>
                  <c:pt idx="2">
                    <c:v>Cpython</c:v>
                  </c:pt>
                  <c:pt idx="3">
                    <c:v>Nuitka</c:v>
                  </c:pt>
                  <c:pt idx="4">
                    <c:v>JIT</c:v>
                  </c:pt>
                  <c:pt idx="5">
                    <c:v>No JIT</c:v>
                  </c:pt>
                  <c:pt idx="6">
                    <c:v>O0</c:v>
                  </c:pt>
                  <c:pt idx="7">
                    <c:v>O3</c:v>
                  </c:pt>
                  <c:pt idx="8">
                    <c:v>Cpython</c:v>
                  </c:pt>
                  <c:pt idx="9">
                    <c:v>Nuitka</c:v>
                  </c:pt>
                  <c:pt idx="10">
                    <c:v>JIT</c:v>
                  </c:pt>
                  <c:pt idx="11">
                    <c:v>No JIT</c:v>
                  </c:pt>
                  <c:pt idx="12">
                    <c:v>O0</c:v>
                  </c:pt>
                  <c:pt idx="13">
                    <c:v>O3</c:v>
                  </c:pt>
                  <c:pt idx="14">
                    <c:v>Cpython</c:v>
                  </c:pt>
                  <c:pt idx="15">
                    <c:v>Nuitka</c:v>
                  </c:pt>
                  <c:pt idx="16">
                    <c:v>JIT</c:v>
                  </c:pt>
                  <c:pt idx="17">
                    <c:v>No JIT</c:v>
                  </c:pt>
                  <c:pt idx="18">
                    <c:v>O0</c:v>
                  </c:pt>
                  <c:pt idx="19">
                    <c:v>O3</c:v>
                  </c:pt>
                  <c:pt idx="20">
                    <c:v>Cpython</c:v>
                  </c:pt>
                  <c:pt idx="21">
                    <c:v>Nuitka</c:v>
                  </c:pt>
                  <c:pt idx="22">
                    <c:v>JIT</c:v>
                  </c:pt>
                  <c:pt idx="23">
                    <c:v>No JIT</c:v>
                  </c:pt>
                </c:lvl>
              </c:multiLvlStrCache>
            </c:multiLvlStrRef>
          </c:cat>
          <c:val>
            <c:numRef>
              <c:f>Stats2!$D$2:$D$25</c:f>
              <c:numCache>
                <c:formatCode>0.00%</c:formatCode>
                <c:ptCount val="24"/>
                <c:pt idx="0">
                  <c:v>-0.22224580768414351</c:v>
                </c:pt>
                <c:pt idx="1">
                  <c:v>-0.66634829672078955</c:v>
                </c:pt>
                <c:pt idx="2">
                  <c:v>-0.44392860949583707</c:v>
                </c:pt>
                <c:pt idx="3">
                  <c:v>-0.68784727588516259</c:v>
                </c:pt>
                <c:pt idx="4">
                  <c:v>-4.618007862454419E-3</c:v>
                </c:pt>
                <c:pt idx="5">
                  <c:v>-0.78641648238565454</c:v>
                </c:pt>
                <c:pt idx="6">
                  <c:v>0.29419003552636402</c:v>
                </c:pt>
                <c:pt idx="7">
                  <c:v>0</c:v>
                </c:pt>
                <c:pt idx="8">
                  <c:v>-8.8209758638652547E-2</c:v>
                </c:pt>
                <c:pt idx="9">
                  <c:v>-3.5015120165526124E-2</c:v>
                </c:pt>
                <c:pt idx="10">
                  <c:v>-0.69009441701594498</c:v>
                </c:pt>
                <c:pt idx="11">
                  <c:v>-4.902109346587475E-2</c:v>
                </c:pt>
                <c:pt idx="12">
                  <c:v>-0.5</c:v>
                </c:pt>
                <c:pt idx="13">
                  <c:v>-0.5</c:v>
                </c:pt>
                <c:pt idx="14">
                  <c:v>-0.30661040787623067</c:v>
                </c:pt>
                <c:pt idx="15">
                  <c:v>-0.39892335298641368</c:v>
                </c:pt>
                <c:pt idx="16">
                  <c:v>0</c:v>
                </c:pt>
                <c:pt idx="17">
                  <c:v>7.5015628255885782E-3</c:v>
                </c:pt>
                <c:pt idx="18">
                  <c:v>0</c:v>
                </c:pt>
                <c:pt idx="19">
                  <c:v>6.0763888888888951E-2</c:v>
                </c:pt>
                <c:pt idx="20">
                  <c:v>-8.2241713179177528E-2</c:v>
                </c:pt>
                <c:pt idx="21">
                  <c:v>-7.1623465211459653E-2</c:v>
                </c:pt>
                <c:pt idx="22">
                  <c:v>0.33354551241247632</c:v>
                </c:pt>
                <c:pt idx="23">
                  <c:v>0.18930312211829803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E5-4AD2-9E2A-DAB9B9424863}"/>
            </c:ext>
          </c:extLst>
        </c:ser>
        <c:ser>
          <c:idx val="1"/>
          <c:order val="1"/>
          <c:tx>
            <c:strRef>
              <c:f>Stats2!$E$1</c:f>
              <c:strCache>
                <c:ptCount val="1"/>
                <c:pt idx="0">
                  <c:v>Impact energy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Stats2!$A$2:$C$25</c:f>
              <c:multiLvlStrCache>
                <c:ptCount val="24"/>
                <c:lvl>
                  <c:pt idx="0">
                    <c:v>T4</c:v>
                  </c:pt>
                  <c:pt idx="1">
                    <c:v>T4</c:v>
                  </c:pt>
                  <c:pt idx="2">
                    <c:v>T4</c:v>
                  </c:pt>
                  <c:pt idx="3">
                    <c:v>T4</c:v>
                  </c:pt>
                  <c:pt idx="4">
                    <c:v>T4</c:v>
                  </c:pt>
                  <c:pt idx="5">
                    <c:v>T4</c:v>
                  </c:pt>
                  <c:pt idx="6">
                    <c:v>T5</c:v>
                  </c:pt>
                  <c:pt idx="7">
                    <c:v>T5</c:v>
                  </c:pt>
                  <c:pt idx="8">
                    <c:v>T5</c:v>
                  </c:pt>
                  <c:pt idx="9">
                    <c:v>T5</c:v>
                  </c:pt>
                  <c:pt idx="10">
                    <c:v>T5</c:v>
                  </c:pt>
                  <c:pt idx="11">
                    <c:v>T5</c:v>
                  </c:pt>
                  <c:pt idx="12">
                    <c:v>T7</c:v>
                  </c:pt>
                  <c:pt idx="13">
                    <c:v>T7</c:v>
                  </c:pt>
                  <c:pt idx="14">
                    <c:v>T7</c:v>
                  </c:pt>
                  <c:pt idx="15">
                    <c:v>T7</c:v>
                  </c:pt>
                  <c:pt idx="16">
                    <c:v>T7</c:v>
                  </c:pt>
                  <c:pt idx="17">
                    <c:v>T7</c:v>
                  </c:pt>
                  <c:pt idx="18">
                    <c:v>T16</c:v>
                  </c:pt>
                  <c:pt idx="19">
                    <c:v>T16</c:v>
                  </c:pt>
                  <c:pt idx="20">
                    <c:v>T16</c:v>
                  </c:pt>
                  <c:pt idx="21">
                    <c:v>T16</c:v>
                  </c:pt>
                  <c:pt idx="22">
                    <c:v>T16</c:v>
                  </c:pt>
                  <c:pt idx="23">
                    <c:v>T16</c:v>
                  </c:pt>
                </c:lvl>
                <c:lvl>
                  <c:pt idx="0">
                    <c:v>C</c:v>
                  </c:pt>
                  <c:pt idx="1">
                    <c:v>C</c:v>
                  </c:pt>
                  <c:pt idx="2">
                    <c:v>Python</c:v>
                  </c:pt>
                  <c:pt idx="3">
                    <c:v>Python</c:v>
                  </c:pt>
                  <c:pt idx="4">
                    <c:v>Java</c:v>
                  </c:pt>
                  <c:pt idx="5">
                    <c:v>Java</c:v>
                  </c:pt>
                  <c:pt idx="6">
                    <c:v>C</c:v>
                  </c:pt>
                  <c:pt idx="7">
                    <c:v>C</c:v>
                  </c:pt>
                  <c:pt idx="8">
                    <c:v>Python</c:v>
                  </c:pt>
                  <c:pt idx="9">
                    <c:v>Python</c:v>
                  </c:pt>
                  <c:pt idx="10">
                    <c:v>Java</c:v>
                  </c:pt>
                  <c:pt idx="11">
                    <c:v>Java</c:v>
                  </c:pt>
                  <c:pt idx="12">
                    <c:v>C</c:v>
                  </c:pt>
                  <c:pt idx="13">
                    <c:v>C</c:v>
                  </c:pt>
                  <c:pt idx="14">
                    <c:v>Python</c:v>
                  </c:pt>
                  <c:pt idx="15">
                    <c:v>Python</c:v>
                  </c:pt>
                  <c:pt idx="16">
                    <c:v>Java</c:v>
                  </c:pt>
                  <c:pt idx="17">
                    <c:v>Java</c:v>
                  </c:pt>
                  <c:pt idx="18">
                    <c:v>C</c:v>
                  </c:pt>
                  <c:pt idx="19">
                    <c:v>C</c:v>
                  </c:pt>
                  <c:pt idx="20">
                    <c:v>Python</c:v>
                  </c:pt>
                  <c:pt idx="21">
                    <c:v>Python</c:v>
                  </c:pt>
                  <c:pt idx="22">
                    <c:v>Java</c:v>
                  </c:pt>
                  <c:pt idx="23">
                    <c:v>Java</c:v>
                  </c:pt>
                </c:lvl>
                <c:lvl>
                  <c:pt idx="0">
                    <c:v>O0</c:v>
                  </c:pt>
                  <c:pt idx="1">
                    <c:v>O3</c:v>
                  </c:pt>
                  <c:pt idx="2">
                    <c:v>Cpython</c:v>
                  </c:pt>
                  <c:pt idx="3">
                    <c:v>Nuitka</c:v>
                  </c:pt>
                  <c:pt idx="4">
                    <c:v>JIT</c:v>
                  </c:pt>
                  <c:pt idx="5">
                    <c:v>No JIT</c:v>
                  </c:pt>
                  <c:pt idx="6">
                    <c:v>O0</c:v>
                  </c:pt>
                  <c:pt idx="7">
                    <c:v>O3</c:v>
                  </c:pt>
                  <c:pt idx="8">
                    <c:v>Cpython</c:v>
                  </c:pt>
                  <c:pt idx="9">
                    <c:v>Nuitka</c:v>
                  </c:pt>
                  <c:pt idx="10">
                    <c:v>JIT</c:v>
                  </c:pt>
                  <c:pt idx="11">
                    <c:v>No JIT</c:v>
                  </c:pt>
                  <c:pt idx="12">
                    <c:v>O0</c:v>
                  </c:pt>
                  <c:pt idx="13">
                    <c:v>O3</c:v>
                  </c:pt>
                  <c:pt idx="14">
                    <c:v>Cpython</c:v>
                  </c:pt>
                  <c:pt idx="15">
                    <c:v>Nuitka</c:v>
                  </c:pt>
                  <c:pt idx="16">
                    <c:v>JIT</c:v>
                  </c:pt>
                  <c:pt idx="17">
                    <c:v>No JIT</c:v>
                  </c:pt>
                  <c:pt idx="18">
                    <c:v>O0</c:v>
                  </c:pt>
                  <c:pt idx="19">
                    <c:v>O3</c:v>
                  </c:pt>
                  <c:pt idx="20">
                    <c:v>Cpython</c:v>
                  </c:pt>
                  <c:pt idx="21">
                    <c:v>Nuitka</c:v>
                  </c:pt>
                  <c:pt idx="22">
                    <c:v>JIT</c:v>
                  </c:pt>
                  <c:pt idx="23">
                    <c:v>No JIT</c:v>
                  </c:pt>
                </c:lvl>
              </c:multiLvlStrCache>
            </c:multiLvlStrRef>
          </c:cat>
          <c:val>
            <c:numRef>
              <c:f>Stats2!$E$2:$E$25</c:f>
              <c:numCache>
                <c:formatCode>0.00%</c:formatCode>
                <c:ptCount val="24"/>
                <c:pt idx="0">
                  <c:v>-0.34326777870823721</c:v>
                </c:pt>
                <c:pt idx="1">
                  <c:v>-0.81100245452958264</c:v>
                </c:pt>
                <c:pt idx="2">
                  <c:v>-0.44384416433402929</c:v>
                </c:pt>
                <c:pt idx="3">
                  <c:v>-0.69284878041857656</c:v>
                </c:pt>
                <c:pt idx="4">
                  <c:v>4.6988022511533804E-3</c:v>
                </c:pt>
                <c:pt idx="5">
                  <c:v>-0.75707387900206113</c:v>
                </c:pt>
                <c:pt idx="6">
                  <c:v>0.21788330684532009</c:v>
                </c:pt>
                <c:pt idx="7">
                  <c:v>-0.14168039538714994</c:v>
                </c:pt>
                <c:pt idx="8">
                  <c:v>-7.8080514506188317E-2</c:v>
                </c:pt>
                <c:pt idx="9">
                  <c:v>-6.5085898600706169E-2</c:v>
                </c:pt>
                <c:pt idx="10">
                  <c:v>-0.70489247974796598</c:v>
                </c:pt>
                <c:pt idx="11">
                  <c:v>-5.446790302540426E-2</c:v>
                </c:pt>
                <c:pt idx="12">
                  <c:v>-0.54192603441962639</c:v>
                </c:pt>
                <c:pt idx="13">
                  <c:v>-0.54716981132075471</c:v>
                </c:pt>
                <c:pt idx="14">
                  <c:v>-0.31329004658220849</c:v>
                </c:pt>
                <c:pt idx="15">
                  <c:v>-0.42331657970206898</c:v>
                </c:pt>
                <c:pt idx="16">
                  <c:v>7.9487745639214551E-3</c:v>
                </c:pt>
                <c:pt idx="17">
                  <c:v>-2.0579863712741595E-2</c:v>
                </c:pt>
                <c:pt idx="18">
                  <c:v>-6.5706570657065713E-2</c:v>
                </c:pt>
                <c:pt idx="19">
                  <c:v>0.16593142254861973</c:v>
                </c:pt>
                <c:pt idx="20">
                  <c:v>-3.4952950209055783E-2</c:v>
                </c:pt>
                <c:pt idx="21">
                  <c:v>-5.5450796384420298E-2</c:v>
                </c:pt>
                <c:pt idx="22">
                  <c:v>0.40460220022044863</c:v>
                </c:pt>
                <c:pt idx="23">
                  <c:v>0.18902915226754513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E5-4AD2-9E2A-DAB9B942486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77651455"/>
        <c:axId val="1177648095"/>
      </c:barChart>
      <c:catAx>
        <c:axId val="117765145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Techniques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crossAx val="1177648095"/>
        <c:crosses val="autoZero"/>
        <c:auto val="1"/>
        <c:lblAlgn val="ctr"/>
        <c:lblOffset val="100"/>
        <c:noMultiLvlLbl val="0"/>
      </c:catAx>
      <c:valAx>
        <c:axId val="117764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7651455"/>
        <c:crossesAt val="1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Impact of using the efficient program variant compared to the standard variant in Java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JIT enabled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'[1]Java Technique results'!$D$3:$D$28</c:f>
              <c:numCache>
                <c:formatCode>General</c:formatCode>
                <c:ptCount val="26"/>
                <c:pt idx="0">
                  <c:v>-0.28464426407269316</c:v>
                </c:pt>
                <c:pt idx="1">
                  <c:v>-69.145911541866681</c:v>
                </c:pt>
                <c:pt idx="2">
                  <c:v>2.783550358566504</c:v>
                </c:pt>
                <c:pt idx="3">
                  <c:v>-92.18380447795451</c:v>
                </c:pt>
                <c:pt idx="4">
                  <c:v>-0.46869994611388821</c:v>
                </c:pt>
                <c:pt idx="5">
                  <c:v>-99.957439796655521</c:v>
                </c:pt>
                <c:pt idx="6">
                  <c:v>-88.264396233560717</c:v>
                </c:pt>
                <c:pt idx="7">
                  <c:v>1.8678342576708677</c:v>
                </c:pt>
                <c:pt idx="8">
                  <c:v>-72.479348897698912</c:v>
                </c:pt>
                <c:pt idx="9">
                  <c:v>42.614315734601774</c:v>
                </c:pt>
                <c:pt idx="10">
                  <c:v>-0.53034767236298708</c:v>
                </c:pt>
                <c:pt idx="11">
                  <c:v>-12.535628374478527</c:v>
                </c:pt>
                <c:pt idx="12">
                  <c:v>81.672021433442836</c:v>
                </c:pt>
                <c:pt idx="13">
                  <c:v>0.68767908309455061</c:v>
                </c:pt>
                <c:pt idx="14">
                  <c:v>0.73660235969079402</c:v>
                </c:pt>
                <c:pt idx="15">
                  <c:v>34.439111308623083</c:v>
                </c:pt>
                <c:pt idx="16">
                  <c:v>2.2563658396281814</c:v>
                </c:pt>
                <c:pt idx="17">
                  <c:v>28.682992999371127</c:v>
                </c:pt>
                <c:pt idx="18">
                  <c:v>-29.875347794516511</c:v>
                </c:pt>
                <c:pt idx="19">
                  <c:v>1.6569984293284632</c:v>
                </c:pt>
                <c:pt idx="20">
                  <c:v>-6.6697427983450313</c:v>
                </c:pt>
                <c:pt idx="21">
                  <c:v>-4.9124010662639845</c:v>
                </c:pt>
                <c:pt idx="22">
                  <c:v>0.75508913996736726</c:v>
                </c:pt>
                <c:pt idx="23">
                  <c:v>-49.193237981754159</c:v>
                </c:pt>
                <c:pt idx="24">
                  <c:v>-19.822655662752013</c:v>
                </c:pt>
                <c:pt idx="25">
                  <c:v>13.684535250846185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'[1]Java Technique results'!$A$3:$A$28</c15:sqref>
                        </c15:formulaRef>
                      </c:ext>
                    </c:extLst>
                    <c:strCache>
                      <c:ptCount val="26"/>
                      <c:pt idx="0">
                        <c:v>T4</c:v>
                      </c:pt>
                      <c:pt idx="1">
                        <c:v>T5</c:v>
                      </c:pt>
                      <c:pt idx="2">
                        <c:v>T7</c:v>
                      </c:pt>
                      <c:pt idx="3">
                        <c:v>T8</c:v>
                      </c:pt>
                      <c:pt idx="4">
                        <c:v>T9</c:v>
                      </c:pt>
                      <c:pt idx="5">
                        <c:v>T10</c:v>
                      </c:pt>
                      <c:pt idx="6">
                        <c:v>T11</c:v>
                      </c:pt>
                      <c:pt idx="7">
                        <c:v>T12</c:v>
                      </c:pt>
                      <c:pt idx="8">
                        <c:v>T13</c:v>
                      </c:pt>
                      <c:pt idx="9">
                        <c:v>T16</c:v>
                      </c:pt>
                      <c:pt idx="10">
                        <c:v>T17</c:v>
                      </c:pt>
                      <c:pt idx="11">
                        <c:v>T19</c:v>
                      </c:pt>
                      <c:pt idx="12">
                        <c:v>T20</c:v>
                      </c:pt>
                      <c:pt idx="13">
                        <c:v>T25</c:v>
                      </c:pt>
                      <c:pt idx="14">
                        <c:v>T26</c:v>
                      </c:pt>
                      <c:pt idx="15">
                        <c:v>T28</c:v>
                      </c:pt>
                      <c:pt idx="16">
                        <c:v>T29</c:v>
                      </c:pt>
                      <c:pt idx="17">
                        <c:v>T31</c:v>
                      </c:pt>
                      <c:pt idx="18">
                        <c:v>T32</c:v>
                      </c:pt>
                      <c:pt idx="19">
                        <c:v>T33</c:v>
                      </c:pt>
                      <c:pt idx="20">
                        <c:v>T36</c:v>
                      </c:pt>
                      <c:pt idx="21">
                        <c:v>T40</c:v>
                      </c:pt>
                      <c:pt idx="22">
                        <c:v>T44</c:v>
                      </c:pt>
                      <c:pt idx="23">
                        <c:v>T49</c:v>
                      </c:pt>
                      <c:pt idx="24">
                        <c:v>T50</c:v>
                      </c:pt>
                      <c:pt idx="25">
                        <c:v>T51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F20C-40B7-A0DA-2EC03266329B}"/>
            </c:ext>
          </c:extLst>
        </c:ser>
        <c:ser>
          <c:idx val="1"/>
          <c:order val="1"/>
          <c:tx>
            <c:v>JIT disabled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'[1]Java Technique results'!$H$3:$H$28</c:f>
              <c:numCache>
                <c:formatCode>General</c:formatCode>
                <c:ptCount val="26"/>
                <c:pt idx="0">
                  <c:v>-75.71616155310187</c:v>
                </c:pt>
                <c:pt idx="1">
                  <c:v>-4.0930186185937298</c:v>
                </c:pt>
                <c:pt idx="2">
                  <c:v>-1.6253105378696941</c:v>
                </c:pt>
                <c:pt idx="3">
                  <c:v>-81.554511754084132</c:v>
                </c:pt>
                <c:pt idx="4">
                  <c:v>3.3535669696539747E-2</c:v>
                </c:pt>
                <c:pt idx="5">
                  <c:v>-96.797710851442375</c:v>
                </c:pt>
                <c:pt idx="6">
                  <c:v>-31.31779815298643</c:v>
                </c:pt>
                <c:pt idx="7">
                  <c:v>-36.51385242402862</c:v>
                </c:pt>
                <c:pt idx="8">
                  <c:v>-5.498335557384852</c:v>
                </c:pt>
                <c:pt idx="9">
                  <c:v>11.120746922250675</c:v>
                </c:pt>
                <c:pt idx="10">
                  <c:v>-5.5640886214327008</c:v>
                </c:pt>
                <c:pt idx="11">
                  <c:v>-10.134525070694224</c:v>
                </c:pt>
                <c:pt idx="12">
                  <c:v>-30.562795540324149</c:v>
                </c:pt>
                <c:pt idx="13">
                  <c:v>1.7675609485979655</c:v>
                </c:pt>
                <c:pt idx="14">
                  <c:v>-25.216339331610826</c:v>
                </c:pt>
                <c:pt idx="15">
                  <c:v>30.123770294290441</c:v>
                </c:pt>
                <c:pt idx="16">
                  <c:v>0.71393501626176648</c:v>
                </c:pt>
                <c:pt idx="17">
                  <c:v>68.072875753885768</c:v>
                </c:pt>
                <c:pt idx="18">
                  <c:v>17.767531142220339</c:v>
                </c:pt>
                <c:pt idx="19">
                  <c:v>-3.2456179925754358</c:v>
                </c:pt>
                <c:pt idx="20">
                  <c:v>-16.525734306915393</c:v>
                </c:pt>
                <c:pt idx="21">
                  <c:v>-70.855861309894081</c:v>
                </c:pt>
                <c:pt idx="22">
                  <c:v>13.594297051626883</c:v>
                </c:pt>
                <c:pt idx="23">
                  <c:v>-61.310900685959936</c:v>
                </c:pt>
                <c:pt idx="24">
                  <c:v>-46.919566253939287</c:v>
                </c:pt>
                <c:pt idx="25">
                  <c:v>-8.0240542994794932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'[1]Java Technique results'!$A$3:$A$28</c15:sqref>
                        </c15:formulaRef>
                      </c:ext>
                    </c:extLst>
                    <c:strCache>
                      <c:ptCount val="26"/>
                      <c:pt idx="0">
                        <c:v>T4</c:v>
                      </c:pt>
                      <c:pt idx="1">
                        <c:v>T5</c:v>
                      </c:pt>
                      <c:pt idx="2">
                        <c:v>T7</c:v>
                      </c:pt>
                      <c:pt idx="3">
                        <c:v>T8</c:v>
                      </c:pt>
                      <c:pt idx="4">
                        <c:v>T9</c:v>
                      </c:pt>
                      <c:pt idx="5">
                        <c:v>T10</c:v>
                      </c:pt>
                      <c:pt idx="6">
                        <c:v>T11</c:v>
                      </c:pt>
                      <c:pt idx="7">
                        <c:v>T12</c:v>
                      </c:pt>
                      <c:pt idx="8">
                        <c:v>T13</c:v>
                      </c:pt>
                      <c:pt idx="9">
                        <c:v>T16</c:v>
                      </c:pt>
                      <c:pt idx="10">
                        <c:v>T17</c:v>
                      </c:pt>
                      <c:pt idx="11">
                        <c:v>T19</c:v>
                      </c:pt>
                      <c:pt idx="12">
                        <c:v>T20</c:v>
                      </c:pt>
                      <c:pt idx="13">
                        <c:v>T25</c:v>
                      </c:pt>
                      <c:pt idx="14">
                        <c:v>T26</c:v>
                      </c:pt>
                      <c:pt idx="15">
                        <c:v>T28</c:v>
                      </c:pt>
                      <c:pt idx="16">
                        <c:v>T29</c:v>
                      </c:pt>
                      <c:pt idx="17">
                        <c:v>T31</c:v>
                      </c:pt>
                      <c:pt idx="18">
                        <c:v>T32</c:v>
                      </c:pt>
                      <c:pt idx="19">
                        <c:v>T33</c:v>
                      </c:pt>
                      <c:pt idx="20">
                        <c:v>T36</c:v>
                      </c:pt>
                      <c:pt idx="21">
                        <c:v>T40</c:v>
                      </c:pt>
                      <c:pt idx="22">
                        <c:v>T44</c:v>
                      </c:pt>
                      <c:pt idx="23">
                        <c:v>T49</c:v>
                      </c:pt>
                      <c:pt idx="24">
                        <c:v>T50</c:v>
                      </c:pt>
                      <c:pt idx="25">
                        <c:v>T51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F20C-40B7-A0DA-2EC032663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66005407"/>
        <c:axId val="1566003967"/>
      </c:barChart>
      <c:catAx>
        <c:axId val="1566005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Techniques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3967"/>
        <c:crosses val="autoZero"/>
        <c:auto val="1"/>
        <c:lblAlgn val="ctr"/>
        <c:lblOffset val="100"/>
        <c:noMultiLvlLbl val="0"/>
      </c:catAx>
      <c:valAx>
        <c:axId val="1566003967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54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Impact of optimization technique categories on energy consumption across PLs 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Stats3!$L$4</c:f>
              <c:strCache>
                <c:ptCount val="1"/>
                <c:pt idx="0">
                  <c:v>(1) data/memory structure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Stats3!$K$32:$K$35</c:f>
              <c:strCache>
                <c:ptCount val="4"/>
                <c:pt idx="0">
                  <c:v>C</c:v>
                </c:pt>
                <c:pt idx="1">
                  <c:v>Python</c:v>
                </c:pt>
                <c:pt idx="2">
                  <c:v>Java</c:v>
                </c:pt>
                <c:pt idx="3">
                  <c:v>Average</c:v>
                </c:pt>
              </c:strCache>
            </c:strRef>
          </c:cat>
          <c:val>
            <c:numRef>
              <c:f>Stats3!$L$32:$L$35</c:f>
              <c:numCache>
                <c:formatCode>0.00</c:formatCode>
                <c:ptCount val="4"/>
                <c:pt idx="0">
                  <c:v>-28.548157880735651</c:v>
                </c:pt>
                <c:pt idx="1">
                  <c:v>-31.945865711095411</c:v>
                </c:pt>
                <c:pt idx="2">
                  <c:v>-46.465447142857158</c:v>
                </c:pt>
                <c:pt idx="3">
                  <c:v>-35.653156911562739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B9-491E-B10E-719E6CC200D7}"/>
            </c:ext>
          </c:extLst>
        </c:ser>
        <c:ser>
          <c:idx val="1"/>
          <c:order val="1"/>
          <c:tx>
            <c:strRef>
              <c:f>Stats3!$M$4</c:f>
              <c:strCache>
                <c:ptCount val="1"/>
                <c:pt idx="0">
                  <c:v>(2) algorithm implementation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Stats3!$K$32:$K$35</c:f>
              <c:strCache>
                <c:ptCount val="4"/>
                <c:pt idx="0">
                  <c:v>C</c:v>
                </c:pt>
                <c:pt idx="1">
                  <c:v>Python</c:v>
                </c:pt>
                <c:pt idx="2">
                  <c:v>Java</c:v>
                </c:pt>
                <c:pt idx="3">
                  <c:v>Average</c:v>
                </c:pt>
              </c:strCache>
            </c:strRef>
          </c:cat>
          <c:val>
            <c:numRef>
              <c:f>Stats3!$M$32:$M$35</c:f>
              <c:numCache>
                <c:formatCode>0.00</c:formatCode>
                <c:ptCount val="4"/>
                <c:pt idx="0">
                  <c:v>-1.797684385168584</c:v>
                </c:pt>
                <c:pt idx="1">
                  <c:v>-15.396312346900627</c:v>
                </c:pt>
                <c:pt idx="2">
                  <c:v>-18.338422455857575</c:v>
                </c:pt>
                <c:pt idx="3">
                  <c:v>-11.84413972930893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B9-491E-B10E-719E6CC200D7}"/>
            </c:ext>
          </c:extLst>
        </c:ser>
        <c:ser>
          <c:idx val="2"/>
          <c:order val="2"/>
          <c:tx>
            <c:strRef>
              <c:f>Stats3!$N$4</c:f>
              <c:strCache>
                <c:ptCount val="1"/>
                <c:pt idx="0">
                  <c:v>(3) arithmetic/logic operations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Stats3!$K$32:$K$35</c:f>
              <c:strCache>
                <c:ptCount val="4"/>
                <c:pt idx="0">
                  <c:v>C</c:v>
                </c:pt>
                <c:pt idx="1">
                  <c:v>Python</c:v>
                </c:pt>
                <c:pt idx="2">
                  <c:v>Java</c:v>
                </c:pt>
                <c:pt idx="3">
                  <c:v>Average</c:v>
                </c:pt>
              </c:strCache>
            </c:strRef>
          </c:cat>
          <c:val>
            <c:numRef>
              <c:f>Stats3!$N$32:$N$35</c:f>
              <c:numCache>
                <c:formatCode>0.00</c:formatCode>
                <c:ptCount val="4"/>
                <c:pt idx="0">
                  <c:v>1.2020348886763821</c:v>
                </c:pt>
                <c:pt idx="1">
                  <c:v>4.3938395295407311</c:v>
                </c:pt>
                <c:pt idx="2">
                  <c:v>7.4653142640746939</c:v>
                </c:pt>
                <c:pt idx="3">
                  <c:v>4.3537295607639352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B9-491E-B10E-719E6CC200D7}"/>
            </c:ext>
          </c:extLst>
        </c:ser>
        <c:ser>
          <c:idx val="3"/>
          <c:order val="3"/>
          <c:tx>
            <c:strRef>
              <c:f>Stats3!$O$4</c:f>
              <c:strCache>
                <c:ptCount val="1"/>
                <c:pt idx="0">
                  <c:v>(4) loops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Stats3!$K$32:$K$35</c:f>
              <c:strCache>
                <c:ptCount val="4"/>
                <c:pt idx="0">
                  <c:v>C</c:v>
                </c:pt>
                <c:pt idx="1">
                  <c:v>Python</c:v>
                </c:pt>
                <c:pt idx="2">
                  <c:v>Java</c:v>
                </c:pt>
                <c:pt idx="3">
                  <c:v>Average</c:v>
                </c:pt>
              </c:strCache>
            </c:strRef>
          </c:cat>
          <c:val>
            <c:numRef>
              <c:f>Stats3!$O$32:$O$35</c:f>
              <c:numCache>
                <c:formatCode>0.00</c:formatCode>
                <c:ptCount val="4"/>
                <c:pt idx="0">
                  <c:v>-20.188030625494999</c:v>
                </c:pt>
                <c:pt idx="1">
                  <c:v>-22.535984171809318</c:v>
                </c:pt>
                <c:pt idx="2">
                  <c:v>-16.905380446217887</c:v>
                </c:pt>
                <c:pt idx="3">
                  <c:v>-19.876465081174061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B9-491E-B10E-719E6CC20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44292863"/>
        <c:axId val="744284223"/>
      </c:barChart>
      <c:catAx>
        <c:axId val="7442928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Programming</a:t>
                </a:r>
                <a:r>
                  <a:rPr lang="es-ES" sz="1100" baseline="0"/>
                  <a:t> Languages (PLs)</a:t>
                </a:r>
                <a:endParaRPr lang="es-E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44284223"/>
        <c:crosses val="autoZero"/>
        <c:auto val="1"/>
        <c:lblAlgn val="ctr"/>
        <c:lblOffset val="100"/>
        <c:noMultiLvlLbl val="0"/>
      </c:catAx>
      <c:valAx>
        <c:axId val="744284223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 Average 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44292863"/>
        <c:crossesAt val="0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0</xdr:colOff>
      <xdr:row>15</xdr:row>
      <xdr:rowOff>0</xdr:rowOff>
    </xdr:from>
    <xdr:to>
      <xdr:col>30</xdr:col>
      <xdr:colOff>40823</xdr:colOff>
      <xdr:row>36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B94064-B018-4D0C-A29F-0D0FAB458C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0</xdr:colOff>
      <xdr:row>15</xdr:row>
      <xdr:rowOff>0</xdr:rowOff>
    </xdr:from>
    <xdr:to>
      <xdr:col>30</xdr:col>
      <xdr:colOff>40823</xdr:colOff>
      <xdr:row>36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F175FA-3191-4EFF-BC25-6E61069140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0</xdr:colOff>
      <xdr:row>15</xdr:row>
      <xdr:rowOff>0</xdr:rowOff>
    </xdr:from>
    <xdr:to>
      <xdr:col>30</xdr:col>
      <xdr:colOff>40823</xdr:colOff>
      <xdr:row>36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704FAB-5838-4C0F-9699-5F35CC464B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0</xdr:colOff>
      <xdr:row>15</xdr:row>
      <xdr:rowOff>0</xdr:rowOff>
    </xdr:from>
    <xdr:to>
      <xdr:col>30</xdr:col>
      <xdr:colOff>40823</xdr:colOff>
      <xdr:row>36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9B0DD7-AB3B-439B-BE9B-313593CCDF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-1</xdr:colOff>
      <xdr:row>15</xdr:row>
      <xdr:rowOff>0</xdr:rowOff>
    </xdr:from>
    <xdr:to>
      <xdr:col>31</xdr:col>
      <xdr:colOff>623455</xdr:colOff>
      <xdr:row>37</xdr:row>
      <xdr:rowOff>63594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7373D622-A90F-4875-ACAD-03AD319B61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11206</xdr:colOff>
      <xdr:row>14</xdr:row>
      <xdr:rowOff>0</xdr:rowOff>
    </xdr:from>
    <xdr:to>
      <xdr:col>20</xdr:col>
      <xdr:colOff>26536</xdr:colOff>
      <xdr:row>36</xdr:row>
      <xdr:rowOff>61913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41B428EA-CC2E-40F2-B75D-5D3D1EC70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13606</xdr:colOff>
      <xdr:row>4</xdr:row>
      <xdr:rowOff>11303</xdr:rowOff>
    </xdr:from>
    <xdr:to>
      <xdr:col>25</xdr:col>
      <xdr:colOff>435381</xdr:colOff>
      <xdr:row>26</xdr:row>
      <xdr:rowOff>22110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F3E7D235-F41C-918A-45EB-5A52EDF2E17F}"/>
            </a:ext>
          </a:extLst>
        </xdr:cNvPr>
        <xdr:cNvGrpSpPr/>
      </xdr:nvGrpSpPr>
      <xdr:grpSpPr>
        <a:xfrm>
          <a:off x="11710306" y="773303"/>
          <a:ext cx="14137775" cy="4201807"/>
          <a:chOff x="11687837" y="792841"/>
          <a:chExt cx="14049852" cy="4309269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7CA7F28F-F273-4E97-82AE-E34EF23D88CF}"/>
              </a:ext>
            </a:extLst>
          </xdr:cNvPr>
          <xdr:cNvGraphicFramePr>
            <a:graphicFrameLocks/>
          </xdr:cNvGraphicFramePr>
        </xdr:nvGraphicFramePr>
        <xdr:xfrm>
          <a:off x="11687837" y="793783"/>
          <a:ext cx="4685567" cy="430798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712504CD-F4DD-47A0-9283-3049A83C8139}"/>
              </a:ext>
            </a:extLst>
          </xdr:cNvPr>
          <xdr:cNvGraphicFramePr>
            <a:graphicFrameLocks/>
          </xdr:cNvGraphicFramePr>
        </xdr:nvGraphicFramePr>
        <xdr:xfrm>
          <a:off x="16366602" y="794123"/>
          <a:ext cx="4685567" cy="430798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>
            <a:extLst>
              <a:ext uri="{FF2B5EF4-FFF2-40B4-BE49-F238E27FC236}">
                <a16:creationId xmlns:a16="http://schemas.microsoft.com/office/drawing/2014/main" id="{68138A0F-B606-4DA7-8848-2CCA70890EBA}"/>
              </a:ext>
            </a:extLst>
          </xdr:cNvPr>
          <xdr:cNvGraphicFramePr>
            <a:graphicFrameLocks/>
          </xdr:cNvGraphicFramePr>
        </xdr:nvGraphicFramePr>
        <xdr:xfrm>
          <a:off x="21052121" y="792841"/>
          <a:ext cx="4685568" cy="430798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29306</xdr:colOff>
      <xdr:row>1</xdr:row>
      <xdr:rowOff>182216</xdr:rowOff>
    </xdr:from>
    <xdr:to>
      <xdr:col>22</xdr:col>
      <xdr:colOff>57977</xdr:colOff>
      <xdr:row>38</xdr:row>
      <xdr:rowOff>24847</xdr:rowOff>
    </xdr:to>
    <xdr:grpSp>
      <xdr:nvGrpSpPr>
        <xdr:cNvPr id="258" name="Grupo 257">
          <a:extLst>
            <a:ext uri="{FF2B5EF4-FFF2-40B4-BE49-F238E27FC236}">
              <a16:creationId xmlns:a16="http://schemas.microsoft.com/office/drawing/2014/main" id="{B8F61E77-8FDD-3587-763E-1DE1C41E724F}"/>
            </a:ext>
          </a:extLst>
        </xdr:cNvPr>
        <xdr:cNvGrpSpPr/>
      </xdr:nvGrpSpPr>
      <xdr:grpSpPr>
        <a:xfrm>
          <a:off x="6138128" y="374548"/>
          <a:ext cx="11431195" cy="6958905"/>
          <a:chOff x="6152520" y="372716"/>
          <a:chExt cx="11458671" cy="6891131"/>
        </a:xfrm>
      </xdr:grpSpPr>
      <xdr:graphicFrame macro="">
        <xdr:nvGraphicFramePr>
          <xdr:cNvPr id="17" name="Gráfico 16">
            <a:extLst>
              <a:ext uri="{FF2B5EF4-FFF2-40B4-BE49-F238E27FC236}">
                <a16:creationId xmlns:a16="http://schemas.microsoft.com/office/drawing/2014/main" id="{C0188228-B5FB-7C3D-29BD-EE865CEFD7B7}"/>
              </a:ext>
            </a:extLst>
          </xdr:cNvPr>
          <xdr:cNvGraphicFramePr/>
        </xdr:nvGraphicFramePr>
        <xdr:xfrm>
          <a:off x="6152520" y="372716"/>
          <a:ext cx="11458671" cy="689113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35" name="Grupo 134">
            <a:extLst>
              <a:ext uri="{FF2B5EF4-FFF2-40B4-BE49-F238E27FC236}">
                <a16:creationId xmlns:a16="http://schemas.microsoft.com/office/drawing/2014/main" id="{CC4CB624-6415-C143-3E51-5183B97783D0}"/>
              </a:ext>
            </a:extLst>
          </xdr:cNvPr>
          <xdr:cNvGrpSpPr/>
        </xdr:nvGrpSpPr>
        <xdr:grpSpPr>
          <a:xfrm>
            <a:off x="6963872" y="917409"/>
            <a:ext cx="2463784" cy="6020002"/>
            <a:chOff x="7098583" y="917409"/>
            <a:chExt cx="2418627" cy="6020002"/>
          </a:xfrm>
        </xdr:grpSpPr>
        <xdr:sp macro="" textlink="">
          <xdr:nvSpPr>
            <xdr:cNvPr id="24" name="CuadroTexto 23">
              <a:extLst>
                <a:ext uri="{FF2B5EF4-FFF2-40B4-BE49-F238E27FC236}">
                  <a16:creationId xmlns:a16="http://schemas.microsoft.com/office/drawing/2014/main" id="{6637366D-DBC4-B83B-CBD3-ECAF46DDC112}"/>
                </a:ext>
              </a:extLst>
            </xdr:cNvPr>
            <xdr:cNvSpPr txBox="1"/>
          </xdr:nvSpPr>
          <xdr:spPr>
            <a:xfrm>
              <a:off x="7098583" y="927651"/>
              <a:ext cx="2344832" cy="195696"/>
            </a:xfrm>
            <a:prstGeom prst="rect">
              <a:avLst/>
            </a:prstGeom>
            <a:noFill/>
            <a:ln w="12700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s-ES" sz="1100" b="1"/>
                <a:t>T4</a:t>
              </a:r>
            </a:p>
          </xdr:txBody>
        </xdr:sp>
        <xdr:grpSp>
          <xdr:nvGrpSpPr>
            <xdr:cNvPr id="74" name="Grupo 73">
              <a:extLst>
                <a:ext uri="{FF2B5EF4-FFF2-40B4-BE49-F238E27FC236}">
                  <a16:creationId xmlns:a16="http://schemas.microsoft.com/office/drawing/2014/main" id="{02993475-8B98-4401-C62E-AB6EB0DF5001}"/>
                </a:ext>
              </a:extLst>
            </xdr:cNvPr>
            <xdr:cNvGrpSpPr/>
          </xdr:nvGrpSpPr>
          <xdr:grpSpPr>
            <a:xfrm>
              <a:off x="7183041" y="917409"/>
              <a:ext cx="2334169" cy="6020002"/>
              <a:chOff x="7183721" y="917409"/>
              <a:chExt cx="2334169" cy="6020002"/>
            </a:xfrm>
          </xdr:grpSpPr>
          <xdr:grpSp>
            <xdr:nvGrpSpPr>
              <xdr:cNvPr id="72" name="Grupo 71">
                <a:extLst>
                  <a:ext uri="{FF2B5EF4-FFF2-40B4-BE49-F238E27FC236}">
                    <a16:creationId xmlns:a16="http://schemas.microsoft.com/office/drawing/2014/main" id="{186A7473-F77A-A5CD-021C-EFBB6C2BE17E}"/>
                  </a:ext>
                </a:extLst>
              </xdr:cNvPr>
              <xdr:cNvGrpSpPr/>
            </xdr:nvGrpSpPr>
            <xdr:grpSpPr>
              <a:xfrm>
                <a:off x="7183721" y="1200724"/>
                <a:ext cx="779859" cy="5734667"/>
                <a:chOff x="7188756" y="1200724"/>
                <a:chExt cx="779859" cy="5734667"/>
              </a:xfrm>
            </xdr:grpSpPr>
            <xdr:sp macro="" textlink="">
              <xdr:nvSpPr>
                <xdr:cNvPr id="53" name="CuadroTexto 52">
                  <a:extLst>
                    <a:ext uri="{FF2B5EF4-FFF2-40B4-BE49-F238E27FC236}">
                      <a16:creationId xmlns:a16="http://schemas.microsoft.com/office/drawing/2014/main" id="{91397063-1921-4815-9998-3D61C07308D0}"/>
                    </a:ext>
                  </a:extLst>
                </xdr:cNvPr>
                <xdr:cNvSpPr txBox="1"/>
              </xdr:nvSpPr>
              <xdr:spPr>
                <a:xfrm>
                  <a:off x="7188756" y="1200724"/>
                  <a:ext cx="779859" cy="5733476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C</a:t>
                  </a:r>
                </a:p>
              </xdr:txBody>
            </xdr:sp>
            <xdr:grpSp>
              <xdr:nvGrpSpPr>
                <xdr:cNvPr id="71" name="Grupo 70">
                  <a:extLst>
                    <a:ext uri="{FF2B5EF4-FFF2-40B4-BE49-F238E27FC236}">
                      <a16:creationId xmlns:a16="http://schemas.microsoft.com/office/drawing/2014/main" id="{E660FA67-C78F-2442-97EE-45A361B61F8F}"/>
                    </a:ext>
                  </a:extLst>
                </xdr:cNvPr>
                <xdr:cNvGrpSpPr/>
              </xdr:nvGrpSpPr>
              <xdr:grpSpPr>
                <a:xfrm>
                  <a:off x="7189471" y="1479778"/>
                  <a:ext cx="777289" cy="5455613"/>
                  <a:chOff x="7189471" y="1479778"/>
                  <a:chExt cx="777289" cy="5455613"/>
                </a:xfrm>
              </xdr:grpSpPr>
              <xdr:sp macro="" textlink="">
                <xdr:nvSpPr>
                  <xdr:cNvPr id="57" name="CuadroTexto 56">
                    <a:extLst>
                      <a:ext uri="{FF2B5EF4-FFF2-40B4-BE49-F238E27FC236}">
                        <a16:creationId xmlns:a16="http://schemas.microsoft.com/office/drawing/2014/main" id="{06CA0A20-A43A-4E54-80C5-7FDBC3FB753A}"/>
                      </a:ext>
                    </a:extLst>
                  </xdr:cNvPr>
                  <xdr:cNvSpPr txBox="1"/>
                </xdr:nvSpPr>
                <xdr:spPr>
                  <a:xfrm>
                    <a:off x="7582727" y="1479778"/>
                    <a:ext cx="384033" cy="5454917"/>
                  </a:xfrm>
                  <a:prstGeom prst="rect">
                    <a:avLst/>
                  </a:prstGeom>
                  <a:noFill/>
                  <a:ln w="12700" cmpd="sng">
                    <a:solidFill>
                      <a:schemeClr val="tx1"/>
                    </a:solidFill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vert="vert" wrap="square" rtlCol="0" anchor="ctr" anchorCtr="0"/>
                  <a:lstStyle/>
                  <a:p>
                    <a:pPr algn="l"/>
                    <a:r>
                      <a:rPr lang="es-ES" sz="1100" b="1"/>
                      <a:t>O3</a:t>
                    </a:r>
                  </a:p>
                </xdr:txBody>
              </xdr:sp>
              <xdr:sp macro="" textlink="">
                <xdr:nvSpPr>
                  <xdr:cNvPr id="56" name="CuadroTexto 55">
                    <a:extLst>
                      <a:ext uri="{FF2B5EF4-FFF2-40B4-BE49-F238E27FC236}">
                        <a16:creationId xmlns:a16="http://schemas.microsoft.com/office/drawing/2014/main" id="{334B39C1-9CC3-4B8A-BF6B-DB794B879B3F}"/>
                      </a:ext>
                    </a:extLst>
                  </xdr:cNvPr>
                  <xdr:cNvSpPr txBox="1"/>
                </xdr:nvSpPr>
                <xdr:spPr>
                  <a:xfrm>
                    <a:off x="7189471" y="1480521"/>
                    <a:ext cx="392192" cy="5454870"/>
                  </a:xfrm>
                  <a:prstGeom prst="rect">
                    <a:avLst/>
                  </a:prstGeom>
                  <a:noFill/>
                  <a:ln w="12700" cmpd="sng">
                    <a:solidFill>
                      <a:schemeClr val="tx1"/>
                    </a:solidFill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vert="vert" wrap="square" rtlCol="0" anchor="t"/>
                  <a:lstStyle/>
                  <a:p>
                    <a:pPr algn="l"/>
                    <a:r>
                      <a:rPr lang="es-ES" sz="1100" b="1"/>
                      <a:t>O0</a:t>
                    </a:r>
                  </a:p>
                </xdr:txBody>
              </xdr:sp>
            </xdr:grpSp>
          </xdr:grpSp>
          <xdr:grpSp>
            <xdr:nvGrpSpPr>
              <xdr:cNvPr id="59" name="Grupo 58">
                <a:extLst>
                  <a:ext uri="{FF2B5EF4-FFF2-40B4-BE49-F238E27FC236}">
                    <a16:creationId xmlns:a16="http://schemas.microsoft.com/office/drawing/2014/main" id="{8E13A830-07C2-4FA6-982D-6FE53C368622}"/>
                  </a:ext>
                </a:extLst>
              </xdr:cNvPr>
              <xdr:cNvGrpSpPr/>
            </xdr:nvGrpSpPr>
            <xdr:grpSpPr>
              <a:xfrm>
                <a:off x="7961524" y="1200150"/>
                <a:ext cx="779859" cy="5737261"/>
                <a:chOff x="7182175" y="1198981"/>
                <a:chExt cx="779859" cy="5737261"/>
              </a:xfrm>
            </xdr:grpSpPr>
            <xdr:sp macro="" textlink="">
              <xdr:nvSpPr>
                <xdr:cNvPr id="60" name="CuadroTexto 59">
                  <a:extLst>
                    <a:ext uri="{FF2B5EF4-FFF2-40B4-BE49-F238E27FC236}">
                      <a16:creationId xmlns:a16="http://schemas.microsoft.com/office/drawing/2014/main" id="{F2000FE2-BF1F-4E72-E9F7-390F2A14C7ED}"/>
                    </a:ext>
                  </a:extLst>
                </xdr:cNvPr>
                <xdr:cNvSpPr txBox="1"/>
              </xdr:nvSpPr>
              <xdr:spPr>
                <a:xfrm>
                  <a:off x="7182175" y="1198981"/>
                  <a:ext cx="779859" cy="5735219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Python</a:t>
                  </a:r>
                </a:p>
              </xdr:txBody>
            </xdr:sp>
            <xdr:sp macro="" textlink="">
              <xdr:nvSpPr>
                <xdr:cNvPr id="61" name="CuadroTexto 60">
                  <a:extLst>
                    <a:ext uri="{FF2B5EF4-FFF2-40B4-BE49-F238E27FC236}">
                      <a16:creationId xmlns:a16="http://schemas.microsoft.com/office/drawing/2014/main" id="{B2844349-9A9D-FC8C-C1E3-F15033FC59D4}"/>
                    </a:ext>
                  </a:extLst>
                </xdr:cNvPr>
                <xdr:cNvSpPr txBox="1"/>
              </xdr:nvSpPr>
              <xdr:spPr>
                <a:xfrm>
                  <a:off x="7576146" y="1479778"/>
                  <a:ext cx="385548" cy="5456464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ctr" anchorCtr="0"/>
                <a:lstStyle/>
                <a:p>
                  <a:pPr algn="l"/>
                  <a:r>
                    <a:rPr lang="es-ES" sz="1100" b="1"/>
                    <a:t>Nuitka</a:t>
                  </a:r>
                </a:p>
              </xdr:txBody>
            </xdr:sp>
            <xdr:sp macro="" textlink="">
              <xdr:nvSpPr>
                <xdr:cNvPr id="62" name="CuadroTexto 61">
                  <a:extLst>
                    <a:ext uri="{FF2B5EF4-FFF2-40B4-BE49-F238E27FC236}">
                      <a16:creationId xmlns:a16="http://schemas.microsoft.com/office/drawing/2014/main" id="{D76E44CF-446F-B319-7776-0363B3555096}"/>
                    </a:ext>
                  </a:extLst>
                </xdr:cNvPr>
                <xdr:cNvSpPr txBox="1"/>
              </xdr:nvSpPr>
              <xdr:spPr>
                <a:xfrm>
                  <a:off x="7182890" y="1478047"/>
                  <a:ext cx="392192" cy="5454870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t"/>
                <a:lstStyle/>
                <a:p>
                  <a:pPr algn="l"/>
                  <a:r>
                    <a:rPr lang="es-ES" sz="1100" b="1"/>
                    <a:t>CPython</a:t>
                  </a:r>
                </a:p>
              </xdr:txBody>
            </xdr:sp>
          </xdr:grpSp>
          <xdr:grpSp>
            <xdr:nvGrpSpPr>
              <xdr:cNvPr id="63" name="Grupo 62">
                <a:extLst>
                  <a:ext uri="{FF2B5EF4-FFF2-40B4-BE49-F238E27FC236}">
                    <a16:creationId xmlns:a16="http://schemas.microsoft.com/office/drawing/2014/main" id="{CF69C8D3-6068-4C07-8F81-E0157B6897A4}"/>
                  </a:ext>
                </a:extLst>
              </xdr:cNvPr>
              <xdr:cNvGrpSpPr/>
            </xdr:nvGrpSpPr>
            <xdr:grpSpPr>
              <a:xfrm>
                <a:off x="8741518" y="1200911"/>
                <a:ext cx="776372" cy="5735518"/>
                <a:chOff x="7182175" y="1200724"/>
                <a:chExt cx="781330" cy="5735518"/>
              </a:xfrm>
            </xdr:grpSpPr>
            <xdr:sp macro="" textlink="">
              <xdr:nvSpPr>
                <xdr:cNvPr id="64" name="CuadroTexto 63">
                  <a:extLst>
                    <a:ext uri="{FF2B5EF4-FFF2-40B4-BE49-F238E27FC236}">
                      <a16:creationId xmlns:a16="http://schemas.microsoft.com/office/drawing/2014/main" id="{A723B163-4AC1-14B2-C3FF-E5A4610C1DA0}"/>
                    </a:ext>
                  </a:extLst>
                </xdr:cNvPr>
                <xdr:cNvSpPr txBox="1"/>
              </xdr:nvSpPr>
              <xdr:spPr>
                <a:xfrm>
                  <a:off x="7182175" y="1200724"/>
                  <a:ext cx="779859" cy="5733476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Java</a:t>
                  </a:r>
                </a:p>
              </xdr:txBody>
            </xdr:sp>
            <xdr:sp macro="" textlink="">
              <xdr:nvSpPr>
                <xdr:cNvPr id="65" name="CuadroTexto 64">
                  <a:extLst>
                    <a:ext uri="{FF2B5EF4-FFF2-40B4-BE49-F238E27FC236}">
                      <a16:creationId xmlns:a16="http://schemas.microsoft.com/office/drawing/2014/main" id="{2432822C-FB05-8391-2D69-5871BBDC2DC5}"/>
                    </a:ext>
                  </a:extLst>
                </xdr:cNvPr>
                <xdr:cNvSpPr txBox="1"/>
              </xdr:nvSpPr>
              <xdr:spPr>
                <a:xfrm>
                  <a:off x="7576146" y="1479778"/>
                  <a:ext cx="387359" cy="5456464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ctr" anchorCtr="0"/>
                <a:lstStyle/>
                <a:p>
                  <a:pPr algn="l"/>
                  <a:r>
                    <a:rPr lang="es-ES" sz="1100" b="1"/>
                    <a:t>JIT</a:t>
                  </a:r>
                  <a:r>
                    <a:rPr lang="es-ES" sz="1100" b="1" baseline="0"/>
                    <a:t> disabled</a:t>
                  </a:r>
                  <a:endParaRPr lang="es-ES" sz="1100" b="1"/>
                </a:p>
              </xdr:txBody>
            </xdr:sp>
            <xdr:sp macro="" textlink="">
              <xdr:nvSpPr>
                <xdr:cNvPr id="66" name="CuadroTexto 65">
                  <a:extLst>
                    <a:ext uri="{FF2B5EF4-FFF2-40B4-BE49-F238E27FC236}">
                      <a16:creationId xmlns:a16="http://schemas.microsoft.com/office/drawing/2014/main" id="{99B59007-67D3-FCA7-E68B-9B80E5346485}"/>
                    </a:ext>
                  </a:extLst>
                </xdr:cNvPr>
                <xdr:cNvSpPr txBox="1"/>
              </xdr:nvSpPr>
              <xdr:spPr>
                <a:xfrm>
                  <a:off x="7182890" y="1480521"/>
                  <a:ext cx="392192" cy="5454870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t"/>
                <a:lstStyle/>
                <a:p>
                  <a:pPr algn="l"/>
                  <a:r>
                    <a:rPr lang="es-ES" sz="1100" b="1"/>
                    <a:t>JIT enabled</a:t>
                  </a:r>
                </a:p>
              </xdr:txBody>
            </xdr:sp>
          </xdr:grpSp>
          <xdr:sp macro="" textlink="">
            <xdr:nvSpPr>
              <xdr:cNvPr id="20" name="Rectángulo 19">
                <a:extLst>
                  <a:ext uri="{FF2B5EF4-FFF2-40B4-BE49-F238E27FC236}">
                    <a16:creationId xmlns:a16="http://schemas.microsoft.com/office/drawing/2014/main" id="{BCC13E40-B69E-78FD-ED48-104FA6C3C37F}"/>
                  </a:ext>
                </a:extLst>
              </xdr:cNvPr>
              <xdr:cNvSpPr/>
            </xdr:nvSpPr>
            <xdr:spPr>
              <a:xfrm>
                <a:off x="7183721" y="917409"/>
                <a:ext cx="2333625" cy="6017982"/>
              </a:xfrm>
              <a:prstGeom prst="rect">
                <a:avLst/>
              </a:prstGeom>
              <a:noFill/>
              <a:ln w="12700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s-ES" sz="1100"/>
              </a:p>
            </xdr:txBody>
          </xdr:sp>
        </xdr:grpSp>
      </xdr:grpSp>
      <xdr:grpSp>
        <xdr:nvGrpSpPr>
          <xdr:cNvPr id="188" name="Grupo 187">
            <a:extLst>
              <a:ext uri="{FF2B5EF4-FFF2-40B4-BE49-F238E27FC236}">
                <a16:creationId xmlns:a16="http://schemas.microsoft.com/office/drawing/2014/main" id="{E038E9C8-E3CE-46B9-A0EB-BE5EEAB4C7B8}"/>
              </a:ext>
            </a:extLst>
          </xdr:cNvPr>
          <xdr:cNvGrpSpPr/>
        </xdr:nvGrpSpPr>
        <xdr:grpSpPr>
          <a:xfrm>
            <a:off x="9343656" y="915944"/>
            <a:ext cx="2429074" cy="6020002"/>
            <a:chOff x="7098583" y="917409"/>
            <a:chExt cx="2418627" cy="6020002"/>
          </a:xfrm>
        </xdr:grpSpPr>
        <xdr:sp macro="" textlink="">
          <xdr:nvSpPr>
            <xdr:cNvPr id="189" name="CuadroTexto 188">
              <a:extLst>
                <a:ext uri="{FF2B5EF4-FFF2-40B4-BE49-F238E27FC236}">
                  <a16:creationId xmlns:a16="http://schemas.microsoft.com/office/drawing/2014/main" id="{73586116-BDBB-E1E2-0C4E-265FC190379E}"/>
                </a:ext>
              </a:extLst>
            </xdr:cNvPr>
            <xdr:cNvSpPr txBox="1"/>
          </xdr:nvSpPr>
          <xdr:spPr>
            <a:xfrm>
              <a:off x="7098583" y="927651"/>
              <a:ext cx="2344832" cy="195696"/>
            </a:xfrm>
            <a:prstGeom prst="rect">
              <a:avLst/>
            </a:prstGeom>
            <a:noFill/>
            <a:ln w="12700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s-ES" sz="1100" b="1"/>
                <a:t>T5</a:t>
              </a:r>
            </a:p>
          </xdr:txBody>
        </xdr:sp>
        <xdr:grpSp>
          <xdr:nvGrpSpPr>
            <xdr:cNvPr id="190" name="Grupo 189">
              <a:extLst>
                <a:ext uri="{FF2B5EF4-FFF2-40B4-BE49-F238E27FC236}">
                  <a16:creationId xmlns:a16="http://schemas.microsoft.com/office/drawing/2014/main" id="{1F9DF15E-40A3-6A2E-C37D-3C118CB2E50E}"/>
                </a:ext>
              </a:extLst>
            </xdr:cNvPr>
            <xdr:cNvGrpSpPr/>
          </xdr:nvGrpSpPr>
          <xdr:grpSpPr>
            <a:xfrm>
              <a:off x="7183041" y="917409"/>
              <a:ext cx="2334169" cy="6020002"/>
              <a:chOff x="7183721" y="917409"/>
              <a:chExt cx="2334169" cy="6020002"/>
            </a:xfrm>
          </xdr:grpSpPr>
          <xdr:grpSp>
            <xdr:nvGrpSpPr>
              <xdr:cNvPr id="191" name="Grupo 190">
                <a:extLst>
                  <a:ext uri="{FF2B5EF4-FFF2-40B4-BE49-F238E27FC236}">
                    <a16:creationId xmlns:a16="http://schemas.microsoft.com/office/drawing/2014/main" id="{6E9D9F2D-7813-05D1-AA48-33DBC5426CB1}"/>
                  </a:ext>
                </a:extLst>
              </xdr:cNvPr>
              <xdr:cNvGrpSpPr/>
            </xdr:nvGrpSpPr>
            <xdr:grpSpPr>
              <a:xfrm>
                <a:off x="7183721" y="1200724"/>
                <a:ext cx="779859" cy="5734667"/>
                <a:chOff x="7188756" y="1200724"/>
                <a:chExt cx="779859" cy="5734667"/>
              </a:xfrm>
            </xdr:grpSpPr>
            <xdr:sp macro="" textlink="">
              <xdr:nvSpPr>
                <xdr:cNvPr id="201" name="CuadroTexto 200">
                  <a:extLst>
                    <a:ext uri="{FF2B5EF4-FFF2-40B4-BE49-F238E27FC236}">
                      <a16:creationId xmlns:a16="http://schemas.microsoft.com/office/drawing/2014/main" id="{E16C0954-DFF7-E840-6A14-C45631416036}"/>
                    </a:ext>
                  </a:extLst>
                </xdr:cNvPr>
                <xdr:cNvSpPr txBox="1"/>
              </xdr:nvSpPr>
              <xdr:spPr>
                <a:xfrm>
                  <a:off x="7188756" y="1200724"/>
                  <a:ext cx="779859" cy="5733476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C</a:t>
                  </a:r>
                </a:p>
              </xdr:txBody>
            </xdr:sp>
            <xdr:grpSp>
              <xdr:nvGrpSpPr>
                <xdr:cNvPr id="202" name="Grupo 201">
                  <a:extLst>
                    <a:ext uri="{FF2B5EF4-FFF2-40B4-BE49-F238E27FC236}">
                      <a16:creationId xmlns:a16="http://schemas.microsoft.com/office/drawing/2014/main" id="{8218DA57-CB35-CB16-AFC6-D41E9ED86BAC}"/>
                    </a:ext>
                  </a:extLst>
                </xdr:cNvPr>
                <xdr:cNvGrpSpPr/>
              </xdr:nvGrpSpPr>
              <xdr:grpSpPr>
                <a:xfrm>
                  <a:off x="7189471" y="1479778"/>
                  <a:ext cx="777289" cy="5455613"/>
                  <a:chOff x="7189471" y="1479778"/>
                  <a:chExt cx="777289" cy="5455613"/>
                </a:xfrm>
              </xdr:grpSpPr>
              <xdr:sp macro="" textlink="">
                <xdr:nvSpPr>
                  <xdr:cNvPr id="203" name="CuadroTexto 202">
                    <a:extLst>
                      <a:ext uri="{FF2B5EF4-FFF2-40B4-BE49-F238E27FC236}">
                        <a16:creationId xmlns:a16="http://schemas.microsoft.com/office/drawing/2014/main" id="{637E7FB6-83AC-66A0-ED73-0D9B68E9E6B3}"/>
                      </a:ext>
                    </a:extLst>
                  </xdr:cNvPr>
                  <xdr:cNvSpPr txBox="1"/>
                </xdr:nvSpPr>
                <xdr:spPr>
                  <a:xfrm>
                    <a:off x="7582727" y="1479778"/>
                    <a:ext cx="384033" cy="5454917"/>
                  </a:xfrm>
                  <a:prstGeom prst="rect">
                    <a:avLst/>
                  </a:prstGeom>
                  <a:noFill/>
                  <a:ln w="12700" cmpd="sng">
                    <a:solidFill>
                      <a:schemeClr val="tx1"/>
                    </a:solidFill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vert="vert" wrap="square" rtlCol="0" anchor="ctr" anchorCtr="0"/>
                  <a:lstStyle/>
                  <a:p>
                    <a:pPr algn="l"/>
                    <a:r>
                      <a:rPr lang="es-ES" sz="1100" b="1"/>
                      <a:t>O3</a:t>
                    </a:r>
                  </a:p>
                </xdr:txBody>
              </xdr:sp>
              <xdr:sp macro="" textlink="">
                <xdr:nvSpPr>
                  <xdr:cNvPr id="204" name="CuadroTexto 203">
                    <a:extLst>
                      <a:ext uri="{FF2B5EF4-FFF2-40B4-BE49-F238E27FC236}">
                        <a16:creationId xmlns:a16="http://schemas.microsoft.com/office/drawing/2014/main" id="{CA034BDE-04FF-1CCD-C898-ED1919BD9E1F}"/>
                      </a:ext>
                    </a:extLst>
                  </xdr:cNvPr>
                  <xdr:cNvSpPr txBox="1"/>
                </xdr:nvSpPr>
                <xdr:spPr>
                  <a:xfrm>
                    <a:off x="7189471" y="1480521"/>
                    <a:ext cx="392192" cy="5454870"/>
                  </a:xfrm>
                  <a:prstGeom prst="rect">
                    <a:avLst/>
                  </a:prstGeom>
                  <a:noFill/>
                  <a:ln w="12700" cmpd="sng">
                    <a:solidFill>
                      <a:schemeClr val="tx1"/>
                    </a:solidFill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vert="vert" wrap="square" rtlCol="0" anchor="t"/>
                  <a:lstStyle/>
                  <a:p>
                    <a:pPr algn="l"/>
                    <a:r>
                      <a:rPr lang="es-ES" sz="1100" b="1"/>
                      <a:t>O0</a:t>
                    </a:r>
                  </a:p>
                </xdr:txBody>
              </xdr:sp>
            </xdr:grpSp>
          </xdr:grpSp>
          <xdr:grpSp>
            <xdr:nvGrpSpPr>
              <xdr:cNvPr id="192" name="Grupo 191">
                <a:extLst>
                  <a:ext uri="{FF2B5EF4-FFF2-40B4-BE49-F238E27FC236}">
                    <a16:creationId xmlns:a16="http://schemas.microsoft.com/office/drawing/2014/main" id="{02144375-1BA6-E4FF-238A-4B48824DE802}"/>
                  </a:ext>
                </a:extLst>
              </xdr:cNvPr>
              <xdr:cNvGrpSpPr/>
            </xdr:nvGrpSpPr>
            <xdr:grpSpPr>
              <a:xfrm>
                <a:off x="7961524" y="1200150"/>
                <a:ext cx="779859" cy="5737261"/>
                <a:chOff x="7182175" y="1198981"/>
                <a:chExt cx="779859" cy="5737261"/>
              </a:xfrm>
            </xdr:grpSpPr>
            <xdr:sp macro="" textlink="">
              <xdr:nvSpPr>
                <xdr:cNvPr id="198" name="CuadroTexto 197">
                  <a:extLst>
                    <a:ext uri="{FF2B5EF4-FFF2-40B4-BE49-F238E27FC236}">
                      <a16:creationId xmlns:a16="http://schemas.microsoft.com/office/drawing/2014/main" id="{B08CB9D4-EED6-70D9-8981-6A810E95F635}"/>
                    </a:ext>
                  </a:extLst>
                </xdr:cNvPr>
                <xdr:cNvSpPr txBox="1"/>
              </xdr:nvSpPr>
              <xdr:spPr>
                <a:xfrm>
                  <a:off x="7182175" y="1198981"/>
                  <a:ext cx="779859" cy="5735219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Python</a:t>
                  </a:r>
                </a:p>
              </xdr:txBody>
            </xdr:sp>
            <xdr:sp macro="" textlink="">
              <xdr:nvSpPr>
                <xdr:cNvPr id="199" name="CuadroTexto 198">
                  <a:extLst>
                    <a:ext uri="{FF2B5EF4-FFF2-40B4-BE49-F238E27FC236}">
                      <a16:creationId xmlns:a16="http://schemas.microsoft.com/office/drawing/2014/main" id="{4025F7B6-E416-896D-80CF-DDB188AE2AEA}"/>
                    </a:ext>
                  </a:extLst>
                </xdr:cNvPr>
                <xdr:cNvSpPr txBox="1"/>
              </xdr:nvSpPr>
              <xdr:spPr>
                <a:xfrm>
                  <a:off x="7576146" y="1479778"/>
                  <a:ext cx="385548" cy="5456464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ctr" anchorCtr="0"/>
                <a:lstStyle/>
                <a:p>
                  <a:pPr algn="l"/>
                  <a:r>
                    <a:rPr lang="es-ES" sz="1100" b="1"/>
                    <a:t>Nuitka</a:t>
                  </a:r>
                </a:p>
              </xdr:txBody>
            </xdr:sp>
            <xdr:sp macro="" textlink="">
              <xdr:nvSpPr>
                <xdr:cNvPr id="200" name="CuadroTexto 199">
                  <a:extLst>
                    <a:ext uri="{FF2B5EF4-FFF2-40B4-BE49-F238E27FC236}">
                      <a16:creationId xmlns:a16="http://schemas.microsoft.com/office/drawing/2014/main" id="{825DAA00-F21D-FCC5-5449-78DCDB1E07B7}"/>
                    </a:ext>
                  </a:extLst>
                </xdr:cNvPr>
                <xdr:cNvSpPr txBox="1"/>
              </xdr:nvSpPr>
              <xdr:spPr>
                <a:xfrm>
                  <a:off x="7182890" y="1478047"/>
                  <a:ext cx="392192" cy="5454870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t"/>
                <a:lstStyle/>
                <a:p>
                  <a:pPr algn="l"/>
                  <a:r>
                    <a:rPr lang="es-ES" sz="1100" b="1"/>
                    <a:t>CPython</a:t>
                  </a:r>
                </a:p>
              </xdr:txBody>
            </xdr:sp>
          </xdr:grpSp>
          <xdr:grpSp>
            <xdr:nvGrpSpPr>
              <xdr:cNvPr id="193" name="Grupo 192">
                <a:extLst>
                  <a:ext uri="{FF2B5EF4-FFF2-40B4-BE49-F238E27FC236}">
                    <a16:creationId xmlns:a16="http://schemas.microsoft.com/office/drawing/2014/main" id="{70024289-E0D5-A73A-D848-7AFCDFB5D20F}"/>
                  </a:ext>
                </a:extLst>
              </xdr:cNvPr>
              <xdr:cNvGrpSpPr/>
            </xdr:nvGrpSpPr>
            <xdr:grpSpPr>
              <a:xfrm>
                <a:off x="8741518" y="1200911"/>
                <a:ext cx="776372" cy="5735518"/>
                <a:chOff x="7182175" y="1200724"/>
                <a:chExt cx="781330" cy="5735518"/>
              </a:xfrm>
            </xdr:grpSpPr>
            <xdr:sp macro="" textlink="">
              <xdr:nvSpPr>
                <xdr:cNvPr id="195" name="CuadroTexto 194">
                  <a:extLst>
                    <a:ext uri="{FF2B5EF4-FFF2-40B4-BE49-F238E27FC236}">
                      <a16:creationId xmlns:a16="http://schemas.microsoft.com/office/drawing/2014/main" id="{ACFD08A5-F73E-803A-57E4-82F5791F5A41}"/>
                    </a:ext>
                  </a:extLst>
                </xdr:cNvPr>
                <xdr:cNvSpPr txBox="1"/>
              </xdr:nvSpPr>
              <xdr:spPr>
                <a:xfrm>
                  <a:off x="7182175" y="1200724"/>
                  <a:ext cx="779859" cy="5733476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Java</a:t>
                  </a:r>
                </a:p>
              </xdr:txBody>
            </xdr:sp>
            <xdr:sp macro="" textlink="">
              <xdr:nvSpPr>
                <xdr:cNvPr id="196" name="CuadroTexto 195">
                  <a:extLst>
                    <a:ext uri="{FF2B5EF4-FFF2-40B4-BE49-F238E27FC236}">
                      <a16:creationId xmlns:a16="http://schemas.microsoft.com/office/drawing/2014/main" id="{B7C07298-B304-955E-5A2F-C2AAE0085EAC}"/>
                    </a:ext>
                  </a:extLst>
                </xdr:cNvPr>
                <xdr:cNvSpPr txBox="1"/>
              </xdr:nvSpPr>
              <xdr:spPr>
                <a:xfrm>
                  <a:off x="7576146" y="1479778"/>
                  <a:ext cx="387359" cy="5456464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ctr" anchorCtr="0"/>
                <a:lstStyle/>
                <a:p>
                  <a:pPr algn="l"/>
                  <a:r>
                    <a:rPr lang="es-ES" sz="1100" b="1"/>
                    <a:t>JIT</a:t>
                  </a:r>
                  <a:r>
                    <a:rPr lang="es-ES" sz="1100" b="1" baseline="0"/>
                    <a:t> disabled</a:t>
                  </a:r>
                  <a:endParaRPr lang="es-ES" sz="1100" b="1"/>
                </a:p>
              </xdr:txBody>
            </xdr:sp>
            <xdr:sp macro="" textlink="">
              <xdr:nvSpPr>
                <xdr:cNvPr id="197" name="CuadroTexto 196">
                  <a:extLst>
                    <a:ext uri="{FF2B5EF4-FFF2-40B4-BE49-F238E27FC236}">
                      <a16:creationId xmlns:a16="http://schemas.microsoft.com/office/drawing/2014/main" id="{9DF06975-FEFA-D8D8-FBD0-DBC935537876}"/>
                    </a:ext>
                  </a:extLst>
                </xdr:cNvPr>
                <xdr:cNvSpPr txBox="1"/>
              </xdr:nvSpPr>
              <xdr:spPr>
                <a:xfrm>
                  <a:off x="7182890" y="1480521"/>
                  <a:ext cx="392192" cy="5454870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t"/>
                <a:lstStyle/>
                <a:p>
                  <a:pPr algn="l"/>
                  <a:r>
                    <a:rPr lang="es-ES" sz="1100" b="1"/>
                    <a:t>JIT enabled</a:t>
                  </a:r>
                </a:p>
              </xdr:txBody>
            </xdr:sp>
          </xdr:grpSp>
          <xdr:sp macro="" textlink="">
            <xdr:nvSpPr>
              <xdr:cNvPr id="194" name="Rectángulo 193">
                <a:extLst>
                  <a:ext uri="{FF2B5EF4-FFF2-40B4-BE49-F238E27FC236}">
                    <a16:creationId xmlns:a16="http://schemas.microsoft.com/office/drawing/2014/main" id="{CD1F2FDE-921A-2087-524B-04EBEFE52A6C}"/>
                  </a:ext>
                </a:extLst>
              </xdr:cNvPr>
              <xdr:cNvSpPr/>
            </xdr:nvSpPr>
            <xdr:spPr>
              <a:xfrm>
                <a:off x="7183721" y="917409"/>
                <a:ext cx="2333625" cy="6017982"/>
              </a:xfrm>
              <a:prstGeom prst="rect">
                <a:avLst/>
              </a:prstGeom>
              <a:noFill/>
              <a:ln w="12700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s-ES" sz="1100"/>
              </a:p>
            </xdr:txBody>
          </xdr:sp>
        </xdr:grpSp>
      </xdr:grpSp>
      <xdr:grpSp>
        <xdr:nvGrpSpPr>
          <xdr:cNvPr id="222" name="Grupo 221">
            <a:extLst>
              <a:ext uri="{FF2B5EF4-FFF2-40B4-BE49-F238E27FC236}">
                <a16:creationId xmlns:a16="http://schemas.microsoft.com/office/drawing/2014/main" id="{5B9EA771-D836-4D64-973F-85129551E1B7}"/>
              </a:ext>
            </a:extLst>
          </xdr:cNvPr>
          <xdr:cNvGrpSpPr/>
        </xdr:nvGrpSpPr>
        <xdr:grpSpPr>
          <a:xfrm>
            <a:off x="11687723" y="914479"/>
            <a:ext cx="2472210" cy="6020002"/>
            <a:chOff x="7098583" y="917409"/>
            <a:chExt cx="2418627" cy="6020002"/>
          </a:xfrm>
        </xdr:grpSpPr>
        <xdr:sp macro="" textlink="">
          <xdr:nvSpPr>
            <xdr:cNvPr id="223" name="CuadroTexto 222">
              <a:extLst>
                <a:ext uri="{FF2B5EF4-FFF2-40B4-BE49-F238E27FC236}">
                  <a16:creationId xmlns:a16="http://schemas.microsoft.com/office/drawing/2014/main" id="{0B6C39DF-85E5-F73E-17BD-3F478CAC0AAD}"/>
                </a:ext>
              </a:extLst>
            </xdr:cNvPr>
            <xdr:cNvSpPr txBox="1"/>
          </xdr:nvSpPr>
          <xdr:spPr>
            <a:xfrm>
              <a:off x="7098583" y="927651"/>
              <a:ext cx="2344832" cy="195696"/>
            </a:xfrm>
            <a:prstGeom prst="rect">
              <a:avLst/>
            </a:prstGeom>
            <a:noFill/>
            <a:ln w="12700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s-ES" sz="1100" b="1"/>
                <a:t>T7</a:t>
              </a:r>
            </a:p>
          </xdr:txBody>
        </xdr:sp>
        <xdr:grpSp>
          <xdr:nvGrpSpPr>
            <xdr:cNvPr id="224" name="Grupo 223">
              <a:extLst>
                <a:ext uri="{FF2B5EF4-FFF2-40B4-BE49-F238E27FC236}">
                  <a16:creationId xmlns:a16="http://schemas.microsoft.com/office/drawing/2014/main" id="{DFA27EFE-961A-1A74-0D31-4B81ACB1BF09}"/>
                </a:ext>
              </a:extLst>
            </xdr:cNvPr>
            <xdr:cNvGrpSpPr/>
          </xdr:nvGrpSpPr>
          <xdr:grpSpPr>
            <a:xfrm>
              <a:off x="7183040" y="917409"/>
              <a:ext cx="2334170" cy="6020002"/>
              <a:chOff x="7183720" y="917409"/>
              <a:chExt cx="2334170" cy="6020002"/>
            </a:xfrm>
          </xdr:grpSpPr>
          <xdr:grpSp>
            <xdr:nvGrpSpPr>
              <xdr:cNvPr id="225" name="Grupo 224">
                <a:extLst>
                  <a:ext uri="{FF2B5EF4-FFF2-40B4-BE49-F238E27FC236}">
                    <a16:creationId xmlns:a16="http://schemas.microsoft.com/office/drawing/2014/main" id="{5E9810FA-01D9-3644-8B75-DE12638AD1FB}"/>
                  </a:ext>
                </a:extLst>
              </xdr:cNvPr>
              <xdr:cNvGrpSpPr/>
            </xdr:nvGrpSpPr>
            <xdr:grpSpPr>
              <a:xfrm>
                <a:off x="7183721" y="1200724"/>
                <a:ext cx="779859" cy="5734667"/>
                <a:chOff x="7188756" y="1200724"/>
                <a:chExt cx="779859" cy="5734667"/>
              </a:xfrm>
            </xdr:grpSpPr>
            <xdr:sp macro="" textlink="">
              <xdr:nvSpPr>
                <xdr:cNvPr id="235" name="CuadroTexto 234">
                  <a:extLst>
                    <a:ext uri="{FF2B5EF4-FFF2-40B4-BE49-F238E27FC236}">
                      <a16:creationId xmlns:a16="http://schemas.microsoft.com/office/drawing/2014/main" id="{27B5428E-3138-27D1-68F4-020BED60FCF9}"/>
                    </a:ext>
                  </a:extLst>
                </xdr:cNvPr>
                <xdr:cNvSpPr txBox="1"/>
              </xdr:nvSpPr>
              <xdr:spPr>
                <a:xfrm>
                  <a:off x="7188756" y="1200724"/>
                  <a:ext cx="779859" cy="5733476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C</a:t>
                  </a:r>
                </a:p>
              </xdr:txBody>
            </xdr:sp>
            <xdr:grpSp>
              <xdr:nvGrpSpPr>
                <xdr:cNvPr id="236" name="Grupo 235">
                  <a:extLst>
                    <a:ext uri="{FF2B5EF4-FFF2-40B4-BE49-F238E27FC236}">
                      <a16:creationId xmlns:a16="http://schemas.microsoft.com/office/drawing/2014/main" id="{A1269200-E6B8-24ED-5624-E5AFF81D2262}"/>
                    </a:ext>
                  </a:extLst>
                </xdr:cNvPr>
                <xdr:cNvGrpSpPr/>
              </xdr:nvGrpSpPr>
              <xdr:grpSpPr>
                <a:xfrm>
                  <a:off x="7189471" y="1479778"/>
                  <a:ext cx="777289" cy="5455613"/>
                  <a:chOff x="7189471" y="1479778"/>
                  <a:chExt cx="777289" cy="5455613"/>
                </a:xfrm>
              </xdr:grpSpPr>
              <xdr:sp macro="" textlink="">
                <xdr:nvSpPr>
                  <xdr:cNvPr id="237" name="CuadroTexto 236">
                    <a:extLst>
                      <a:ext uri="{FF2B5EF4-FFF2-40B4-BE49-F238E27FC236}">
                        <a16:creationId xmlns:a16="http://schemas.microsoft.com/office/drawing/2014/main" id="{34D4E907-961B-B9DE-971A-500277A68F11}"/>
                      </a:ext>
                    </a:extLst>
                  </xdr:cNvPr>
                  <xdr:cNvSpPr txBox="1"/>
                </xdr:nvSpPr>
                <xdr:spPr>
                  <a:xfrm>
                    <a:off x="7582727" y="1479778"/>
                    <a:ext cx="384033" cy="5454917"/>
                  </a:xfrm>
                  <a:prstGeom prst="rect">
                    <a:avLst/>
                  </a:prstGeom>
                  <a:noFill/>
                  <a:ln w="12700" cmpd="sng">
                    <a:solidFill>
                      <a:schemeClr val="tx1"/>
                    </a:solidFill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vert="vert" wrap="square" rtlCol="0" anchor="ctr" anchorCtr="0"/>
                  <a:lstStyle/>
                  <a:p>
                    <a:pPr algn="l"/>
                    <a:r>
                      <a:rPr lang="es-ES" sz="1100" b="1"/>
                      <a:t>O3</a:t>
                    </a:r>
                  </a:p>
                </xdr:txBody>
              </xdr:sp>
              <xdr:sp macro="" textlink="">
                <xdr:nvSpPr>
                  <xdr:cNvPr id="238" name="CuadroTexto 237">
                    <a:extLst>
                      <a:ext uri="{FF2B5EF4-FFF2-40B4-BE49-F238E27FC236}">
                        <a16:creationId xmlns:a16="http://schemas.microsoft.com/office/drawing/2014/main" id="{1C0E8656-C614-3EED-EC75-2C25ABCED715}"/>
                      </a:ext>
                    </a:extLst>
                  </xdr:cNvPr>
                  <xdr:cNvSpPr txBox="1"/>
                </xdr:nvSpPr>
                <xdr:spPr>
                  <a:xfrm>
                    <a:off x="7189471" y="1480521"/>
                    <a:ext cx="392192" cy="5454870"/>
                  </a:xfrm>
                  <a:prstGeom prst="rect">
                    <a:avLst/>
                  </a:prstGeom>
                  <a:noFill/>
                  <a:ln w="12700" cmpd="sng">
                    <a:solidFill>
                      <a:schemeClr val="tx1"/>
                    </a:solidFill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vert="vert" wrap="square" rtlCol="0" anchor="t"/>
                  <a:lstStyle/>
                  <a:p>
                    <a:pPr algn="l"/>
                    <a:r>
                      <a:rPr lang="es-ES" sz="1100" b="1"/>
                      <a:t>O0</a:t>
                    </a:r>
                  </a:p>
                </xdr:txBody>
              </xdr:sp>
            </xdr:grpSp>
          </xdr:grpSp>
          <xdr:grpSp>
            <xdr:nvGrpSpPr>
              <xdr:cNvPr id="226" name="Grupo 225">
                <a:extLst>
                  <a:ext uri="{FF2B5EF4-FFF2-40B4-BE49-F238E27FC236}">
                    <a16:creationId xmlns:a16="http://schemas.microsoft.com/office/drawing/2014/main" id="{E270C054-A3B4-C444-7087-EEF985AEAFA8}"/>
                  </a:ext>
                </a:extLst>
              </xdr:cNvPr>
              <xdr:cNvGrpSpPr/>
            </xdr:nvGrpSpPr>
            <xdr:grpSpPr>
              <a:xfrm>
                <a:off x="7961524" y="1200150"/>
                <a:ext cx="779859" cy="5737261"/>
                <a:chOff x="7182175" y="1198981"/>
                <a:chExt cx="779859" cy="5737261"/>
              </a:xfrm>
            </xdr:grpSpPr>
            <xdr:sp macro="" textlink="">
              <xdr:nvSpPr>
                <xdr:cNvPr id="232" name="CuadroTexto 231">
                  <a:extLst>
                    <a:ext uri="{FF2B5EF4-FFF2-40B4-BE49-F238E27FC236}">
                      <a16:creationId xmlns:a16="http://schemas.microsoft.com/office/drawing/2014/main" id="{AFB76CBB-B51C-37DD-ED17-965A8840D605}"/>
                    </a:ext>
                  </a:extLst>
                </xdr:cNvPr>
                <xdr:cNvSpPr txBox="1"/>
              </xdr:nvSpPr>
              <xdr:spPr>
                <a:xfrm>
                  <a:off x="7182175" y="1198981"/>
                  <a:ext cx="779859" cy="5735219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Python</a:t>
                  </a:r>
                </a:p>
              </xdr:txBody>
            </xdr:sp>
            <xdr:sp macro="" textlink="">
              <xdr:nvSpPr>
                <xdr:cNvPr id="233" name="CuadroTexto 232">
                  <a:extLst>
                    <a:ext uri="{FF2B5EF4-FFF2-40B4-BE49-F238E27FC236}">
                      <a16:creationId xmlns:a16="http://schemas.microsoft.com/office/drawing/2014/main" id="{E97E170A-2B9C-CD3D-BFB3-D57EC1C4C2FE}"/>
                    </a:ext>
                  </a:extLst>
                </xdr:cNvPr>
                <xdr:cNvSpPr txBox="1"/>
              </xdr:nvSpPr>
              <xdr:spPr>
                <a:xfrm>
                  <a:off x="7576146" y="1479778"/>
                  <a:ext cx="385548" cy="5456464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ctr" anchorCtr="0"/>
                <a:lstStyle/>
                <a:p>
                  <a:pPr algn="l"/>
                  <a:r>
                    <a:rPr lang="es-ES" sz="1100" b="1"/>
                    <a:t>Nuitka</a:t>
                  </a:r>
                </a:p>
              </xdr:txBody>
            </xdr:sp>
            <xdr:sp macro="" textlink="">
              <xdr:nvSpPr>
                <xdr:cNvPr id="234" name="CuadroTexto 233">
                  <a:extLst>
                    <a:ext uri="{FF2B5EF4-FFF2-40B4-BE49-F238E27FC236}">
                      <a16:creationId xmlns:a16="http://schemas.microsoft.com/office/drawing/2014/main" id="{07BEDD28-476C-D8F2-5F22-88DE841D8E38}"/>
                    </a:ext>
                  </a:extLst>
                </xdr:cNvPr>
                <xdr:cNvSpPr txBox="1"/>
              </xdr:nvSpPr>
              <xdr:spPr>
                <a:xfrm>
                  <a:off x="7182890" y="1478047"/>
                  <a:ext cx="392192" cy="5454870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t"/>
                <a:lstStyle/>
                <a:p>
                  <a:pPr algn="l"/>
                  <a:r>
                    <a:rPr lang="es-ES" sz="1100" b="1"/>
                    <a:t>CPython</a:t>
                  </a:r>
                </a:p>
              </xdr:txBody>
            </xdr:sp>
          </xdr:grpSp>
          <xdr:grpSp>
            <xdr:nvGrpSpPr>
              <xdr:cNvPr id="227" name="Grupo 226">
                <a:extLst>
                  <a:ext uri="{FF2B5EF4-FFF2-40B4-BE49-F238E27FC236}">
                    <a16:creationId xmlns:a16="http://schemas.microsoft.com/office/drawing/2014/main" id="{6086B4C4-31C2-23F3-A6D2-DB3043223236}"/>
                  </a:ext>
                </a:extLst>
              </xdr:cNvPr>
              <xdr:cNvGrpSpPr/>
            </xdr:nvGrpSpPr>
            <xdr:grpSpPr>
              <a:xfrm>
                <a:off x="8741518" y="1200911"/>
                <a:ext cx="776372" cy="5735518"/>
                <a:chOff x="7182175" y="1200724"/>
                <a:chExt cx="781330" cy="5735518"/>
              </a:xfrm>
            </xdr:grpSpPr>
            <xdr:sp macro="" textlink="">
              <xdr:nvSpPr>
                <xdr:cNvPr id="229" name="CuadroTexto 228">
                  <a:extLst>
                    <a:ext uri="{FF2B5EF4-FFF2-40B4-BE49-F238E27FC236}">
                      <a16:creationId xmlns:a16="http://schemas.microsoft.com/office/drawing/2014/main" id="{56AB1978-F484-576C-56CB-62AC91CDD4AC}"/>
                    </a:ext>
                  </a:extLst>
                </xdr:cNvPr>
                <xdr:cNvSpPr txBox="1"/>
              </xdr:nvSpPr>
              <xdr:spPr>
                <a:xfrm>
                  <a:off x="7182175" y="1200724"/>
                  <a:ext cx="779859" cy="5733476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Java</a:t>
                  </a:r>
                </a:p>
              </xdr:txBody>
            </xdr:sp>
            <xdr:sp macro="" textlink="">
              <xdr:nvSpPr>
                <xdr:cNvPr id="230" name="CuadroTexto 229">
                  <a:extLst>
                    <a:ext uri="{FF2B5EF4-FFF2-40B4-BE49-F238E27FC236}">
                      <a16:creationId xmlns:a16="http://schemas.microsoft.com/office/drawing/2014/main" id="{65355F2A-4A5B-700A-A393-D075AF1FE3F0}"/>
                    </a:ext>
                  </a:extLst>
                </xdr:cNvPr>
                <xdr:cNvSpPr txBox="1"/>
              </xdr:nvSpPr>
              <xdr:spPr>
                <a:xfrm>
                  <a:off x="7576146" y="1479778"/>
                  <a:ext cx="387359" cy="5456464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ctr" anchorCtr="0"/>
                <a:lstStyle/>
                <a:p>
                  <a:pPr algn="l"/>
                  <a:r>
                    <a:rPr lang="es-ES" sz="1100" b="1"/>
                    <a:t>JIT</a:t>
                  </a:r>
                  <a:r>
                    <a:rPr lang="es-ES" sz="1100" b="1" baseline="0"/>
                    <a:t> disabled</a:t>
                  </a:r>
                  <a:endParaRPr lang="es-ES" sz="1100" b="1"/>
                </a:p>
              </xdr:txBody>
            </xdr:sp>
            <xdr:sp macro="" textlink="">
              <xdr:nvSpPr>
                <xdr:cNvPr id="231" name="CuadroTexto 230">
                  <a:extLst>
                    <a:ext uri="{FF2B5EF4-FFF2-40B4-BE49-F238E27FC236}">
                      <a16:creationId xmlns:a16="http://schemas.microsoft.com/office/drawing/2014/main" id="{CDAB78A0-A3DC-32AB-71A6-55727CFC557F}"/>
                    </a:ext>
                  </a:extLst>
                </xdr:cNvPr>
                <xdr:cNvSpPr txBox="1"/>
              </xdr:nvSpPr>
              <xdr:spPr>
                <a:xfrm>
                  <a:off x="7182890" y="1480521"/>
                  <a:ext cx="392192" cy="5454870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t"/>
                <a:lstStyle/>
                <a:p>
                  <a:pPr algn="l"/>
                  <a:r>
                    <a:rPr lang="es-ES" sz="1100" b="1"/>
                    <a:t>JIT enabled</a:t>
                  </a:r>
                </a:p>
              </xdr:txBody>
            </xdr:sp>
          </xdr:grpSp>
          <xdr:sp macro="" textlink="">
            <xdr:nvSpPr>
              <xdr:cNvPr id="228" name="Rectángulo 227">
                <a:extLst>
                  <a:ext uri="{FF2B5EF4-FFF2-40B4-BE49-F238E27FC236}">
                    <a16:creationId xmlns:a16="http://schemas.microsoft.com/office/drawing/2014/main" id="{35D4E2B6-8859-9FFB-775E-BA8319657BD7}"/>
                  </a:ext>
                </a:extLst>
              </xdr:cNvPr>
              <xdr:cNvSpPr/>
            </xdr:nvSpPr>
            <xdr:spPr>
              <a:xfrm>
                <a:off x="7183720" y="917409"/>
                <a:ext cx="2333625" cy="6017982"/>
              </a:xfrm>
              <a:prstGeom prst="rect">
                <a:avLst/>
              </a:prstGeom>
              <a:noFill/>
              <a:ln w="12700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s-ES" sz="1100"/>
              </a:p>
            </xdr:txBody>
          </xdr:sp>
        </xdr:grpSp>
      </xdr:grpSp>
      <xdr:grpSp>
        <xdr:nvGrpSpPr>
          <xdr:cNvPr id="239" name="Grupo 238">
            <a:extLst>
              <a:ext uri="{FF2B5EF4-FFF2-40B4-BE49-F238E27FC236}">
                <a16:creationId xmlns:a16="http://schemas.microsoft.com/office/drawing/2014/main" id="{90FBB10D-2413-4B08-B9F5-068349618849}"/>
              </a:ext>
            </a:extLst>
          </xdr:cNvPr>
          <xdr:cNvGrpSpPr/>
        </xdr:nvGrpSpPr>
        <xdr:grpSpPr>
          <a:xfrm>
            <a:off x="14073460" y="915395"/>
            <a:ext cx="2463784" cy="6017982"/>
            <a:chOff x="7098583" y="919790"/>
            <a:chExt cx="2418627" cy="6017982"/>
          </a:xfrm>
        </xdr:grpSpPr>
        <xdr:sp macro="" textlink="">
          <xdr:nvSpPr>
            <xdr:cNvPr id="240" name="CuadroTexto 239">
              <a:extLst>
                <a:ext uri="{FF2B5EF4-FFF2-40B4-BE49-F238E27FC236}">
                  <a16:creationId xmlns:a16="http://schemas.microsoft.com/office/drawing/2014/main" id="{9C11F44A-778C-5112-F6FD-97C8154F6C83}"/>
                </a:ext>
              </a:extLst>
            </xdr:cNvPr>
            <xdr:cNvSpPr txBox="1"/>
          </xdr:nvSpPr>
          <xdr:spPr>
            <a:xfrm>
              <a:off x="7098583" y="927651"/>
              <a:ext cx="2344832" cy="195696"/>
            </a:xfrm>
            <a:prstGeom prst="rect">
              <a:avLst/>
            </a:prstGeom>
            <a:noFill/>
            <a:ln w="12700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s-ES" sz="1100" b="1"/>
                <a:t>T16</a:t>
              </a:r>
            </a:p>
          </xdr:txBody>
        </xdr:sp>
        <xdr:grpSp>
          <xdr:nvGrpSpPr>
            <xdr:cNvPr id="241" name="Grupo 240">
              <a:extLst>
                <a:ext uri="{FF2B5EF4-FFF2-40B4-BE49-F238E27FC236}">
                  <a16:creationId xmlns:a16="http://schemas.microsoft.com/office/drawing/2014/main" id="{D9E02D02-D70E-1368-EF26-7842A53CD7DA}"/>
                </a:ext>
              </a:extLst>
            </xdr:cNvPr>
            <xdr:cNvGrpSpPr/>
          </xdr:nvGrpSpPr>
          <xdr:grpSpPr>
            <a:xfrm>
              <a:off x="7183041" y="919790"/>
              <a:ext cx="2334169" cy="6017982"/>
              <a:chOff x="7183721" y="919790"/>
              <a:chExt cx="2334169" cy="6017982"/>
            </a:xfrm>
          </xdr:grpSpPr>
          <xdr:grpSp>
            <xdr:nvGrpSpPr>
              <xdr:cNvPr id="242" name="Grupo 241">
                <a:extLst>
                  <a:ext uri="{FF2B5EF4-FFF2-40B4-BE49-F238E27FC236}">
                    <a16:creationId xmlns:a16="http://schemas.microsoft.com/office/drawing/2014/main" id="{BDB66E3C-2720-5CE2-E549-2E730484DB38}"/>
                  </a:ext>
                </a:extLst>
              </xdr:cNvPr>
              <xdr:cNvGrpSpPr/>
            </xdr:nvGrpSpPr>
            <xdr:grpSpPr>
              <a:xfrm>
                <a:off x="7183721" y="1200724"/>
                <a:ext cx="779859" cy="5734667"/>
                <a:chOff x="7188756" y="1200724"/>
                <a:chExt cx="779859" cy="5734667"/>
              </a:xfrm>
            </xdr:grpSpPr>
            <xdr:sp macro="" textlink="">
              <xdr:nvSpPr>
                <xdr:cNvPr id="252" name="CuadroTexto 251">
                  <a:extLst>
                    <a:ext uri="{FF2B5EF4-FFF2-40B4-BE49-F238E27FC236}">
                      <a16:creationId xmlns:a16="http://schemas.microsoft.com/office/drawing/2014/main" id="{6C42B1D4-710D-28F4-F993-0A938BBA842E}"/>
                    </a:ext>
                  </a:extLst>
                </xdr:cNvPr>
                <xdr:cNvSpPr txBox="1"/>
              </xdr:nvSpPr>
              <xdr:spPr>
                <a:xfrm>
                  <a:off x="7188756" y="1200724"/>
                  <a:ext cx="779859" cy="5733476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C</a:t>
                  </a:r>
                </a:p>
              </xdr:txBody>
            </xdr:sp>
            <xdr:grpSp>
              <xdr:nvGrpSpPr>
                <xdr:cNvPr id="253" name="Grupo 252">
                  <a:extLst>
                    <a:ext uri="{FF2B5EF4-FFF2-40B4-BE49-F238E27FC236}">
                      <a16:creationId xmlns:a16="http://schemas.microsoft.com/office/drawing/2014/main" id="{FB4DA2D9-D4C6-AA6F-8A43-6337416CEADD}"/>
                    </a:ext>
                  </a:extLst>
                </xdr:cNvPr>
                <xdr:cNvGrpSpPr/>
              </xdr:nvGrpSpPr>
              <xdr:grpSpPr>
                <a:xfrm>
                  <a:off x="7189471" y="1479778"/>
                  <a:ext cx="777289" cy="5455613"/>
                  <a:chOff x="7189471" y="1479778"/>
                  <a:chExt cx="777289" cy="5455613"/>
                </a:xfrm>
              </xdr:grpSpPr>
              <xdr:sp macro="" textlink="">
                <xdr:nvSpPr>
                  <xdr:cNvPr id="254" name="CuadroTexto 253">
                    <a:extLst>
                      <a:ext uri="{FF2B5EF4-FFF2-40B4-BE49-F238E27FC236}">
                        <a16:creationId xmlns:a16="http://schemas.microsoft.com/office/drawing/2014/main" id="{22EC5B1C-8BF8-11ED-2628-AA5AA2C64605}"/>
                      </a:ext>
                    </a:extLst>
                  </xdr:cNvPr>
                  <xdr:cNvSpPr txBox="1"/>
                </xdr:nvSpPr>
                <xdr:spPr>
                  <a:xfrm>
                    <a:off x="7582727" y="1479778"/>
                    <a:ext cx="384033" cy="5454917"/>
                  </a:xfrm>
                  <a:prstGeom prst="rect">
                    <a:avLst/>
                  </a:prstGeom>
                  <a:noFill/>
                  <a:ln w="12700" cmpd="sng">
                    <a:solidFill>
                      <a:schemeClr val="tx1"/>
                    </a:solidFill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vert="vert" wrap="square" rtlCol="0" anchor="ctr" anchorCtr="0"/>
                  <a:lstStyle/>
                  <a:p>
                    <a:pPr algn="l"/>
                    <a:r>
                      <a:rPr lang="es-ES" sz="1100" b="1"/>
                      <a:t>O3</a:t>
                    </a:r>
                  </a:p>
                </xdr:txBody>
              </xdr:sp>
              <xdr:sp macro="" textlink="">
                <xdr:nvSpPr>
                  <xdr:cNvPr id="255" name="CuadroTexto 254">
                    <a:extLst>
                      <a:ext uri="{FF2B5EF4-FFF2-40B4-BE49-F238E27FC236}">
                        <a16:creationId xmlns:a16="http://schemas.microsoft.com/office/drawing/2014/main" id="{5DB498A1-D23D-486A-30EE-DAFB5DDBC006}"/>
                      </a:ext>
                    </a:extLst>
                  </xdr:cNvPr>
                  <xdr:cNvSpPr txBox="1"/>
                </xdr:nvSpPr>
                <xdr:spPr>
                  <a:xfrm>
                    <a:off x="7189471" y="1480521"/>
                    <a:ext cx="392192" cy="5454870"/>
                  </a:xfrm>
                  <a:prstGeom prst="rect">
                    <a:avLst/>
                  </a:prstGeom>
                  <a:noFill/>
                  <a:ln w="12700" cmpd="sng">
                    <a:solidFill>
                      <a:schemeClr val="tx1"/>
                    </a:solidFill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vert="vert" wrap="square" rtlCol="0" anchor="t"/>
                  <a:lstStyle/>
                  <a:p>
                    <a:pPr algn="l"/>
                    <a:r>
                      <a:rPr lang="es-ES" sz="1100" b="1"/>
                      <a:t>O0</a:t>
                    </a:r>
                  </a:p>
                </xdr:txBody>
              </xdr:sp>
            </xdr:grpSp>
          </xdr:grpSp>
          <xdr:grpSp>
            <xdr:nvGrpSpPr>
              <xdr:cNvPr id="243" name="Grupo 242">
                <a:extLst>
                  <a:ext uri="{FF2B5EF4-FFF2-40B4-BE49-F238E27FC236}">
                    <a16:creationId xmlns:a16="http://schemas.microsoft.com/office/drawing/2014/main" id="{CCBF4174-3596-3312-4A30-256B124D6036}"/>
                  </a:ext>
                </a:extLst>
              </xdr:cNvPr>
              <xdr:cNvGrpSpPr/>
            </xdr:nvGrpSpPr>
            <xdr:grpSpPr>
              <a:xfrm>
                <a:off x="7961524" y="1200150"/>
                <a:ext cx="779859" cy="5737261"/>
                <a:chOff x="7182175" y="1198981"/>
                <a:chExt cx="779859" cy="5737261"/>
              </a:xfrm>
            </xdr:grpSpPr>
            <xdr:sp macro="" textlink="">
              <xdr:nvSpPr>
                <xdr:cNvPr id="249" name="CuadroTexto 248">
                  <a:extLst>
                    <a:ext uri="{FF2B5EF4-FFF2-40B4-BE49-F238E27FC236}">
                      <a16:creationId xmlns:a16="http://schemas.microsoft.com/office/drawing/2014/main" id="{5BCCC494-0AD5-FB17-0268-04688AE64DD3}"/>
                    </a:ext>
                  </a:extLst>
                </xdr:cNvPr>
                <xdr:cNvSpPr txBox="1"/>
              </xdr:nvSpPr>
              <xdr:spPr>
                <a:xfrm>
                  <a:off x="7182175" y="1198981"/>
                  <a:ext cx="779859" cy="5735219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Python</a:t>
                  </a:r>
                </a:p>
              </xdr:txBody>
            </xdr:sp>
            <xdr:sp macro="" textlink="">
              <xdr:nvSpPr>
                <xdr:cNvPr id="250" name="CuadroTexto 249">
                  <a:extLst>
                    <a:ext uri="{FF2B5EF4-FFF2-40B4-BE49-F238E27FC236}">
                      <a16:creationId xmlns:a16="http://schemas.microsoft.com/office/drawing/2014/main" id="{2B1D6C1A-98F4-EA6F-DA17-4A0B071CE706}"/>
                    </a:ext>
                  </a:extLst>
                </xdr:cNvPr>
                <xdr:cNvSpPr txBox="1"/>
              </xdr:nvSpPr>
              <xdr:spPr>
                <a:xfrm>
                  <a:off x="7576146" y="1479778"/>
                  <a:ext cx="385548" cy="5456464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ctr" anchorCtr="0"/>
                <a:lstStyle/>
                <a:p>
                  <a:pPr algn="l"/>
                  <a:r>
                    <a:rPr lang="es-ES" sz="1100" b="1"/>
                    <a:t>Nuitka</a:t>
                  </a:r>
                </a:p>
              </xdr:txBody>
            </xdr:sp>
            <xdr:sp macro="" textlink="">
              <xdr:nvSpPr>
                <xdr:cNvPr id="251" name="CuadroTexto 250">
                  <a:extLst>
                    <a:ext uri="{FF2B5EF4-FFF2-40B4-BE49-F238E27FC236}">
                      <a16:creationId xmlns:a16="http://schemas.microsoft.com/office/drawing/2014/main" id="{9EBD16DB-A809-18FD-9DAB-857FBAFDFE9C}"/>
                    </a:ext>
                  </a:extLst>
                </xdr:cNvPr>
                <xdr:cNvSpPr txBox="1"/>
              </xdr:nvSpPr>
              <xdr:spPr>
                <a:xfrm>
                  <a:off x="7182890" y="1478047"/>
                  <a:ext cx="392192" cy="5454870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t"/>
                <a:lstStyle/>
                <a:p>
                  <a:pPr algn="l"/>
                  <a:r>
                    <a:rPr lang="es-ES" sz="1100" b="1"/>
                    <a:t>CPython</a:t>
                  </a:r>
                </a:p>
              </xdr:txBody>
            </xdr:sp>
          </xdr:grpSp>
          <xdr:grpSp>
            <xdr:nvGrpSpPr>
              <xdr:cNvPr id="244" name="Grupo 243">
                <a:extLst>
                  <a:ext uri="{FF2B5EF4-FFF2-40B4-BE49-F238E27FC236}">
                    <a16:creationId xmlns:a16="http://schemas.microsoft.com/office/drawing/2014/main" id="{B1BD245E-DBC6-71B7-8E90-D96DC8CA3154}"/>
                  </a:ext>
                </a:extLst>
              </xdr:cNvPr>
              <xdr:cNvGrpSpPr/>
            </xdr:nvGrpSpPr>
            <xdr:grpSpPr>
              <a:xfrm>
                <a:off x="8741518" y="1200911"/>
                <a:ext cx="776372" cy="5735518"/>
                <a:chOff x="7182175" y="1200724"/>
                <a:chExt cx="781330" cy="5735518"/>
              </a:xfrm>
            </xdr:grpSpPr>
            <xdr:sp macro="" textlink="">
              <xdr:nvSpPr>
                <xdr:cNvPr id="246" name="CuadroTexto 245">
                  <a:extLst>
                    <a:ext uri="{FF2B5EF4-FFF2-40B4-BE49-F238E27FC236}">
                      <a16:creationId xmlns:a16="http://schemas.microsoft.com/office/drawing/2014/main" id="{6F6FE35A-B7FE-F698-3F96-6AFE1DDBEDFA}"/>
                    </a:ext>
                  </a:extLst>
                </xdr:cNvPr>
                <xdr:cNvSpPr txBox="1"/>
              </xdr:nvSpPr>
              <xdr:spPr>
                <a:xfrm>
                  <a:off x="7182175" y="1200724"/>
                  <a:ext cx="779859" cy="5733476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Java</a:t>
                  </a:r>
                </a:p>
              </xdr:txBody>
            </xdr:sp>
            <xdr:sp macro="" textlink="">
              <xdr:nvSpPr>
                <xdr:cNvPr id="247" name="CuadroTexto 246">
                  <a:extLst>
                    <a:ext uri="{FF2B5EF4-FFF2-40B4-BE49-F238E27FC236}">
                      <a16:creationId xmlns:a16="http://schemas.microsoft.com/office/drawing/2014/main" id="{511ADCC4-0FAA-FE8B-60B6-DFAC8E2DB509}"/>
                    </a:ext>
                  </a:extLst>
                </xdr:cNvPr>
                <xdr:cNvSpPr txBox="1"/>
              </xdr:nvSpPr>
              <xdr:spPr>
                <a:xfrm>
                  <a:off x="7576146" y="1479778"/>
                  <a:ext cx="387359" cy="5456464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ctr" anchorCtr="0"/>
                <a:lstStyle/>
                <a:p>
                  <a:pPr algn="l"/>
                  <a:r>
                    <a:rPr lang="es-ES" sz="1100" b="1"/>
                    <a:t>JIT</a:t>
                  </a:r>
                  <a:r>
                    <a:rPr lang="es-ES" sz="1100" b="1" baseline="0"/>
                    <a:t> disabled</a:t>
                  </a:r>
                  <a:endParaRPr lang="es-ES" sz="1100" b="1"/>
                </a:p>
              </xdr:txBody>
            </xdr:sp>
            <xdr:sp macro="" textlink="">
              <xdr:nvSpPr>
                <xdr:cNvPr id="248" name="CuadroTexto 247">
                  <a:extLst>
                    <a:ext uri="{FF2B5EF4-FFF2-40B4-BE49-F238E27FC236}">
                      <a16:creationId xmlns:a16="http://schemas.microsoft.com/office/drawing/2014/main" id="{BDD39A57-80EE-B8A2-3FDE-59604DC81916}"/>
                    </a:ext>
                  </a:extLst>
                </xdr:cNvPr>
                <xdr:cNvSpPr txBox="1"/>
              </xdr:nvSpPr>
              <xdr:spPr>
                <a:xfrm>
                  <a:off x="7182890" y="1480521"/>
                  <a:ext cx="392192" cy="5454870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t"/>
                <a:lstStyle/>
                <a:p>
                  <a:pPr algn="l"/>
                  <a:r>
                    <a:rPr lang="es-ES" sz="1100" b="1"/>
                    <a:t>JIT enabled</a:t>
                  </a:r>
                </a:p>
              </xdr:txBody>
            </xdr:sp>
          </xdr:grpSp>
          <xdr:sp macro="" textlink="">
            <xdr:nvSpPr>
              <xdr:cNvPr id="245" name="Rectángulo 244">
                <a:extLst>
                  <a:ext uri="{FF2B5EF4-FFF2-40B4-BE49-F238E27FC236}">
                    <a16:creationId xmlns:a16="http://schemas.microsoft.com/office/drawing/2014/main" id="{D0D7512C-37AD-A9DE-1BE9-06A355C1B419}"/>
                  </a:ext>
                </a:extLst>
              </xdr:cNvPr>
              <xdr:cNvSpPr/>
            </xdr:nvSpPr>
            <xdr:spPr>
              <a:xfrm>
                <a:off x="7183721" y="919790"/>
                <a:ext cx="2333625" cy="6017982"/>
              </a:xfrm>
              <a:prstGeom prst="rect">
                <a:avLst/>
              </a:prstGeom>
              <a:noFill/>
              <a:ln w="12700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s-ES" sz="1100"/>
              </a:p>
            </xdr:txBody>
          </xdr:sp>
        </xdr:grpSp>
      </xdr:grpSp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585108</xdr:colOff>
      <xdr:row>42</xdr:row>
      <xdr:rowOff>176893</xdr:rowOff>
    </xdr:from>
    <xdr:to>
      <xdr:col>10</xdr:col>
      <xdr:colOff>271465</xdr:colOff>
      <xdr:row>65</xdr:row>
      <xdr:rowOff>48306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513547CD-51D4-4F2F-A903-BE72B9BA4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1236890</xdr:colOff>
      <xdr:row>44</xdr:row>
      <xdr:rowOff>9524</xdr:rowOff>
    </xdr:from>
    <xdr:to>
      <xdr:col>15</xdr:col>
      <xdr:colOff>775608</xdr:colOff>
      <xdr:row>66</xdr:row>
      <xdr:rowOff>95250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768F1E1-8A4C-5392-9098-84DF82559B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ALARCOS\Downloads\a%20(2)\Evaluating-The-Energy-Efficiency-Of-Optimization-Techniques-In-C--Python--And-Java-main\programming_languages\Evaluating-The-Energy-Efficiency-Of-Optimization-Techniques-In-C--Python--And-Java.xlsx" TargetMode="External"/><Relationship Id="rId2" Type="http://schemas.microsoft.com/office/2019/04/relationships/externalLinkLongPath" Target="/Users/ALARCOS/Downloads/a%20(2)/Evaluating-The-Energy-Efficiency-Of-Optimization-Techniques-In-C--Python--And-Java-main/programming_languages/Evaluating-The-Energy-Efficiency-Of-Optimization-Techniques-In-C--Python--And-Java.xlsx?CD7F57D7" TargetMode="External"/><Relationship Id="rId1" Type="http://schemas.openxmlformats.org/officeDocument/2006/relationships/externalLinkPath" Target="file:///\\CD7F57D7\Evaluating-The-Energy-Efficiency-Of-Optimization-Techniques-In-C--Python--And-Jav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Implementation"/>
      <sheetName val="Techniques"/>
      <sheetName val="C Impact of Technique"/>
      <sheetName val="C Technique results"/>
      <sheetName val="C Impact of Optimization"/>
      <sheetName val="C Optimization results"/>
      <sheetName val="Python Impact of Technique"/>
      <sheetName val="Python Technique results"/>
      <sheetName val="Python Impact of Optimization"/>
      <sheetName val="Python Optimization results"/>
      <sheetName val="Java Impact of Technique"/>
      <sheetName val="Java Impact of Optimization"/>
      <sheetName val="Java Optimization results"/>
      <sheetName val="Java Technique results"/>
      <sheetName val="Stats"/>
      <sheetName val="Technique resul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3">
          <cell r="A3" t="str">
            <v>T4</v>
          </cell>
        </row>
      </sheetData>
      <sheetData sheetId="13">
        <row r="3">
          <cell r="A3" t="str">
            <v>T4</v>
          </cell>
          <cell r="D3">
            <v>-0.28464426407269316</v>
          </cell>
          <cell r="H3">
            <v>-75.71616155310187</v>
          </cell>
        </row>
        <row r="4">
          <cell r="A4" t="str">
            <v>T5</v>
          </cell>
          <cell r="D4">
            <v>-69.145911541866681</v>
          </cell>
          <cell r="H4">
            <v>-4.0930186185937298</v>
          </cell>
        </row>
        <row r="5">
          <cell r="A5" t="str">
            <v>T7</v>
          </cell>
          <cell r="D5">
            <v>2.783550358566504</v>
          </cell>
          <cell r="H5">
            <v>-1.6253105378696941</v>
          </cell>
        </row>
        <row r="6">
          <cell r="A6" t="str">
            <v>T8</v>
          </cell>
          <cell r="D6">
            <v>-92.18380447795451</v>
          </cell>
          <cell r="H6">
            <v>-81.554511754084132</v>
          </cell>
        </row>
        <row r="7">
          <cell r="A7" t="str">
            <v>T9</v>
          </cell>
          <cell r="D7">
            <v>-0.46869994611388821</v>
          </cell>
          <cell r="H7">
            <v>3.3535669696539747E-2</v>
          </cell>
        </row>
        <row r="8">
          <cell r="A8" t="str">
            <v>T10</v>
          </cell>
          <cell r="D8">
            <v>-99.957439796655521</v>
          </cell>
          <cell r="H8">
            <v>-96.797710851442375</v>
          </cell>
        </row>
        <row r="9">
          <cell r="A9" t="str">
            <v>T11</v>
          </cell>
          <cell r="D9">
            <v>-88.264396233560717</v>
          </cell>
          <cell r="H9">
            <v>-31.31779815298643</v>
          </cell>
        </row>
        <row r="10">
          <cell r="A10" t="str">
            <v>T12</v>
          </cell>
          <cell r="D10">
            <v>1.8678342576708677</v>
          </cell>
          <cell r="H10">
            <v>-36.51385242402862</v>
          </cell>
        </row>
        <row r="11">
          <cell r="A11" t="str">
            <v>T13</v>
          </cell>
          <cell r="D11">
            <v>-72.479348897698912</v>
          </cell>
          <cell r="H11">
            <v>-5.498335557384852</v>
          </cell>
        </row>
        <row r="12">
          <cell r="A12" t="str">
            <v>T16</v>
          </cell>
          <cell r="D12">
            <v>42.614315734601774</v>
          </cell>
          <cell r="H12">
            <v>11.120746922250675</v>
          </cell>
        </row>
        <row r="13">
          <cell r="A13" t="str">
            <v>T17</v>
          </cell>
          <cell r="D13">
            <v>-0.53034767236298708</v>
          </cell>
          <cell r="H13">
            <v>-5.5640886214327008</v>
          </cell>
        </row>
        <row r="14">
          <cell r="A14" t="str">
            <v>T19</v>
          </cell>
          <cell r="D14">
            <v>-12.535628374478527</v>
          </cell>
          <cell r="H14">
            <v>-10.134525070694224</v>
          </cell>
        </row>
        <row r="15">
          <cell r="A15" t="str">
            <v>T20</v>
          </cell>
          <cell r="D15">
            <v>81.672021433442836</v>
          </cell>
          <cell r="H15">
            <v>-30.562795540324149</v>
          </cell>
        </row>
        <row r="16">
          <cell r="A16" t="str">
            <v>T25</v>
          </cell>
          <cell r="D16">
            <v>0.68767908309455061</v>
          </cell>
          <cell r="H16">
            <v>1.7675609485979655</v>
          </cell>
        </row>
        <row r="17">
          <cell r="A17" t="str">
            <v>T26</v>
          </cell>
          <cell r="D17">
            <v>0.73660235969079402</v>
          </cell>
          <cell r="H17">
            <v>-25.216339331610826</v>
          </cell>
        </row>
        <row r="18">
          <cell r="A18" t="str">
            <v>T28</v>
          </cell>
          <cell r="D18">
            <v>34.439111308623083</v>
          </cell>
          <cell r="H18">
            <v>30.123770294290441</v>
          </cell>
        </row>
        <row r="19">
          <cell r="A19" t="str">
            <v>T29</v>
          </cell>
          <cell r="D19">
            <v>2.2563658396281814</v>
          </cell>
          <cell r="H19">
            <v>0.71393501626176648</v>
          </cell>
        </row>
        <row r="20">
          <cell r="A20" t="str">
            <v>T31</v>
          </cell>
          <cell r="D20">
            <v>28.682992999371127</v>
          </cell>
          <cell r="H20">
            <v>68.072875753885768</v>
          </cell>
        </row>
        <row r="21">
          <cell r="A21" t="str">
            <v>T32</v>
          </cell>
          <cell r="D21">
            <v>-29.875347794516511</v>
          </cell>
          <cell r="H21">
            <v>17.767531142220339</v>
          </cell>
        </row>
        <row r="22">
          <cell r="A22" t="str">
            <v>T33</v>
          </cell>
          <cell r="D22">
            <v>1.6569984293284632</v>
          </cell>
          <cell r="H22">
            <v>-3.2456179925754358</v>
          </cell>
        </row>
        <row r="23">
          <cell r="A23" t="str">
            <v>T36</v>
          </cell>
          <cell r="D23">
            <v>-6.6697427983450313</v>
          </cell>
          <cell r="H23">
            <v>-16.525734306915393</v>
          </cell>
        </row>
        <row r="24">
          <cell r="A24" t="str">
            <v>T40</v>
          </cell>
          <cell r="D24">
            <v>-4.9124010662639845</v>
          </cell>
          <cell r="H24">
            <v>-70.855861309894081</v>
          </cell>
        </row>
        <row r="25">
          <cell r="A25" t="str">
            <v>T44</v>
          </cell>
          <cell r="D25">
            <v>0.75508913996736726</v>
          </cell>
          <cell r="H25">
            <v>13.594297051626883</v>
          </cell>
        </row>
        <row r="26">
          <cell r="A26" t="str">
            <v>T49</v>
          </cell>
          <cell r="D26">
            <v>-49.193237981754159</v>
          </cell>
          <cell r="H26">
            <v>-61.310900685959936</v>
          </cell>
        </row>
        <row r="27">
          <cell r="A27" t="str">
            <v>T50</v>
          </cell>
          <cell r="D27">
            <v>-19.822655662752013</v>
          </cell>
          <cell r="H27">
            <v>-46.919566253939287</v>
          </cell>
        </row>
        <row r="28">
          <cell r="A28" t="str">
            <v>T51</v>
          </cell>
          <cell r="D28">
            <v>13.684535250846185</v>
          </cell>
          <cell r="H28">
            <v>-8.0240542994794932</v>
          </cell>
        </row>
      </sheetData>
      <sheetData sheetId="14" refreshError="1"/>
      <sheetData sheetId="15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8998BD-7F6C-4838-A9DB-22D4F94A2361}" name="Tabla3" displayName="Tabla3" ref="A4:O31" totalsRowCount="1" headerRowDxfId="263" dataDxfId="262" tableBorderDxfId="261">
  <autoFilter ref="A4:O30" xr:uid="{CF8998BD-7F6C-4838-A9DB-22D4F94A2361}"/>
  <tableColumns count="15">
    <tableColumn id="1" xr3:uid="{342A3E15-1EDE-4223-9D62-94624469D5DA}" name="Technique" dataDxfId="260" totalsRowDxfId="259"/>
    <tableColumn id="2" xr3:uid="{D3B41B79-5EC0-40A8-92CA-6C0906EA63A7}" name="Impact (%)" dataDxfId="258" totalsRowDxfId="257">
      <calculatedColumnFormula array="1">INDIRECT("'C Impact of Technique'!Q" &amp; 3 + (ROW(A1)-1)*4)*100</calculatedColumnFormula>
    </tableColumn>
    <tableColumn id="3" xr3:uid="{A40B287C-7E07-4EDF-81E1-DDDA5E57E34D}" name="Impact (%)2" dataDxfId="256" totalsRowDxfId="255">
      <calculatedColumnFormula array="1">INDIRECT("'C Impact of Technique'!Q" &amp; 5 + (ROW(A1)-1)*4)*100</calculatedColumnFormula>
    </tableColumn>
    <tableColumn id="4" xr3:uid="{8ECB8DA5-FE35-4FBB-93C0-D3D027D6B4B0}" name="Impact (%)3" dataDxfId="254" totalsRowDxfId="253">
      <calculatedColumnFormula array="1">INDIRECT("'Python Impact of Technique'!V" &amp; 3 + (ROW(A1)-1)*4)*100</calculatedColumnFormula>
    </tableColumn>
    <tableColumn id="5" xr3:uid="{4C84EE44-E33D-4AC8-8E6D-CC11FC049B3F}" name="Impact (%)4" dataDxfId="252" totalsRowDxfId="251">
      <calculatedColumnFormula array="1">INDIRECT("'Python Impact of Technique'!V" &amp; 5 + (ROW(A1)-1)*4)*100</calculatedColumnFormula>
    </tableColumn>
    <tableColumn id="6" xr3:uid="{981978E5-DA21-4F0A-A9FE-FC17389172FD}" name="Impact (%)5" dataDxfId="250" totalsRowDxfId="249">
      <calculatedColumnFormula array="1">INDIRECT("'Java Impact of Technique'!W" &amp; 3 + (ROW(A1)-1)*4)*100</calculatedColumnFormula>
    </tableColumn>
    <tableColumn id="7" xr3:uid="{65C6A146-098B-48CB-904D-F845768C82A6}" name="Impact (%)6" dataDxfId="248" totalsRowDxfId="247">
      <calculatedColumnFormula array="1">INDIRECT("'Java Impact of Technique'!W" &amp; 5 + (ROW(A1)-1)*4)*100</calculatedColumnFormula>
    </tableColumn>
    <tableColumn id="8" xr3:uid="{5380A82B-71B7-46DF-9ED4-5E83B2F25B5A}" name="Average impact (%) C" dataDxfId="246" totalsRowDxfId="245">
      <calculatedColumnFormula>AVERAGE(Tabla3[[#This Row],[Impact (%)]:[Impact (%)2]])</calculatedColumnFormula>
    </tableColumn>
    <tableColumn id="9" xr3:uid="{D6AD9226-9B5B-4E61-9106-4139165CB3AB}" name="Average impact (%) Python" dataDxfId="244" totalsRowDxfId="243">
      <calculatedColumnFormula>AVERAGE(Tabla3[[#This Row],[Impact (%)3]:[Impact (%)4]])</calculatedColumnFormula>
    </tableColumn>
    <tableColumn id="10" xr3:uid="{EC58CFEE-5B37-486F-9167-4C09A9DAE430}" name="Average impact (%) Java" dataDxfId="242" totalsRowDxfId="241">
      <calculatedColumnFormula>AVERAGE(Tabla3[[#This Row],[Impact (%)5]:[Impact (%)6]])</calculatedColumnFormula>
    </tableColumn>
    <tableColumn id="11" xr3:uid="{1637FA69-D79B-446F-AA46-68A8B825D050}" name="Global impact (%)" totalsRowLabel="Total" dataDxfId="240" totalsRowDxfId="239">
      <calculatedColumnFormula>AVERAGE(Tabla3[[#This Row],[Average impact (%) C]:[Average impact (%) Java]])</calculatedColumnFormula>
    </tableColumn>
    <tableColumn id="12" xr3:uid="{2ED75652-D8D9-4461-914A-71CA02DF0DBB}" name="(1) data/memory structure" totalsRowFunction="custom" dataDxfId="238" totalsRowDxfId="237">
      <totalsRowFormula>AVERAGEIF(Tabla3[(1) data/memory structure],"x",Tabla3[Global impact (%)])</totalsRowFormula>
    </tableColumn>
    <tableColumn id="13" xr3:uid="{A6AD7EBC-FEE7-4231-A637-39524182F477}" name="(2) algorithm implementation" totalsRowFunction="custom" dataDxfId="236" totalsRowDxfId="235">
      <totalsRowFormula>AVERAGEIF(Tabla3[(2) algorithm implementation],"x",Tabla3[Global impact (%)])</totalsRowFormula>
    </tableColumn>
    <tableColumn id="14" xr3:uid="{1B36E3E1-866D-4597-93BE-669F70ECB399}" name="(3) arithmetic/logic operations" totalsRowFunction="custom" dataDxfId="234" totalsRowDxfId="233">
      <totalsRowFormula>AVERAGEIF(Tabla3[(3) arithmetic/logic operations],"x",Tabla3[Global impact (%)])</totalsRowFormula>
    </tableColumn>
    <tableColumn id="15" xr3:uid="{F66AD5C2-8BE9-45A9-9790-F17D974C2497}" name="(4) loops" totalsRowFunction="custom" dataDxfId="232" totalsRowDxfId="231">
      <totalsRowFormula>AVERAGEIF(Tabla3[(4) loops],"x",Tabla3[Global impact (%)])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3DEAF-4F77-4B61-B93A-6848BF9BE938}">
  <dimension ref="A1:G50"/>
  <sheetViews>
    <sheetView zoomScaleNormal="100" workbookViewId="0">
      <selection activeCell="J19" sqref="J19"/>
    </sheetView>
  </sheetViews>
  <sheetFormatPr baseColWidth="10" defaultColWidth="11.42578125" defaultRowHeight="15" x14ac:dyDescent="0.25"/>
  <cols>
    <col min="2" max="2" width="45.140625" customWidth="1"/>
    <col min="3" max="7" width="22.7109375" customWidth="1"/>
  </cols>
  <sheetData>
    <row r="1" spans="1:7" x14ac:dyDescent="0.25">
      <c r="A1" s="91" t="s">
        <v>0</v>
      </c>
      <c r="B1" s="91" t="s">
        <v>142</v>
      </c>
      <c r="C1" s="93" t="s">
        <v>148</v>
      </c>
      <c r="D1" s="94"/>
      <c r="E1" s="94"/>
      <c r="F1" s="94"/>
      <c r="G1" s="95"/>
    </row>
    <row r="2" spans="1:7" x14ac:dyDescent="0.25">
      <c r="A2" s="92"/>
      <c r="B2" s="92"/>
      <c r="C2" s="30" t="s">
        <v>143</v>
      </c>
      <c r="D2" s="28" t="s">
        <v>144</v>
      </c>
      <c r="E2" s="31" t="s">
        <v>145</v>
      </c>
      <c r="F2" s="31" t="s">
        <v>146</v>
      </c>
      <c r="G2" s="31" t="s">
        <v>147</v>
      </c>
    </row>
    <row r="3" spans="1:7" x14ac:dyDescent="0.25">
      <c r="A3" s="9" t="s">
        <v>1</v>
      </c>
      <c r="B3" s="10" t="s">
        <v>2</v>
      </c>
      <c r="C3" s="32" t="s">
        <v>125</v>
      </c>
      <c r="D3" s="35"/>
      <c r="E3" s="32"/>
      <c r="F3" s="32"/>
      <c r="G3" s="32"/>
    </row>
    <row r="4" spans="1:7" x14ac:dyDescent="0.25">
      <c r="A4" s="11" t="s">
        <v>3</v>
      </c>
      <c r="B4" s="12" t="s">
        <v>4</v>
      </c>
      <c r="C4" s="33"/>
      <c r="D4" s="34" t="s">
        <v>125</v>
      </c>
      <c r="E4" s="33"/>
      <c r="F4" s="33"/>
      <c r="G4" s="33"/>
    </row>
    <row r="5" spans="1:7" x14ac:dyDescent="0.25">
      <c r="A5" s="11" t="s">
        <v>5</v>
      </c>
      <c r="B5" s="12" t="s">
        <v>6</v>
      </c>
      <c r="C5" s="33"/>
      <c r="D5" s="34"/>
      <c r="E5" s="33" t="s">
        <v>125</v>
      </c>
      <c r="F5" s="33"/>
      <c r="G5" s="33"/>
    </row>
    <row r="6" spans="1:7" x14ac:dyDescent="0.25">
      <c r="A6" s="11" t="s">
        <v>7</v>
      </c>
      <c r="B6" s="12" t="s">
        <v>8</v>
      </c>
      <c r="C6" s="33" t="s">
        <v>125</v>
      </c>
      <c r="D6" s="34"/>
      <c r="E6" s="33"/>
      <c r="F6" s="33"/>
      <c r="G6" s="33"/>
    </row>
    <row r="7" spans="1:7" x14ac:dyDescent="0.25">
      <c r="A7" s="11" t="s">
        <v>9</v>
      </c>
      <c r="B7" s="12" t="s">
        <v>10</v>
      </c>
      <c r="C7" s="33"/>
      <c r="D7" s="34"/>
      <c r="E7" s="33"/>
      <c r="F7" s="33"/>
      <c r="G7" s="33" t="s">
        <v>125</v>
      </c>
    </row>
    <row r="8" spans="1:7" x14ac:dyDescent="0.25">
      <c r="A8" s="11" t="s">
        <v>11</v>
      </c>
      <c r="B8" s="12" t="s">
        <v>12</v>
      </c>
      <c r="C8" s="33"/>
      <c r="D8" s="34" t="s">
        <v>125</v>
      </c>
      <c r="E8" s="33" t="s">
        <v>125</v>
      </c>
      <c r="F8" s="33"/>
      <c r="G8" s="33" t="s">
        <v>125</v>
      </c>
    </row>
    <row r="9" spans="1:7" x14ac:dyDescent="0.25">
      <c r="A9" s="11" t="s">
        <v>13</v>
      </c>
      <c r="B9" s="12" t="s">
        <v>14</v>
      </c>
      <c r="C9" s="33"/>
      <c r="D9" s="34"/>
      <c r="E9" s="33" t="s">
        <v>125</v>
      </c>
      <c r="F9" s="33"/>
      <c r="G9" s="33" t="s">
        <v>125</v>
      </c>
    </row>
    <row r="10" spans="1:7" x14ac:dyDescent="0.25">
      <c r="A10" s="11" t="s">
        <v>15</v>
      </c>
      <c r="B10" s="12" t="s">
        <v>16</v>
      </c>
      <c r="C10" s="33"/>
      <c r="D10" s="34"/>
      <c r="E10" s="33" t="s">
        <v>125</v>
      </c>
      <c r="F10" s="33"/>
      <c r="G10" s="33" t="s">
        <v>125</v>
      </c>
    </row>
    <row r="11" spans="1:7" x14ac:dyDescent="0.25">
      <c r="A11" s="11" t="s">
        <v>17</v>
      </c>
      <c r="B11" s="12" t="s">
        <v>18</v>
      </c>
      <c r="C11" s="33"/>
      <c r="D11" s="34"/>
      <c r="E11" s="33"/>
      <c r="F11" s="33"/>
      <c r="G11" s="33" t="s">
        <v>125</v>
      </c>
    </row>
    <row r="12" spans="1:7" x14ac:dyDescent="0.25">
      <c r="A12" s="11" t="s">
        <v>19</v>
      </c>
      <c r="B12" s="12" t="s">
        <v>20</v>
      </c>
      <c r="C12" s="33" t="s">
        <v>125</v>
      </c>
      <c r="D12" s="34"/>
      <c r="E12" s="33"/>
      <c r="F12" s="33"/>
      <c r="G12" s="33" t="s">
        <v>125</v>
      </c>
    </row>
    <row r="13" spans="1:7" x14ac:dyDescent="0.25">
      <c r="A13" s="11" t="s">
        <v>21</v>
      </c>
      <c r="B13" s="12" t="s">
        <v>22</v>
      </c>
      <c r="C13" s="33" t="s">
        <v>125</v>
      </c>
      <c r="D13" s="34"/>
      <c r="E13" s="33" t="s">
        <v>125</v>
      </c>
      <c r="F13" s="33"/>
      <c r="G13" s="33"/>
    </row>
    <row r="14" spans="1:7" x14ac:dyDescent="0.25">
      <c r="A14" s="11" t="s">
        <v>23</v>
      </c>
      <c r="B14" s="12" t="s">
        <v>24</v>
      </c>
      <c r="C14" s="33"/>
      <c r="D14" s="34" t="s">
        <v>125</v>
      </c>
      <c r="E14" s="33"/>
      <c r="F14" s="33"/>
      <c r="G14" s="33" t="s">
        <v>125</v>
      </c>
    </row>
    <row r="15" spans="1:7" x14ac:dyDescent="0.25">
      <c r="A15" s="11" t="s">
        <v>25</v>
      </c>
      <c r="B15" s="12" t="s">
        <v>26</v>
      </c>
      <c r="C15" s="33" t="s">
        <v>125</v>
      </c>
      <c r="D15" s="34"/>
      <c r="E15" s="33" t="s">
        <v>125</v>
      </c>
      <c r="F15" s="33"/>
      <c r="G15" s="33"/>
    </row>
    <row r="16" spans="1:7" x14ac:dyDescent="0.25">
      <c r="A16" s="11" t="s">
        <v>27</v>
      </c>
      <c r="B16" s="12" t="s">
        <v>28</v>
      </c>
      <c r="C16" s="33" t="s">
        <v>125</v>
      </c>
      <c r="D16" s="34"/>
      <c r="E16" s="33" t="s">
        <v>125</v>
      </c>
      <c r="F16" s="33"/>
      <c r="G16" s="33"/>
    </row>
    <row r="17" spans="1:7" x14ac:dyDescent="0.25">
      <c r="A17" s="11" t="s">
        <v>29</v>
      </c>
      <c r="B17" s="12" t="s">
        <v>30</v>
      </c>
      <c r="C17" s="33"/>
      <c r="D17" s="34"/>
      <c r="E17" s="33" t="s">
        <v>125</v>
      </c>
      <c r="F17" s="33"/>
      <c r="G17" s="33" t="s">
        <v>125</v>
      </c>
    </row>
    <row r="18" spans="1:7" x14ac:dyDescent="0.25">
      <c r="A18" s="11" t="s">
        <v>31</v>
      </c>
      <c r="B18" s="12" t="s">
        <v>32</v>
      </c>
      <c r="C18" s="33"/>
      <c r="D18" s="34"/>
      <c r="E18" s="33"/>
      <c r="F18" s="33" t="s">
        <v>125</v>
      </c>
      <c r="G18" s="33"/>
    </row>
    <row r="19" spans="1:7" x14ac:dyDescent="0.25">
      <c r="A19" s="11" t="s">
        <v>33</v>
      </c>
      <c r="B19" s="12" t="s">
        <v>34</v>
      </c>
      <c r="C19" s="33"/>
      <c r="D19" s="34"/>
      <c r="E19" s="33"/>
      <c r="F19" s="33" t="s">
        <v>125</v>
      </c>
      <c r="G19" s="33"/>
    </row>
    <row r="20" spans="1:7" x14ac:dyDescent="0.25">
      <c r="A20" s="11" t="s">
        <v>35</v>
      </c>
      <c r="B20" s="12" t="s">
        <v>36</v>
      </c>
      <c r="C20" s="33"/>
      <c r="D20" s="34"/>
      <c r="E20" s="33" t="s">
        <v>125</v>
      </c>
      <c r="F20" s="33" t="s">
        <v>125</v>
      </c>
      <c r="G20" s="33"/>
    </row>
    <row r="21" spans="1:7" x14ac:dyDescent="0.25">
      <c r="A21" s="11" t="s">
        <v>37</v>
      </c>
      <c r="B21" s="12" t="s">
        <v>38</v>
      </c>
      <c r="C21" s="33" t="s">
        <v>125</v>
      </c>
      <c r="D21" s="34"/>
      <c r="E21" s="33"/>
      <c r="F21" s="33"/>
      <c r="G21" s="33" t="s">
        <v>125</v>
      </c>
    </row>
    <row r="22" spans="1:7" x14ac:dyDescent="0.25">
      <c r="A22" s="11" t="s">
        <v>39</v>
      </c>
      <c r="B22" s="12" t="s">
        <v>40</v>
      </c>
      <c r="C22" s="33" t="s">
        <v>125</v>
      </c>
      <c r="D22" s="34"/>
      <c r="E22" s="33"/>
      <c r="F22" s="33"/>
      <c r="G22" s="33" t="s">
        <v>125</v>
      </c>
    </row>
    <row r="23" spans="1:7" x14ac:dyDescent="0.25">
      <c r="A23" s="11" t="s">
        <v>41</v>
      </c>
      <c r="B23" s="12" t="s">
        <v>42</v>
      </c>
      <c r="C23" s="33"/>
      <c r="D23" s="34" t="s">
        <v>125</v>
      </c>
      <c r="E23" s="33"/>
      <c r="F23" s="33"/>
      <c r="G23" s="33" t="s">
        <v>125</v>
      </c>
    </row>
    <row r="24" spans="1:7" x14ac:dyDescent="0.25">
      <c r="A24" s="11" t="s">
        <v>43</v>
      </c>
      <c r="B24" s="12" t="s">
        <v>44</v>
      </c>
      <c r="C24" s="33"/>
      <c r="D24" s="34"/>
      <c r="E24" s="33" t="s">
        <v>125</v>
      </c>
      <c r="F24" s="33"/>
      <c r="G24" s="33" t="s">
        <v>125</v>
      </c>
    </row>
    <row r="25" spans="1:7" x14ac:dyDescent="0.25">
      <c r="A25" s="11" t="s">
        <v>45</v>
      </c>
      <c r="B25" s="12" t="s">
        <v>46</v>
      </c>
      <c r="C25" s="33"/>
      <c r="D25" s="34"/>
      <c r="E25" s="33"/>
      <c r="F25" s="33"/>
      <c r="G25" s="33" t="s">
        <v>125</v>
      </c>
    </row>
    <row r="26" spans="1:7" x14ac:dyDescent="0.25">
      <c r="A26" s="11" t="s">
        <v>47</v>
      </c>
      <c r="B26" s="12" t="s">
        <v>48</v>
      </c>
      <c r="C26" s="33" t="s">
        <v>125</v>
      </c>
      <c r="D26" s="34"/>
      <c r="E26" s="33"/>
      <c r="F26" s="33" t="s">
        <v>125</v>
      </c>
      <c r="G26" s="33" t="s">
        <v>125</v>
      </c>
    </row>
    <row r="27" spans="1:7" x14ac:dyDescent="0.25">
      <c r="A27" s="11" t="s">
        <v>49</v>
      </c>
      <c r="B27" s="12" t="s">
        <v>50</v>
      </c>
      <c r="C27" s="33" t="s">
        <v>125</v>
      </c>
      <c r="D27" s="34"/>
      <c r="E27" s="33"/>
      <c r="F27" s="33"/>
      <c r="G27" s="33" t="s">
        <v>125</v>
      </c>
    </row>
    <row r="28" spans="1:7" x14ac:dyDescent="0.25">
      <c r="A28" s="11" t="s">
        <v>51</v>
      </c>
      <c r="B28" s="12" t="s">
        <v>52</v>
      </c>
      <c r="C28" s="33" t="s">
        <v>125</v>
      </c>
      <c r="D28" s="34"/>
      <c r="E28" s="33"/>
      <c r="F28" s="33"/>
      <c r="G28" s="33" t="s">
        <v>125</v>
      </c>
    </row>
    <row r="29" spans="1:7" x14ac:dyDescent="0.25">
      <c r="A29" s="7" t="s">
        <v>53</v>
      </c>
      <c r="B29" s="8" t="s">
        <v>54</v>
      </c>
      <c r="C29" s="24"/>
      <c r="D29" s="25"/>
      <c r="E29" s="33" t="s">
        <v>125</v>
      </c>
      <c r="F29" s="33"/>
      <c r="G29" s="33"/>
    </row>
    <row r="30" spans="1:7" x14ac:dyDescent="0.25">
      <c r="A30" s="7" t="s">
        <v>55</v>
      </c>
      <c r="B30" s="8" t="s">
        <v>56</v>
      </c>
      <c r="C30" s="24" t="s">
        <v>125</v>
      </c>
      <c r="D30" s="25"/>
      <c r="E30" s="33"/>
      <c r="F30" s="33"/>
      <c r="G30" s="33"/>
    </row>
    <row r="31" spans="1:7" x14ac:dyDescent="0.25">
      <c r="A31" s="7" t="s">
        <v>57</v>
      </c>
      <c r="B31" s="8" t="s">
        <v>58</v>
      </c>
      <c r="C31" s="24"/>
      <c r="D31" s="25"/>
      <c r="E31" s="33"/>
      <c r="F31" s="33" t="s">
        <v>125</v>
      </c>
      <c r="G31" s="33"/>
    </row>
    <row r="32" spans="1:7" x14ac:dyDescent="0.25">
      <c r="A32" s="7" t="s">
        <v>59</v>
      </c>
      <c r="B32" s="8" t="s">
        <v>60</v>
      </c>
      <c r="C32" s="24"/>
      <c r="D32" s="25"/>
      <c r="E32" s="33" t="s">
        <v>125</v>
      </c>
      <c r="F32" s="33"/>
      <c r="G32" s="33"/>
    </row>
    <row r="33" spans="1:7" x14ac:dyDescent="0.25">
      <c r="A33" s="7" t="s">
        <v>61</v>
      </c>
      <c r="B33" s="8" t="s">
        <v>62</v>
      </c>
      <c r="C33" s="24"/>
      <c r="D33" s="25"/>
      <c r="E33" s="33"/>
      <c r="F33" s="33"/>
      <c r="G33" s="33" t="s">
        <v>125</v>
      </c>
    </row>
    <row r="34" spans="1:7" x14ac:dyDescent="0.25">
      <c r="A34" s="7" t="s">
        <v>63</v>
      </c>
      <c r="B34" s="8" t="s">
        <v>64</v>
      </c>
      <c r="C34" s="24"/>
      <c r="D34" s="25"/>
      <c r="E34" s="33"/>
      <c r="F34" s="33"/>
      <c r="G34" s="33" t="s">
        <v>125</v>
      </c>
    </row>
    <row r="35" spans="1:7" x14ac:dyDescent="0.25">
      <c r="A35" s="7" t="s">
        <v>65</v>
      </c>
      <c r="B35" s="8" t="s">
        <v>66</v>
      </c>
      <c r="C35" s="24"/>
      <c r="D35" s="25"/>
      <c r="E35" s="33"/>
      <c r="F35" s="33"/>
      <c r="G35" s="33" t="s">
        <v>125</v>
      </c>
    </row>
    <row r="36" spans="1:7" x14ac:dyDescent="0.25">
      <c r="A36" s="7" t="s">
        <v>67</v>
      </c>
      <c r="B36" s="8" t="s">
        <v>68</v>
      </c>
      <c r="C36" s="24"/>
      <c r="D36" s="34"/>
      <c r="E36" s="33" t="s">
        <v>125</v>
      </c>
      <c r="F36" s="33"/>
      <c r="G36" s="33"/>
    </row>
    <row r="37" spans="1:7" x14ac:dyDescent="0.25">
      <c r="A37" s="7" t="s">
        <v>69</v>
      </c>
      <c r="B37" s="8" t="s">
        <v>70</v>
      </c>
      <c r="C37" s="24"/>
      <c r="D37" s="25"/>
      <c r="E37" s="33"/>
      <c r="F37" s="33" t="s">
        <v>125</v>
      </c>
      <c r="G37" s="33"/>
    </row>
    <row r="38" spans="1:7" x14ac:dyDescent="0.25">
      <c r="A38" s="7" t="s">
        <v>71</v>
      </c>
      <c r="B38" s="8" t="s">
        <v>72</v>
      </c>
      <c r="C38" s="24" t="s">
        <v>125</v>
      </c>
      <c r="D38" s="25"/>
      <c r="E38" s="33"/>
      <c r="F38" s="33"/>
      <c r="G38" s="33"/>
    </row>
    <row r="39" spans="1:7" x14ac:dyDescent="0.25">
      <c r="A39" s="7" t="s">
        <v>73</v>
      </c>
      <c r="B39" s="8" t="s">
        <v>74</v>
      </c>
      <c r="C39" s="24"/>
      <c r="D39" s="34"/>
      <c r="E39" s="33" t="s">
        <v>125</v>
      </c>
      <c r="F39" s="33"/>
      <c r="G39" s="33"/>
    </row>
    <row r="40" spans="1:7" x14ac:dyDescent="0.25">
      <c r="A40" s="7" t="s">
        <v>75</v>
      </c>
      <c r="B40" s="8" t="s">
        <v>76</v>
      </c>
      <c r="C40" s="24" t="s">
        <v>125</v>
      </c>
      <c r="D40" s="25"/>
      <c r="E40" s="33"/>
      <c r="F40" s="33"/>
      <c r="G40" s="33"/>
    </row>
    <row r="41" spans="1:7" x14ac:dyDescent="0.25">
      <c r="A41" s="7" t="s">
        <v>77</v>
      </c>
      <c r="B41" s="8" t="s">
        <v>78</v>
      </c>
      <c r="C41" s="24" t="s">
        <v>125</v>
      </c>
      <c r="D41" s="25"/>
      <c r="E41" s="33"/>
      <c r="F41" s="33"/>
      <c r="G41" s="33"/>
    </row>
    <row r="42" spans="1:7" x14ac:dyDescent="0.25">
      <c r="A42" s="7" t="s">
        <v>79</v>
      </c>
      <c r="B42" s="8" t="s">
        <v>80</v>
      </c>
      <c r="C42" s="24" t="s">
        <v>125</v>
      </c>
      <c r="D42" s="25"/>
      <c r="E42" s="33"/>
      <c r="F42" s="33"/>
      <c r="G42" s="33"/>
    </row>
    <row r="43" spans="1:7" x14ac:dyDescent="0.25">
      <c r="A43" s="7" t="s">
        <v>81</v>
      </c>
      <c r="B43" s="8" t="s">
        <v>82</v>
      </c>
      <c r="C43" s="24"/>
      <c r="D43" s="34"/>
      <c r="E43" s="33" t="s">
        <v>125</v>
      </c>
      <c r="F43" s="33"/>
      <c r="G43" s="33"/>
    </row>
    <row r="44" spans="1:7" x14ac:dyDescent="0.25">
      <c r="A44" s="7" t="s">
        <v>83</v>
      </c>
      <c r="B44" s="8" t="s">
        <v>84</v>
      </c>
      <c r="C44" s="24"/>
      <c r="D44" s="25"/>
      <c r="E44" s="33" t="s">
        <v>125</v>
      </c>
      <c r="F44" s="33"/>
      <c r="G44" s="33"/>
    </row>
    <row r="45" spans="1:7" x14ac:dyDescent="0.25">
      <c r="A45" s="7" t="s">
        <v>85</v>
      </c>
      <c r="B45" s="8" t="s">
        <v>86</v>
      </c>
      <c r="C45" s="24"/>
      <c r="D45" s="25"/>
      <c r="E45" s="33"/>
      <c r="F45" s="33" t="s">
        <v>125</v>
      </c>
      <c r="G45" s="33"/>
    </row>
    <row r="46" spans="1:7" x14ac:dyDescent="0.25">
      <c r="A46" s="7" t="s">
        <v>87</v>
      </c>
      <c r="B46" s="8" t="s">
        <v>88</v>
      </c>
      <c r="C46" s="24"/>
      <c r="D46" s="25"/>
      <c r="E46" s="33"/>
      <c r="F46" s="33" t="s">
        <v>125</v>
      </c>
      <c r="G46" s="33"/>
    </row>
    <row r="47" spans="1:7" x14ac:dyDescent="0.25">
      <c r="A47" s="7" t="s">
        <v>89</v>
      </c>
      <c r="B47" s="8" t="s">
        <v>90</v>
      </c>
      <c r="C47" s="24"/>
      <c r="D47" s="25"/>
      <c r="E47" s="33"/>
      <c r="F47" s="33" t="s">
        <v>125</v>
      </c>
      <c r="G47" s="33"/>
    </row>
    <row r="48" spans="1:7" x14ac:dyDescent="0.25">
      <c r="A48" s="7" t="s">
        <v>91</v>
      </c>
      <c r="B48" s="8" t="s">
        <v>92</v>
      </c>
      <c r="C48" s="24"/>
      <c r="D48" s="25"/>
      <c r="E48" s="33"/>
      <c r="F48" s="33"/>
      <c r="G48" s="33" t="s">
        <v>125</v>
      </c>
    </row>
    <row r="49" spans="1:7" x14ac:dyDescent="0.25">
      <c r="A49" s="7" t="s">
        <v>93</v>
      </c>
      <c r="B49" s="8" t="s">
        <v>94</v>
      </c>
      <c r="C49" s="24"/>
      <c r="D49" s="25"/>
      <c r="E49" s="33"/>
      <c r="F49" s="33"/>
      <c r="G49" s="33" t="s">
        <v>125</v>
      </c>
    </row>
    <row r="50" spans="1:7" x14ac:dyDescent="0.25">
      <c r="A50" s="8" t="s">
        <v>95</v>
      </c>
      <c r="B50" s="8" t="s">
        <v>96</v>
      </c>
      <c r="C50" s="23"/>
      <c r="D50" s="26"/>
      <c r="E50" s="36"/>
      <c r="F50" s="36"/>
      <c r="G50" s="36" t="s">
        <v>125</v>
      </c>
    </row>
  </sheetData>
  <mergeCells count="3">
    <mergeCell ref="A1:A2"/>
    <mergeCell ref="B1:B2"/>
    <mergeCell ref="C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0E3A9-095A-417D-A4EB-08ACCC288A73}">
  <dimension ref="A1:E50"/>
  <sheetViews>
    <sheetView topLeftCell="A25" zoomScale="85" zoomScaleNormal="85" workbookViewId="0">
      <selection activeCell="E21" sqref="E21"/>
    </sheetView>
  </sheetViews>
  <sheetFormatPr baseColWidth="10" defaultColWidth="11.42578125" defaultRowHeight="15" x14ac:dyDescent="0.25"/>
  <cols>
    <col min="2" max="2" width="47" bestFit="1" customWidth="1"/>
    <col min="3" max="3" width="22.7109375" customWidth="1"/>
    <col min="4" max="4" width="101.28515625" bestFit="1" customWidth="1"/>
    <col min="5" max="5" width="74.28515625" bestFit="1" customWidth="1"/>
  </cols>
  <sheetData>
    <row r="1" spans="1:5" x14ac:dyDescent="0.25">
      <c r="A1" s="91" t="s">
        <v>0</v>
      </c>
      <c r="B1" s="91" t="s">
        <v>142</v>
      </c>
      <c r="C1" s="96" t="s">
        <v>124</v>
      </c>
      <c r="D1" s="96"/>
      <c r="E1" s="96"/>
    </row>
    <row r="2" spans="1:5" x14ac:dyDescent="0.25">
      <c r="A2" s="92"/>
      <c r="B2" s="92"/>
      <c r="C2" s="27" t="s">
        <v>122</v>
      </c>
      <c r="D2" s="30" t="s">
        <v>123</v>
      </c>
      <c r="E2" s="30" t="s">
        <v>187</v>
      </c>
    </row>
    <row r="3" spans="1:5" x14ac:dyDescent="0.25">
      <c r="A3" s="9" t="s">
        <v>1</v>
      </c>
      <c r="B3" s="10" t="s">
        <v>2</v>
      </c>
      <c r="C3" s="85" t="s">
        <v>125</v>
      </c>
      <c r="D3" s="85" t="s">
        <v>139</v>
      </c>
      <c r="E3" s="85" t="s">
        <v>139</v>
      </c>
    </row>
    <row r="4" spans="1:5" x14ac:dyDescent="0.25">
      <c r="A4" s="11" t="s">
        <v>3</v>
      </c>
      <c r="B4" s="12" t="s">
        <v>4</v>
      </c>
      <c r="C4" s="85" t="s">
        <v>125</v>
      </c>
      <c r="D4" s="85" t="s">
        <v>141</v>
      </c>
      <c r="E4" s="85" t="s">
        <v>141</v>
      </c>
    </row>
    <row r="5" spans="1:5" x14ac:dyDescent="0.25">
      <c r="A5" s="11" t="s">
        <v>5</v>
      </c>
      <c r="B5" s="12" t="s">
        <v>6</v>
      </c>
      <c r="C5" s="85" t="s">
        <v>125</v>
      </c>
      <c r="D5" s="85" t="s">
        <v>140</v>
      </c>
      <c r="E5" s="85" t="s">
        <v>140</v>
      </c>
    </row>
    <row r="6" spans="1:5" x14ac:dyDescent="0.25">
      <c r="A6" s="11" t="s">
        <v>7</v>
      </c>
      <c r="B6" s="12" t="s">
        <v>8</v>
      </c>
      <c r="C6" s="85" t="s">
        <v>125</v>
      </c>
      <c r="D6" s="85" t="s">
        <v>125</v>
      </c>
      <c r="E6" s="4" t="s">
        <v>125</v>
      </c>
    </row>
    <row r="7" spans="1:5" x14ac:dyDescent="0.25">
      <c r="A7" s="11" t="s">
        <v>9</v>
      </c>
      <c r="B7" s="12" t="s">
        <v>10</v>
      </c>
      <c r="C7" s="85" t="s">
        <v>125</v>
      </c>
      <c r="D7" s="85" t="s">
        <v>125</v>
      </c>
      <c r="E7" s="4" t="s">
        <v>125</v>
      </c>
    </row>
    <row r="8" spans="1:5" x14ac:dyDescent="0.25">
      <c r="A8" s="11" t="s">
        <v>11</v>
      </c>
      <c r="B8" s="12" t="s">
        <v>12</v>
      </c>
      <c r="C8" s="85" t="s">
        <v>125</v>
      </c>
      <c r="D8" s="85" t="s">
        <v>138</v>
      </c>
      <c r="E8" s="85" t="s">
        <v>138</v>
      </c>
    </row>
    <row r="9" spans="1:5" x14ac:dyDescent="0.25">
      <c r="A9" s="11" t="s">
        <v>13</v>
      </c>
      <c r="B9" s="12" t="s">
        <v>14</v>
      </c>
      <c r="C9" s="85" t="s">
        <v>125</v>
      </c>
      <c r="D9" s="85" t="s">
        <v>125</v>
      </c>
      <c r="E9" s="4" t="s">
        <v>125</v>
      </c>
    </row>
    <row r="10" spans="1:5" x14ac:dyDescent="0.25">
      <c r="A10" s="11" t="s">
        <v>15</v>
      </c>
      <c r="B10" s="12" t="s">
        <v>16</v>
      </c>
      <c r="C10" s="85" t="s">
        <v>125</v>
      </c>
      <c r="D10" s="85" t="s">
        <v>125</v>
      </c>
      <c r="E10" s="4" t="s">
        <v>125</v>
      </c>
    </row>
    <row r="11" spans="1:5" x14ac:dyDescent="0.25">
      <c r="A11" s="11" t="s">
        <v>17</v>
      </c>
      <c r="B11" s="12" t="s">
        <v>18</v>
      </c>
      <c r="C11" s="85" t="s">
        <v>125</v>
      </c>
      <c r="D11" s="85" t="s">
        <v>125</v>
      </c>
      <c r="E11" s="4" t="s">
        <v>125</v>
      </c>
    </row>
    <row r="12" spans="1:5" x14ac:dyDescent="0.25">
      <c r="A12" s="11" t="s">
        <v>19</v>
      </c>
      <c r="B12" s="12" t="s">
        <v>20</v>
      </c>
      <c r="C12" s="85" t="s">
        <v>125</v>
      </c>
      <c r="D12" s="85" t="s">
        <v>125</v>
      </c>
      <c r="E12" s="4" t="s">
        <v>125</v>
      </c>
    </row>
    <row r="13" spans="1:5" x14ac:dyDescent="0.25">
      <c r="A13" s="11" t="s">
        <v>21</v>
      </c>
      <c r="B13" s="12" t="s">
        <v>22</v>
      </c>
      <c r="C13" s="85" t="s">
        <v>125</v>
      </c>
      <c r="D13" s="85" t="s">
        <v>125</v>
      </c>
      <c r="E13" s="4" t="s">
        <v>125</v>
      </c>
    </row>
    <row r="14" spans="1:5" x14ac:dyDescent="0.25">
      <c r="A14" s="11" t="s">
        <v>23</v>
      </c>
      <c r="B14" s="12" t="s">
        <v>24</v>
      </c>
      <c r="C14" s="85" t="s">
        <v>125</v>
      </c>
      <c r="D14" s="85" t="s">
        <v>125</v>
      </c>
      <c r="E14" s="4" t="s">
        <v>125</v>
      </c>
    </row>
    <row r="15" spans="1:5" x14ac:dyDescent="0.25">
      <c r="A15" s="11" t="s">
        <v>25</v>
      </c>
      <c r="B15" s="12" t="s">
        <v>26</v>
      </c>
      <c r="C15" s="85" t="s">
        <v>125</v>
      </c>
      <c r="D15" s="85" t="s">
        <v>125</v>
      </c>
      <c r="E15" s="4" t="s">
        <v>125</v>
      </c>
    </row>
    <row r="16" spans="1:5" x14ac:dyDescent="0.25">
      <c r="A16" s="11" t="s">
        <v>27</v>
      </c>
      <c r="B16" s="12" t="s">
        <v>28</v>
      </c>
      <c r="C16" s="85" t="s">
        <v>125</v>
      </c>
      <c r="D16" s="85" t="s">
        <v>136</v>
      </c>
      <c r="E16" s="4" t="s">
        <v>125</v>
      </c>
    </row>
    <row r="17" spans="1:5" x14ac:dyDescent="0.25">
      <c r="A17" s="11" t="s">
        <v>29</v>
      </c>
      <c r="B17" s="12" t="s">
        <v>30</v>
      </c>
      <c r="C17" s="85" t="s">
        <v>125</v>
      </c>
      <c r="D17" s="85" t="s">
        <v>137</v>
      </c>
      <c r="E17" s="4" t="s">
        <v>125</v>
      </c>
    </row>
    <row r="18" spans="1:5" x14ac:dyDescent="0.25">
      <c r="A18" s="11" t="s">
        <v>31</v>
      </c>
      <c r="B18" s="12" t="s">
        <v>32</v>
      </c>
      <c r="C18" s="85" t="s">
        <v>125</v>
      </c>
      <c r="D18" s="85" t="s">
        <v>125</v>
      </c>
      <c r="E18" s="4" t="s">
        <v>125</v>
      </c>
    </row>
    <row r="19" spans="1:5" x14ac:dyDescent="0.25">
      <c r="A19" s="11" t="s">
        <v>33</v>
      </c>
      <c r="B19" s="12" t="s">
        <v>34</v>
      </c>
      <c r="C19" s="85" t="s">
        <v>125</v>
      </c>
      <c r="D19" s="85" t="s">
        <v>125</v>
      </c>
      <c r="E19" s="4" t="s">
        <v>125</v>
      </c>
    </row>
    <row r="20" spans="1:5" x14ac:dyDescent="0.25">
      <c r="A20" s="11" t="s">
        <v>35</v>
      </c>
      <c r="B20" s="12" t="s">
        <v>36</v>
      </c>
      <c r="C20" s="85" t="s">
        <v>125</v>
      </c>
      <c r="D20" s="85" t="s">
        <v>231</v>
      </c>
      <c r="E20" s="4" t="s">
        <v>231</v>
      </c>
    </row>
    <row r="21" spans="1:5" x14ac:dyDescent="0.25">
      <c r="A21" s="11" t="s">
        <v>37</v>
      </c>
      <c r="B21" s="12" t="s">
        <v>38</v>
      </c>
      <c r="C21" s="85" t="s">
        <v>125</v>
      </c>
      <c r="D21" s="85" t="s">
        <v>125</v>
      </c>
      <c r="E21" s="4" t="s">
        <v>125</v>
      </c>
    </row>
    <row r="22" spans="1:5" x14ac:dyDescent="0.25">
      <c r="A22" s="11" t="s">
        <v>39</v>
      </c>
      <c r="B22" s="12" t="s">
        <v>40</v>
      </c>
      <c r="C22" s="85" t="s">
        <v>125</v>
      </c>
      <c r="D22" s="85" t="s">
        <v>125</v>
      </c>
      <c r="E22" s="4" t="s">
        <v>125</v>
      </c>
    </row>
    <row r="23" spans="1:5" x14ac:dyDescent="0.25">
      <c r="A23" s="11" t="s">
        <v>41</v>
      </c>
      <c r="B23" s="12" t="s">
        <v>42</v>
      </c>
      <c r="C23" s="85" t="s">
        <v>125</v>
      </c>
      <c r="D23" s="85" t="s">
        <v>134</v>
      </c>
      <c r="E23" s="4" t="s">
        <v>230</v>
      </c>
    </row>
    <row r="24" spans="1:5" x14ac:dyDescent="0.25">
      <c r="A24" s="11" t="s">
        <v>43</v>
      </c>
      <c r="B24" s="12" t="s">
        <v>44</v>
      </c>
      <c r="C24" s="85" t="s">
        <v>125</v>
      </c>
      <c r="D24" s="4" t="s">
        <v>127</v>
      </c>
      <c r="E24" s="4" t="s">
        <v>127</v>
      </c>
    </row>
    <row r="25" spans="1:5" x14ac:dyDescent="0.25">
      <c r="A25" s="11" t="s">
        <v>45</v>
      </c>
      <c r="B25" s="12" t="s">
        <v>46</v>
      </c>
      <c r="C25" s="85" t="s">
        <v>125</v>
      </c>
      <c r="D25" s="4" t="s">
        <v>127</v>
      </c>
      <c r="E25" s="4" t="s">
        <v>127</v>
      </c>
    </row>
    <row r="26" spans="1:5" x14ac:dyDescent="0.25">
      <c r="A26" s="11" t="s">
        <v>47</v>
      </c>
      <c r="B26" s="12" t="s">
        <v>48</v>
      </c>
      <c r="C26" s="85" t="s">
        <v>125</v>
      </c>
      <c r="D26" s="85" t="s">
        <v>130</v>
      </c>
      <c r="E26" s="4" t="s">
        <v>125</v>
      </c>
    </row>
    <row r="27" spans="1:5" x14ac:dyDescent="0.25">
      <c r="A27" s="11" t="s">
        <v>49</v>
      </c>
      <c r="B27" s="12" t="s">
        <v>50</v>
      </c>
      <c r="C27" s="85" t="s">
        <v>125</v>
      </c>
      <c r="D27" s="85" t="s">
        <v>125</v>
      </c>
      <c r="E27" s="4" t="s">
        <v>125</v>
      </c>
    </row>
    <row r="28" spans="1:5" x14ac:dyDescent="0.25">
      <c r="A28" s="11" t="s">
        <v>51</v>
      </c>
      <c r="B28" s="12" t="s">
        <v>52</v>
      </c>
      <c r="C28" s="85" t="s">
        <v>125</v>
      </c>
      <c r="D28" s="85" t="s">
        <v>125</v>
      </c>
      <c r="E28" s="4" t="s">
        <v>125</v>
      </c>
    </row>
    <row r="29" spans="1:5" x14ac:dyDescent="0.25">
      <c r="A29" s="7" t="s">
        <v>53</v>
      </c>
      <c r="B29" s="8" t="s">
        <v>54</v>
      </c>
      <c r="C29" s="85" t="s">
        <v>125</v>
      </c>
      <c r="D29" s="85" t="s">
        <v>133</v>
      </c>
      <c r="E29" s="85" t="s">
        <v>133</v>
      </c>
    </row>
    <row r="30" spans="1:5" x14ac:dyDescent="0.25">
      <c r="A30" s="7" t="s">
        <v>55</v>
      </c>
      <c r="B30" s="8" t="s">
        <v>56</v>
      </c>
      <c r="C30" s="85" t="s">
        <v>125</v>
      </c>
      <c r="D30" s="85" t="s">
        <v>125</v>
      </c>
      <c r="E30" s="85" t="s">
        <v>125</v>
      </c>
    </row>
    <row r="31" spans="1:5" x14ac:dyDescent="0.25">
      <c r="A31" s="7" t="s">
        <v>57</v>
      </c>
      <c r="B31" s="8" t="s">
        <v>58</v>
      </c>
      <c r="C31" s="85" t="s">
        <v>125</v>
      </c>
      <c r="D31" s="85" t="s">
        <v>125</v>
      </c>
      <c r="E31" s="85" t="s">
        <v>125</v>
      </c>
    </row>
    <row r="32" spans="1:5" x14ac:dyDescent="0.25">
      <c r="A32" s="7" t="s">
        <v>59</v>
      </c>
      <c r="B32" s="8" t="s">
        <v>60</v>
      </c>
      <c r="C32" s="85" t="s">
        <v>125</v>
      </c>
      <c r="D32" s="85" t="s">
        <v>135</v>
      </c>
      <c r="E32" s="85" t="s">
        <v>135</v>
      </c>
    </row>
    <row r="33" spans="1:5" x14ac:dyDescent="0.25">
      <c r="A33" s="7" t="s">
        <v>61</v>
      </c>
      <c r="B33" s="8" t="s">
        <v>62</v>
      </c>
      <c r="C33" s="85" t="s">
        <v>125</v>
      </c>
      <c r="D33" s="85" t="s">
        <v>125</v>
      </c>
      <c r="E33" s="4" t="s">
        <v>125</v>
      </c>
    </row>
    <row r="34" spans="1:5" x14ac:dyDescent="0.25">
      <c r="A34" s="7" t="s">
        <v>63</v>
      </c>
      <c r="B34" s="8" t="s">
        <v>64</v>
      </c>
      <c r="C34" s="85" t="s">
        <v>125</v>
      </c>
      <c r="D34" s="85" t="s">
        <v>125</v>
      </c>
      <c r="E34" s="4" t="s">
        <v>125</v>
      </c>
    </row>
    <row r="35" spans="1:5" x14ac:dyDescent="0.25">
      <c r="A35" s="7" t="s">
        <v>65</v>
      </c>
      <c r="B35" s="8" t="s">
        <v>66</v>
      </c>
      <c r="C35" s="85" t="s">
        <v>125</v>
      </c>
      <c r="D35" s="85" t="s">
        <v>125</v>
      </c>
      <c r="E35" s="4" t="s">
        <v>125</v>
      </c>
    </row>
    <row r="36" spans="1:5" x14ac:dyDescent="0.25">
      <c r="A36" s="7" t="s">
        <v>67</v>
      </c>
      <c r="B36" s="8" t="s">
        <v>68</v>
      </c>
      <c r="C36" s="85" t="s">
        <v>125</v>
      </c>
      <c r="D36" s="4" t="s">
        <v>132</v>
      </c>
      <c r="E36" s="4" t="s">
        <v>125</v>
      </c>
    </row>
    <row r="37" spans="1:5" x14ac:dyDescent="0.25">
      <c r="A37" s="7" t="s">
        <v>69</v>
      </c>
      <c r="B37" s="8" t="s">
        <v>70</v>
      </c>
      <c r="C37" s="85" t="s">
        <v>125</v>
      </c>
      <c r="D37" s="85" t="s">
        <v>131</v>
      </c>
      <c r="E37" s="85" t="s">
        <v>131</v>
      </c>
    </row>
    <row r="38" spans="1:5" x14ac:dyDescent="0.25">
      <c r="A38" s="7" t="s">
        <v>71</v>
      </c>
      <c r="B38" s="8" t="s">
        <v>72</v>
      </c>
      <c r="C38" s="85" t="s">
        <v>125</v>
      </c>
      <c r="D38" s="85" t="s">
        <v>125</v>
      </c>
      <c r="E38" s="4" t="s">
        <v>125</v>
      </c>
    </row>
    <row r="39" spans="1:5" x14ac:dyDescent="0.25">
      <c r="A39" s="7" t="s">
        <v>73</v>
      </c>
      <c r="B39" s="8" t="s">
        <v>74</v>
      </c>
      <c r="C39" s="85" t="s">
        <v>125</v>
      </c>
      <c r="D39" s="4" t="s">
        <v>127</v>
      </c>
      <c r="E39" s="4" t="s">
        <v>127</v>
      </c>
    </row>
    <row r="40" spans="1:5" x14ac:dyDescent="0.25">
      <c r="A40" s="7" t="s">
        <v>75</v>
      </c>
      <c r="B40" s="8" t="s">
        <v>76</v>
      </c>
      <c r="C40" s="85" t="s">
        <v>125</v>
      </c>
      <c r="D40" s="85" t="s">
        <v>126</v>
      </c>
      <c r="E40" s="4" t="s">
        <v>125</v>
      </c>
    </row>
    <row r="41" spans="1:5" x14ac:dyDescent="0.25">
      <c r="A41" s="7" t="s">
        <v>77</v>
      </c>
      <c r="B41" s="8" t="s">
        <v>78</v>
      </c>
      <c r="C41" s="85" t="s">
        <v>125</v>
      </c>
      <c r="D41" s="85" t="s">
        <v>128</v>
      </c>
      <c r="E41" s="4" t="s">
        <v>125</v>
      </c>
    </row>
    <row r="42" spans="1:5" x14ac:dyDescent="0.25">
      <c r="A42" s="7" t="s">
        <v>79</v>
      </c>
      <c r="B42" s="8" t="s">
        <v>80</v>
      </c>
      <c r="C42" s="85" t="s">
        <v>125</v>
      </c>
      <c r="D42" s="85" t="s">
        <v>125</v>
      </c>
      <c r="E42" s="4" t="s">
        <v>125</v>
      </c>
    </row>
    <row r="43" spans="1:5" x14ac:dyDescent="0.25">
      <c r="A43" s="7" t="s">
        <v>81</v>
      </c>
      <c r="B43" s="8" t="s">
        <v>82</v>
      </c>
      <c r="C43" s="85" t="s">
        <v>125</v>
      </c>
      <c r="D43" s="4" t="s">
        <v>127</v>
      </c>
      <c r="E43" s="4" t="s">
        <v>127</v>
      </c>
    </row>
    <row r="44" spans="1:5" x14ac:dyDescent="0.25">
      <c r="A44" s="7" t="s">
        <v>83</v>
      </c>
      <c r="B44" s="8" t="s">
        <v>84</v>
      </c>
      <c r="C44" s="85" t="s">
        <v>125</v>
      </c>
      <c r="D44" s="85" t="s">
        <v>129</v>
      </c>
      <c r="E44" s="85" t="s">
        <v>129</v>
      </c>
    </row>
    <row r="45" spans="1:5" x14ac:dyDescent="0.25">
      <c r="A45" s="7" t="s">
        <v>85</v>
      </c>
      <c r="B45" s="8" t="s">
        <v>86</v>
      </c>
      <c r="C45" s="85" t="s">
        <v>125</v>
      </c>
      <c r="D45" s="85" t="s">
        <v>126</v>
      </c>
      <c r="E45" s="4" t="s">
        <v>125</v>
      </c>
    </row>
    <row r="46" spans="1:5" x14ac:dyDescent="0.25">
      <c r="A46" s="7" t="s">
        <v>87</v>
      </c>
      <c r="B46" s="8" t="s">
        <v>88</v>
      </c>
      <c r="C46" s="85" t="s">
        <v>125</v>
      </c>
      <c r="D46" s="85" t="s">
        <v>125</v>
      </c>
      <c r="E46" s="4" t="s">
        <v>125</v>
      </c>
    </row>
    <row r="47" spans="1:5" x14ac:dyDescent="0.25">
      <c r="A47" s="7" t="s">
        <v>89</v>
      </c>
      <c r="B47" s="8" t="s">
        <v>90</v>
      </c>
      <c r="C47" s="85" t="s">
        <v>125</v>
      </c>
      <c r="D47" s="85" t="s">
        <v>126</v>
      </c>
      <c r="E47" s="4" t="s">
        <v>125</v>
      </c>
    </row>
    <row r="48" spans="1:5" x14ac:dyDescent="0.25">
      <c r="A48" s="7" t="s">
        <v>91</v>
      </c>
      <c r="B48" s="8" t="s">
        <v>92</v>
      </c>
      <c r="C48" s="85" t="s">
        <v>125</v>
      </c>
      <c r="D48" s="85" t="s">
        <v>125</v>
      </c>
      <c r="E48" s="4" t="s">
        <v>125</v>
      </c>
    </row>
    <row r="49" spans="1:5" x14ac:dyDescent="0.25">
      <c r="A49" s="7" t="s">
        <v>93</v>
      </c>
      <c r="B49" s="8" t="s">
        <v>94</v>
      </c>
      <c r="C49" s="85" t="s">
        <v>125</v>
      </c>
      <c r="D49" s="85" t="s">
        <v>125</v>
      </c>
      <c r="E49" s="4" t="s">
        <v>125</v>
      </c>
    </row>
    <row r="50" spans="1:5" x14ac:dyDescent="0.25">
      <c r="A50" s="8" t="s">
        <v>95</v>
      </c>
      <c r="B50" s="8" t="s">
        <v>96</v>
      </c>
      <c r="C50" s="85" t="s">
        <v>125</v>
      </c>
      <c r="D50" s="85" t="s">
        <v>125</v>
      </c>
      <c r="E50" s="4" t="s">
        <v>125</v>
      </c>
    </row>
  </sheetData>
  <mergeCells count="3">
    <mergeCell ref="B1:B2"/>
    <mergeCell ref="A1:A2"/>
    <mergeCell ref="C1:E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17120-E8D4-45B5-8A1B-776CFC801701}">
  <dimension ref="A1:T107"/>
  <sheetViews>
    <sheetView zoomScale="85" zoomScaleNormal="85" workbookViewId="0">
      <selection activeCell="S30" sqref="S30"/>
    </sheetView>
  </sheetViews>
  <sheetFormatPr baseColWidth="10" defaultColWidth="9.140625" defaultRowHeight="15" x14ac:dyDescent="0.25"/>
  <cols>
    <col min="1" max="1" width="11.85546875" bestFit="1" customWidth="1"/>
    <col min="2" max="2" width="17" bestFit="1" customWidth="1"/>
    <col min="3" max="3" width="7.140625" bestFit="1" customWidth="1"/>
    <col min="4" max="6" width="11.28515625" bestFit="1" customWidth="1"/>
    <col min="7" max="7" width="11.140625" bestFit="1" customWidth="1"/>
    <col min="8" max="9" width="13.28515625" customWidth="1"/>
    <col min="10" max="10" width="13.42578125" customWidth="1"/>
    <col min="11" max="12" width="14" customWidth="1"/>
    <col min="13" max="13" width="14.85546875" customWidth="1"/>
    <col min="14" max="14" width="14.42578125" customWidth="1"/>
    <col min="15" max="15" width="14" customWidth="1"/>
    <col min="16" max="16" width="12.5703125" customWidth="1"/>
    <col min="17" max="17" width="13.28515625" customWidth="1"/>
    <col min="18" max="18" width="8.7109375" customWidth="1"/>
    <col min="33" max="38" width="12" bestFit="1" customWidth="1"/>
  </cols>
  <sheetData>
    <row r="1" spans="1:18" x14ac:dyDescent="0.25">
      <c r="A1" s="104" t="s">
        <v>115</v>
      </c>
      <c r="B1" s="104" t="s">
        <v>99</v>
      </c>
      <c r="C1" s="104" t="s">
        <v>98</v>
      </c>
      <c r="D1" s="104" t="s">
        <v>100</v>
      </c>
      <c r="E1" s="104" t="s">
        <v>101</v>
      </c>
      <c r="F1" s="104"/>
      <c r="G1" s="104"/>
      <c r="H1" s="104" t="s">
        <v>102</v>
      </c>
      <c r="I1" s="104"/>
      <c r="J1" s="104"/>
      <c r="K1" s="104" t="s">
        <v>103</v>
      </c>
      <c r="L1" s="104"/>
      <c r="M1" s="104"/>
      <c r="N1" s="104" t="s">
        <v>116</v>
      </c>
      <c r="O1" s="104"/>
      <c r="P1" s="104"/>
      <c r="Q1" s="104"/>
    </row>
    <row r="2" spans="1:18" x14ac:dyDescent="0.25">
      <c r="A2" s="104"/>
      <c r="B2" s="104"/>
      <c r="C2" s="104"/>
      <c r="D2" s="104"/>
      <c r="E2" s="13" t="s">
        <v>105</v>
      </c>
      <c r="F2" s="13" t="s">
        <v>106</v>
      </c>
      <c r="G2" s="13" t="s">
        <v>107</v>
      </c>
      <c r="H2" s="13" t="s">
        <v>108</v>
      </c>
      <c r="I2" s="13" t="s">
        <v>109</v>
      </c>
      <c r="J2" s="13" t="s">
        <v>110</v>
      </c>
      <c r="K2" s="13" t="s">
        <v>108</v>
      </c>
      <c r="L2" s="13" t="s">
        <v>109</v>
      </c>
      <c r="M2" s="13" t="s">
        <v>110</v>
      </c>
      <c r="N2" s="13" t="s">
        <v>100</v>
      </c>
      <c r="O2" s="13" t="s">
        <v>108</v>
      </c>
      <c r="P2" s="13" t="s">
        <v>109</v>
      </c>
      <c r="Q2" s="13" t="s">
        <v>110</v>
      </c>
    </row>
    <row r="3" spans="1:18" x14ac:dyDescent="0.25">
      <c r="A3" s="97" t="s">
        <v>7</v>
      </c>
      <c r="B3" s="97" t="s">
        <v>112</v>
      </c>
      <c r="C3" s="5" t="s">
        <v>111</v>
      </c>
      <c r="D3">
        <v>4.7110000000000003</v>
      </c>
      <c r="E3">
        <v>7.03</v>
      </c>
      <c r="F3">
        <v>35.01</v>
      </c>
      <c r="G3">
        <v>135.97999999999999</v>
      </c>
      <c r="H3">
        <v>33.11833</v>
      </c>
      <c r="I3">
        <v>164.93210999999999</v>
      </c>
      <c r="J3">
        <v>640.60177999999996</v>
      </c>
      <c r="K3">
        <v>15.68763</v>
      </c>
      <c r="L3">
        <v>107.45791</v>
      </c>
      <c r="M3">
        <v>214.35050000000001</v>
      </c>
      <c r="N3" s="98">
        <f>(D4-D3)/D3</f>
        <v>-0.22224580768414351</v>
      </c>
      <c r="O3" s="99">
        <f>(K4-K3)/K3</f>
        <v>-0.22458140585926625</v>
      </c>
      <c r="P3" s="99">
        <f>(L4-L3)/L3</f>
        <v>-0.32317313820825283</v>
      </c>
      <c r="Q3" s="100">
        <f>(M4-M3)/M3</f>
        <v>-0.34326777870823721</v>
      </c>
      <c r="R3" s="2"/>
    </row>
    <row r="4" spans="1:18" x14ac:dyDescent="0.25">
      <c r="A4" s="97"/>
      <c r="B4" s="97"/>
      <c r="C4" s="5" t="s">
        <v>114</v>
      </c>
      <c r="D4">
        <v>3.6640000000000001</v>
      </c>
      <c r="E4">
        <v>7.02</v>
      </c>
      <c r="F4">
        <v>32.049999999999997</v>
      </c>
      <c r="G4">
        <v>128.91</v>
      </c>
      <c r="H4">
        <v>25.72128</v>
      </c>
      <c r="I4">
        <v>117.4312</v>
      </c>
      <c r="J4">
        <v>472.32623999999998</v>
      </c>
      <c r="K4">
        <v>12.164479999999999</v>
      </c>
      <c r="L4">
        <v>72.730400000000003</v>
      </c>
      <c r="M4">
        <v>140.77088000000001</v>
      </c>
      <c r="N4" s="98"/>
      <c r="O4" s="99"/>
      <c r="P4" s="99"/>
      <c r="Q4" s="100"/>
      <c r="R4" s="2"/>
    </row>
    <row r="5" spans="1:18" x14ac:dyDescent="0.25">
      <c r="A5" s="97"/>
      <c r="B5" s="97" t="s">
        <v>113</v>
      </c>
      <c r="C5" s="5" t="s">
        <v>111</v>
      </c>
      <c r="D5">
        <v>3.141</v>
      </c>
      <c r="E5">
        <v>7.11</v>
      </c>
      <c r="F5">
        <v>32.119999999999997</v>
      </c>
      <c r="G5">
        <v>129.22999999999999</v>
      </c>
      <c r="H5">
        <v>22.332509999999999</v>
      </c>
      <c r="I5">
        <v>100.88892</v>
      </c>
      <c r="J5">
        <v>405.91143</v>
      </c>
      <c r="K5">
        <v>10.71081</v>
      </c>
      <c r="L5">
        <v>62.568720000000013</v>
      </c>
      <c r="M5">
        <v>121.71375</v>
      </c>
      <c r="N5" s="98">
        <f>(D6-D5)/D5</f>
        <v>-0.66634829672078955</v>
      </c>
      <c r="O5" s="99">
        <f>(K6-K5)/K5</f>
        <v>-0.67221900117731526</v>
      </c>
      <c r="P5" s="99">
        <f>(L6-L5)/L5</f>
        <v>-0.79146768545049351</v>
      </c>
      <c r="Q5" s="100">
        <f>(M6-M5)/M5</f>
        <v>-0.81100245452958264</v>
      </c>
      <c r="R5" s="2"/>
    </row>
    <row r="6" spans="1:18" x14ac:dyDescent="0.25">
      <c r="A6" s="97"/>
      <c r="B6" s="97"/>
      <c r="C6" s="5" t="s">
        <v>114</v>
      </c>
      <c r="D6">
        <v>1.048</v>
      </c>
      <c r="E6">
        <v>7.05</v>
      </c>
      <c r="F6">
        <v>24.65</v>
      </c>
      <c r="G6">
        <v>112.43</v>
      </c>
      <c r="H6">
        <v>7.3883999999999999</v>
      </c>
      <c r="I6">
        <v>25.833200000000001</v>
      </c>
      <c r="J6">
        <v>117.82664</v>
      </c>
      <c r="K6">
        <v>3.5108000000000001</v>
      </c>
      <c r="L6">
        <v>13.047599999999999</v>
      </c>
      <c r="M6">
        <v>23.003599999999999</v>
      </c>
      <c r="N6" s="98"/>
      <c r="O6" s="99"/>
      <c r="P6" s="99"/>
      <c r="Q6" s="100"/>
      <c r="R6" s="2"/>
    </row>
    <row r="7" spans="1:18" x14ac:dyDescent="0.25">
      <c r="A7" s="97" t="s">
        <v>9</v>
      </c>
      <c r="B7" s="97" t="s">
        <v>112</v>
      </c>
      <c r="C7" s="5" t="s">
        <v>111</v>
      </c>
      <c r="D7">
        <v>409.55500000000001</v>
      </c>
      <c r="E7">
        <v>2.16</v>
      </c>
      <c r="F7">
        <v>17.190000000000001</v>
      </c>
      <c r="G7">
        <v>148.86000000000001</v>
      </c>
      <c r="H7">
        <v>884.63880000000006</v>
      </c>
      <c r="I7">
        <v>7040.2504499999995</v>
      </c>
      <c r="J7">
        <v>60966.357300000003</v>
      </c>
      <c r="K7">
        <v>716.72125000000005</v>
      </c>
      <c r="L7">
        <v>6892.8106499999994</v>
      </c>
      <c r="M7">
        <v>22783.54465</v>
      </c>
      <c r="N7" s="98">
        <f>(D8-D7)/D7</f>
        <v>0.29419003552636402</v>
      </c>
      <c r="O7" s="99">
        <f>(K8-K7)/K7</f>
        <v>0.34595763694741855</v>
      </c>
      <c r="P7" s="99">
        <f>(L8-L7)/L7</f>
        <v>0.16115683520190724</v>
      </c>
      <c r="Q7" s="100">
        <f>(M8-M7)/M7</f>
        <v>0.21788330684532009</v>
      </c>
      <c r="R7" s="2"/>
    </row>
    <row r="8" spans="1:18" x14ac:dyDescent="0.25">
      <c r="A8" s="97"/>
      <c r="B8" s="97"/>
      <c r="C8" s="5" t="s">
        <v>114</v>
      </c>
      <c r="D8">
        <v>530.04200000000003</v>
      </c>
      <c r="E8">
        <v>2.23</v>
      </c>
      <c r="F8">
        <v>15.46</v>
      </c>
      <c r="G8">
        <v>145.58000000000001</v>
      </c>
      <c r="H8">
        <v>1181.9936600000001</v>
      </c>
      <c r="I8">
        <v>8194.4493200000015</v>
      </c>
      <c r="J8">
        <v>77163.514360000016</v>
      </c>
      <c r="K8">
        <v>964.67644000000007</v>
      </c>
      <c r="L8">
        <v>8003.6342000000004</v>
      </c>
      <c r="M8">
        <v>27747.698700000001</v>
      </c>
      <c r="N8" s="98"/>
      <c r="O8" s="99"/>
      <c r="P8" s="99"/>
      <c r="Q8" s="100"/>
      <c r="R8" s="2"/>
    </row>
    <row r="9" spans="1:18" x14ac:dyDescent="0.25">
      <c r="A9" s="97"/>
      <c r="B9" s="97" t="s">
        <v>113</v>
      </c>
      <c r="C9" s="5" t="s">
        <v>111</v>
      </c>
      <c r="D9">
        <v>0.52600000000000002</v>
      </c>
      <c r="E9">
        <v>2.2400000000000002</v>
      </c>
      <c r="F9">
        <v>7.19</v>
      </c>
      <c r="G9">
        <v>105.37</v>
      </c>
      <c r="H9">
        <v>1.17824</v>
      </c>
      <c r="I9">
        <v>3.781940000000001</v>
      </c>
      <c r="J9">
        <v>55.424619999999997</v>
      </c>
      <c r="K9">
        <v>0.9625800000000001</v>
      </c>
      <c r="L9">
        <v>3.5925799999999999</v>
      </c>
      <c r="M9">
        <v>6.3856400000000004</v>
      </c>
      <c r="N9" s="98">
        <f>(D10-D9)/D9</f>
        <v>0</v>
      </c>
      <c r="O9" s="99">
        <f>(K10-K9)/K9</f>
        <v>1.6393442622950834E-2</v>
      </c>
      <c r="P9" s="99">
        <f>(L10-L9)/L9</f>
        <v>-4.3923865300146154E-3</v>
      </c>
      <c r="Q9" s="100">
        <f>(M10-M9)/M9</f>
        <v>-0.14168039538714994</v>
      </c>
      <c r="R9" s="2"/>
    </row>
    <row r="10" spans="1:18" x14ac:dyDescent="0.25">
      <c r="A10" s="97"/>
      <c r="B10" s="97"/>
      <c r="C10" s="5" t="s">
        <v>114</v>
      </c>
      <c r="D10">
        <v>0.52600000000000002</v>
      </c>
      <c r="E10">
        <v>2.27</v>
      </c>
      <c r="F10">
        <v>7.16</v>
      </c>
      <c r="G10">
        <v>103.65</v>
      </c>
      <c r="H10">
        <v>1.1940200000000001</v>
      </c>
      <c r="I10">
        <v>3.7661600000000002</v>
      </c>
      <c r="J10">
        <v>54.519900000000007</v>
      </c>
      <c r="K10">
        <v>0.97836000000000012</v>
      </c>
      <c r="L10">
        <v>3.5768</v>
      </c>
      <c r="M10">
        <v>5.4809200000000002</v>
      </c>
      <c r="N10" s="98"/>
      <c r="O10" s="99"/>
      <c r="P10" s="99"/>
      <c r="Q10" s="100"/>
      <c r="R10" s="2"/>
    </row>
    <row r="11" spans="1:18" x14ac:dyDescent="0.25">
      <c r="A11" s="97" t="s">
        <v>13</v>
      </c>
      <c r="B11" s="97" t="s">
        <v>112</v>
      </c>
      <c r="C11" s="5" t="s">
        <v>111</v>
      </c>
      <c r="D11">
        <v>2.0939999999999999</v>
      </c>
      <c r="E11">
        <v>1.77</v>
      </c>
      <c r="F11">
        <v>10.67</v>
      </c>
      <c r="G11">
        <v>118.01</v>
      </c>
      <c r="H11">
        <v>3.7063799999999998</v>
      </c>
      <c r="I11">
        <v>22.342980000000001</v>
      </c>
      <c r="J11">
        <v>247.11294000000001</v>
      </c>
      <c r="K11">
        <v>2.8269000000000002</v>
      </c>
      <c r="L11">
        <v>21.12846</v>
      </c>
      <c r="M11">
        <v>57.187139999999992</v>
      </c>
      <c r="N11" s="98">
        <f>(D12-D11)/D11</f>
        <v>-0.5</v>
      </c>
      <c r="O11" s="99">
        <f>(K12-K11)/K11</f>
        <v>-0.47037037037037044</v>
      </c>
      <c r="P11" s="99">
        <f>(L12-L11)/L11</f>
        <v>-0.48761149653121905</v>
      </c>
      <c r="Q11" s="100">
        <f>(M12-M11)/M11</f>
        <v>-0.54192603441962639</v>
      </c>
      <c r="R11" s="2"/>
    </row>
    <row r="12" spans="1:18" x14ac:dyDescent="0.25">
      <c r="A12" s="97"/>
      <c r="B12" s="97"/>
      <c r="C12" s="5" t="s">
        <v>114</v>
      </c>
      <c r="D12">
        <v>1.0469999999999999</v>
      </c>
      <c r="E12">
        <v>1.85</v>
      </c>
      <c r="F12">
        <v>10.92</v>
      </c>
      <c r="G12">
        <v>115.72</v>
      </c>
      <c r="H12">
        <v>1.9369499999999999</v>
      </c>
      <c r="I12">
        <v>11.43324</v>
      </c>
      <c r="J12">
        <v>121.15884</v>
      </c>
      <c r="K12">
        <v>1.4972099999999999</v>
      </c>
      <c r="L12">
        <v>10.825979999999999</v>
      </c>
      <c r="M12">
        <v>26.19594</v>
      </c>
      <c r="N12" s="98"/>
      <c r="O12" s="99"/>
      <c r="P12" s="99"/>
      <c r="Q12" s="100"/>
      <c r="R12" s="2"/>
    </row>
    <row r="13" spans="1:18" x14ac:dyDescent="0.25">
      <c r="A13" s="97"/>
      <c r="B13" s="97" t="s">
        <v>113</v>
      </c>
      <c r="C13" s="5" t="s">
        <v>111</v>
      </c>
      <c r="D13">
        <v>2.0939999999999999</v>
      </c>
      <c r="E13">
        <v>1.79</v>
      </c>
      <c r="F13">
        <v>10.51</v>
      </c>
      <c r="G13">
        <v>118.79</v>
      </c>
      <c r="H13">
        <v>3.7482600000000001</v>
      </c>
      <c r="I13">
        <v>22.007940000000001</v>
      </c>
      <c r="J13">
        <v>248.74626000000001</v>
      </c>
      <c r="K13">
        <v>2.8687800000000001</v>
      </c>
      <c r="L13">
        <v>20.793420000000001</v>
      </c>
      <c r="M13">
        <v>58.820459999999997</v>
      </c>
      <c r="N13" s="98">
        <f>(D14-D13)/D13</f>
        <v>-0.5</v>
      </c>
      <c r="O13" s="99">
        <f>(K14-K13)/K13</f>
        <v>-0.47445255474452558</v>
      </c>
      <c r="P13" s="99">
        <f>(L14-L13)/L13</f>
        <v>-0.49295065458207449</v>
      </c>
      <c r="Q13" s="100">
        <f>(M14-M13)/M13</f>
        <v>-0.54716981132075471</v>
      </c>
      <c r="R13" s="2"/>
    </row>
    <row r="14" spans="1:18" x14ac:dyDescent="0.25">
      <c r="A14" s="97"/>
      <c r="B14" s="97"/>
      <c r="C14" s="5" t="s">
        <v>114</v>
      </c>
      <c r="D14">
        <v>1.0469999999999999</v>
      </c>
      <c r="E14">
        <v>1.86</v>
      </c>
      <c r="F14">
        <v>10.65</v>
      </c>
      <c r="G14">
        <v>116.14</v>
      </c>
      <c r="H14">
        <v>1.9474199999999999</v>
      </c>
      <c r="I14">
        <v>11.150550000000001</v>
      </c>
      <c r="J14">
        <v>121.59858</v>
      </c>
      <c r="K14">
        <v>1.5076799999999999</v>
      </c>
      <c r="L14">
        <v>10.543290000000001</v>
      </c>
      <c r="M14">
        <v>26.635680000000001</v>
      </c>
      <c r="N14" s="98"/>
      <c r="O14" s="99"/>
      <c r="P14" s="99"/>
      <c r="Q14" s="100"/>
      <c r="R14" s="2"/>
    </row>
    <row r="15" spans="1:18" x14ac:dyDescent="0.25">
      <c r="A15" s="97" t="s">
        <v>15</v>
      </c>
      <c r="B15" s="97" t="s">
        <v>112</v>
      </c>
      <c r="C15" s="5" t="s">
        <v>111</v>
      </c>
      <c r="D15">
        <v>4.7119999999999997</v>
      </c>
      <c r="E15">
        <v>2.72</v>
      </c>
      <c r="F15">
        <v>22.77</v>
      </c>
      <c r="G15">
        <v>135.72999999999999</v>
      </c>
      <c r="H15">
        <v>12.81664</v>
      </c>
      <c r="I15">
        <v>107.29224000000001</v>
      </c>
      <c r="J15">
        <v>639.55975999999987</v>
      </c>
      <c r="K15">
        <v>10.8376</v>
      </c>
      <c r="L15">
        <v>104.55928</v>
      </c>
      <c r="M15">
        <v>228.43776</v>
      </c>
      <c r="N15" s="98">
        <f>(D16-D15)/D15</f>
        <v>0.12308998302207133</v>
      </c>
      <c r="O15" s="99">
        <f>(K16-K15)/K15</f>
        <v>0.93855097069461857</v>
      </c>
      <c r="P15" s="99">
        <f>(L16-L15)/L15</f>
        <v>0.11347361994076476</v>
      </c>
      <c r="Q15" s="100">
        <f>(M16-M15)/M15</f>
        <v>0.17428694800719469</v>
      </c>
      <c r="R15" s="2"/>
    </row>
    <row r="16" spans="1:18" x14ac:dyDescent="0.25">
      <c r="A16" s="97"/>
      <c r="B16" s="97"/>
      <c r="C16" s="5" t="s">
        <v>114</v>
      </c>
      <c r="D16">
        <v>5.2919999999999998</v>
      </c>
      <c r="E16">
        <v>4.3899999999999997</v>
      </c>
      <c r="F16">
        <v>22.58</v>
      </c>
      <c r="G16">
        <v>137.94</v>
      </c>
      <c r="H16">
        <v>23.23188</v>
      </c>
      <c r="I16">
        <v>119.49336</v>
      </c>
      <c r="J16">
        <v>729.97847999999999</v>
      </c>
      <c r="K16">
        <v>21.009239999999998</v>
      </c>
      <c r="L16">
        <v>116.42400000000001</v>
      </c>
      <c r="M16">
        <v>268.25148000000002</v>
      </c>
      <c r="N16" s="98"/>
      <c r="O16" s="99"/>
      <c r="P16" s="99"/>
      <c r="Q16" s="100"/>
      <c r="R16" s="2"/>
    </row>
    <row r="17" spans="1:18" x14ac:dyDescent="0.25">
      <c r="A17" s="97"/>
      <c r="B17" s="97" t="s">
        <v>113</v>
      </c>
      <c r="C17" s="5" t="s">
        <v>111</v>
      </c>
      <c r="D17">
        <v>22.956</v>
      </c>
      <c r="E17">
        <v>4.04</v>
      </c>
      <c r="F17">
        <v>19.399999999999999</v>
      </c>
      <c r="G17">
        <v>133.47</v>
      </c>
      <c r="H17">
        <v>92.742239999999995</v>
      </c>
      <c r="I17">
        <v>445.34640000000002</v>
      </c>
      <c r="J17">
        <v>3063.93732</v>
      </c>
      <c r="K17">
        <v>83.100719999999995</v>
      </c>
      <c r="L17">
        <v>432.03192000000001</v>
      </c>
      <c r="M17">
        <v>1061.0263199999999</v>
      </c>
      <c r="N17" s="98">
        <f>(D18-D17)/D17</f>
        <v>-0.81072486495905216</v>
      </c>
      <c r="O17" s="99">
        <f>(K18-K17)/K17</f>
        <v>-0.79033334488557982</v>
      </c>
      <c r="P17" s="99">
        <f>(L18-L17)/L17</f>
        <v>-0.79161632316427</v>
      </c>
      <c r="Q17" s="100">
        <f>(M18-M17)/M17</f>
        <v>-0.80576980408930854</v>
      </c>
      <c r="R17" s="2"/>
    </row>
    <row r="18" spans="1:18" x14ac:dyDescent="0.25">
      <c r="A18" s="97"/>
      <c r="B18" s="97"/>
      <c r="C18" s="5" t="s">
        <v>114</v>
      </c>
      <c r="D18">
        <v>4.3449999999999998</v>
      </c>
      <c r="E18">
        <v>4.43</v>
      </c>
      <c r="F18">
        <v>21.3</v>
      </c>
      <c r="G18">
        <v>134.68</v>
      </c>
      <c r="H18">
        <v>19.248349999999999</v>
      </c>
      <c r="I18">
        <v>92.548500000000004</v>
      </c>
      <c r="J18">
        <v>585.18460000000005</v>
      </c>
      <c r="K18">
        <v>17.423449999999999</v>
      </c>
      <c r="L18">
        <v>90.028399999999991</v>
      </c>
      <c r="M18">
        <v>206.08335</v>
      </c>
      <c r="N18" s="98"/>
      <c r="O18" s="99"/>
      <c r="P18" s="99"/>
      <c r="Q18" s="100"/>
      <c r="R18" s="2"/>
    </row>
    <row r="19" spans="1:18" x14ac:dyDescent="0.25">
      <c r="A19" s="97" t="s">
        <v>17</v>
      </c>
      <c r="B19" s="97" t="s">
        <v>112</v>
      </c>
      <c r="C19" s="5" t="s">
        <v>111</v>
      </c>
      <c r="D19">
        <v>0.54100000000000004</v>
      </c>
      <c r="E19">
        <v>1.61</v>
      </c>
      <c r="F19">
        <v>7.38</v>
      </c>
      <c r="G19">
        <v>109.41</v>
      </c>
      <c r="H19">
        <v>0.87101000000000006</v>
      </c>
      <c r="I19">
        <v>3.9925799999999998</v>
      </c>
      <c r="J19">
        <v>59.190809999999999</v>
      </c>
      <c r="K19">
        <v>0.64378999999999997</v>
      </c>
      <c r="L19">
        <v>3.6787999999999998</v>
      </c>
      <c r="M19">
        <v>8.0122100000000014</v>
      </c>
      <c r="N19" s="98">
        <f>(D20-D19)/D19</f>
        <v>0</v>
      </c>
      <c r="O19" s="99">
        <f>(K20-K19)/K19</f>
        <v>-2.5210084033613394E-2</v>
      </c>
      <c r="P19" s="99">
        <f>(L20-L19)/L19</f>
        <v>-0.12647058823529383</v>
      </c>
      <c r="Q19" s="100">
        <f>(M20-M19)/M19</f>
        <v>-8.8453747467927057E-2</v>
      </c>
      <c r="R19" s="2"/>
    </row>
    <row r="20" spans="1:18" x14ac:dyDescent="0.25">
      <c r="A20" s="97"/>
      <c r="B20" s="97"/>
      <c r="C20" s="5" t="s">
        <v>114</v>
      </c>
      <c r="D20">
        <v>0.54100000000000004</v>
      </c>
      <c r="E20">
        <v>1.58</v>
      </c>
      <c r="F20">
        <v>6.52</v>
      </c>
      <c r="G20">
        <v>108.1</v>
      </c>
      <c r="H20">
        <v>0.8547800000000001</v>
      </c>
      <c r="I20">
        <v>3.52732</v>
      </c>
      <c r="J20">
        <v>58.482100000000003</v>
      </c>
      <c r="K20">
        <v>0.62756000000000001</v>
      </c>
      <c r="L20">
        <v>3.213540000000001</v>
      </c>
      <c r="M20">
        <v>7.3035000000000014</v>
      </c>
      <c r="N20" s="98"/>
      <c r="O20" s="99"/>
      <c r="P20" s="99"/>
      <c r="Q20" s="100"/>
      <c r="R20" s="2"/>
    </row>
    <row r="21" spans="1:18" x14ac:dyDescent="0.25">
      <c r="A21" s="97"/>
      <c r="B21" s="97" t="s">
        <v>113</v>
      </c>
      <c r="C21" s="5" t="s">
        <v>111</v>
      </c>
      <c r="D21">
        <v>0.52300000000000002</v>
      </c>
      <c r="E21">
        <v>1.58</v>
      </c>
      <c r="F21">
        <v>6.49</v>
      </c>
      <c r="G21">
        <v>108.15</v>
      </c>
      <c r="H21">
        <v>0.82634000000000007</v>
      </c>
      <c r="I21">
        <v>3.3942700000000001</v>
      </c>
      <c r="J21">
        <v>56.562450000000013</v>
      </c>
      <c r="K21">
        <v>0.60668</v>
      </c>
      <c r="L21">
        <v>3.0909300000000002</v>
      </c>
      <c r="M21">
        <v>7.0866500000000006</v>
      </c>
      <c r="N21" s="98">
        <f>(D22-D21)/D21</f>
        <v>3.4416826003824119E-2</v>
      </c>
      <c r="O21" s="99">
        <f>(K22-K21)/K21</f>
        <v>3.4416826003824105E-2</v>
      </c>
      <c r="P21" s="99">
        <f>(L22-L21)/L21</f>
        <v>3.4416826003823994E-2</v>
      </c>
      <c r="Q21" s="100">
        <f>(M22-M21)/M21</f>
        <v>-3.8106862904193142E-2</v>
      </c>
      <c r="R21" s="2"/>
    </row>
    <row r="22" spans="1:18" x14ac:dyDescent="0.25">
      <c r="A22" s="97"/>
      <c r="B22" s="97"/>
      <c r="C22" s="5" t="s">
        <v>114</v>
      </c>
      <c r="D22">
        <v>0.54100000000000004</v>
      </c>
      <c r="E22">
        <v>1.58</v>
      </c>
      <c r="F22">
        <v>6.49</v>
      </c>
      <c r="G22">
        <v>107.2</v>
      </c>
      <c r="H22">
        <v>0.8547800000000001</v>
      </c>
      <c r="I22">
        <v>3.5110899999999998</v>
      </c>
      <c r="J22">
        <v>57.995199999999997</v>
      </c>
      <c r="K22">
        <v>0.62756000000000001</v>
      </c>
      <c r="L22">
        <v>3.1973099999999999</v>
      </c>
      <c r="M22">
        <v>6.8166000000000002</v>
      </c>
      <c r="N22" s="98"/>
      <c r="O22" s="99"/>
      <c r="P22" s="99"/>
      <c r="Q22" s="100"/>
      <c r="R22" s="2"/>
    </row>
    <row r="23" spans="1:18" x14ac:dyDescent="0.25">
      <c r="A23" s="97" t="s">
        <v>19</v>
      </c>
      <c r="B23" s="97" t="s">
        <v>112</v>
      </c>
      <c r="C23" s="5" t="s">
        <v>111</v>
      </c>
      <c r="D23">
        <v>82.099000000000004</v>
      </c>
      <c r="E23">
        <v>1.68</v>
      </c>
      <c r="F23">
        <v>19.21</v>
      </c>
      <c r="G23">
        <v>149.15</v>
      </c>
      <c r="H23">
        <v>137.92632</v>
      </c>
      <c r="I23">
        <v>1577.1217899999999</v>
      </c>
      <c r="J23">
        <v>12245.065850000001</v>
      </c>
      <c r="K23">
        <v>103.44474</v>
      </c>
      <c r="L23">
        <v>1529.5043700000001</v>
      </c>
      <c r="M23">
        <v>4994.9031600000008</v>
      </c>
      <c r="N23" s="98">
        <f>(D24-D23)/D23</f>
        <v>-0.98718620202438512</v>
      </c>
      <c r="O23" s="99">
        <f>(K24-K23)/K23</f>
        <v>-0.98637262754974309</v>
      </c>
      <c r="P23" s="99">
        <f>(L24-L23)/L23</f>
        <v>-0.9955567828812415</v>
      </c>
      <c r="Q23" s="100">
        <f>(M24-M23)/M23</f>
        <v>-0.99692291932242394</v>
      </c>
      <c r="R23" s="2"/>
    </row>
    <row r="24" spans="1:18" x14ac:dyDescent="0.25">
      <c r="A24" s="97"/>
      <c r="B24" s="97"/>
      <c r="C24" s="5" t="s">
        <v>114</v>
      </c>
      <c r="D24">
        <v>1.052</v>
      </c>
      <c r="E24">
        <v>1.76</v>
      </c>
      <c r="F24">
        <v>7.04</v>
      </c>
      <c r="G24">
        <v>102.92</v>
      </c>
      <c r="H24">
        <v>1.8515200000000001</v>
      </c>
      <c r="I24">
        <v>7.4060800000000002</v>
      </c>
      <c r="J24">
        <v>108.27184</v>
      </c>
      <c r="K24">
        <v>1.40968</v>
      </c>
      <c r="L24">
        <v>6.7959200000000006</v>
      </c>
      <c r="M24">
        <v>15.369719999999999</v>
      </c>
      <c r="N24" s="98"/>
      <c r="O24" s="99"/>
      <c r="P24" s="99"/>
      <c r="Q24" s="100"/>
      <c r="R24" s="2"/>
    </row>
    <row r="25" spans="1:18" x14ac:dyDescent="0.25">
      <c r="A25" s="97"/>
      <c r="B25" s="97" t="s">
        <v>113</v>
      </c>
      <c r="C25" s="5" t="s">
        <v>111</v>
      </c>
      <c r="D25">
        <v>81.534000000000006</v>
      </c>
      <c r="E25">
        <v>1.68</v>
      </c>
      <c r="F25">
        <v>19.260000000000002</v>
      </c>
      <c r="G25">
        <v>147.83000000000001</v>
      </c>
      <c r="H25">
        <v>136.97712000000001</v>
      </c>
      <c r="I25">
        <v>1570.34484</v>
      </c>
      <c r="J25">
        <v>12053.17122</v>
      </c>
      <c r="K25">
        <v>102.73284</v>
      </c>
      <c r="L25">
        <v>1523.05512</v>
      </c>
      <c r="M25">
        <v>4852.9036800000003</v>
      </c>
      <c r="N25" s="98">
        <f>(D26-D25)/D25</f>
        <v>-0.99354870360831071</v>
      </c>
      <c r="O25" s="99">
        <f>(K26-K25)/K25</f>
        <v>-0.9927806921331096</v>
      </c>
      <c r="P25" s="99">
        <f>(L26-L25)/L25</f>
        <v>-0.99789331327680386</v>
      </c>
      <c r="Q25" s="100">
        <f>(M26-M25)/M25</f>
        <v>-0.99871559371233998</v>
      </c>
      <c r="R25" s="2"/>
    </row>
    <row r="26" spans="1:18" x14ac:dyDescent="0.25">
      <c r="A26" s="97"/>
      <c r="B26" s="97"/>
      <c r="C26" s="5" t="s">
        <v>114</v>
      </c>
      <c r="D26">
        <v>0.52600000000000002</v>
      </c>
      <c r="E26">
        <v>1.83</v>
      </c>
      <c r="F26">
        <v>6.68</v>
      </c>
      <c r="G26">
        <v>100.16</v>
      </c>
      <c r="H26">
        <v>0.9625800000000001</v>
      </c>
      <c r="I26">
        <v>3.5136799999999999</v>
      </c>
      <c r="J26">
        <v>52.684159999999999</v>
      </c>
      <c r="K26">
        <v>0.74165999999999999</v>
      </c>
      <c r="L26">
        <v>3.2086000000000001</v>
      </c>
      <c r="M26">
        <v>6.2331000000000003</v>
      </c>
      <c r="N26" s="98"/>
      <c r="O26" s="99"/>
      <c r="P26" s="99"/>
      <c r="Q26" s="100"/>
      <c r="R26" s="2"/>
    </row>
    <row r="27" spans="1:18" x14ac:dyDescent="0.25">
      <c r="A27" s="97" t="s">
        <v>21</v>
      </c>
      <c r="B27" s="97" t="s">
        <v>112</v>
      </c>
      <c r="C27" s="5" t="s">
        <v>111</v>
      </c>
      <c r="D27">
        <v>2.0939999999999999</v>
      </c>
      <c r="E27">
        <v>2.1</v>
      </c>
      <c r="F27">
        <v>12.56</v>
      </c>
      <c r="G27">
        <v>124.11</v>
      </c>
      <c r="H27">
        <v>4.3974000000000002</v>
      </c>
      <c r="I27">
        <v>26.300640000000001</v>
      </c>
      <c r="J27">
        <v>259.88634000000002</v>
      </c>
      <c r="K27">
        <v>3.5179200000000002</v>
      </c>
      <c r="L27">
        <v>25.086120000000001</v>
      </c>
      <c r="M27">
        <v>75.258359999999996</v>
      </c>
      <c r="N27" s="98">
        <f>(D28-D27)/D27</f>
        <v>0</v>
      </c>
      <c r="O27" s="99">
        <f>(K28-K27)/K27</f>
        <v>1.1904761904761882E-2</v>
      </c>
      <c r="P27" s="99">
        <f>(L28-L27)/L27</f>
        <v>-3.422370617696166E-2</v>
      </c>
      <c r="Q27" s="100">
        <f>(M28-M27)/M27</f>
        <v>-0.11129660545353373</v>
      </c>
      <c r="R27" s="2"/>
    </row>
    <row r="28" spans="1:18" x14ac:dyDescent="0.25">
      <c r="A28" s="97"/>
      <c r="B28" s="97"/>
      <c r="C28" s="5" t="s">
        <v>114</v>
      </c>
      <c r="D28">
        <v>2.0939999999999999</v>
      </c>
      <c r="E28">
        <v>2.12</v>
      </c>
      <c r="F28">
        <v>12.15</v>
      </c>
      <c r="G28">
        <v>120.1</v>
      </c>
      <c r="H28">
        <v>4.4392800000000001</v>
      </c>
      <c r="I28">
        <v>25.4421</v>
      </c>
      <c r="J28">
        <v>251.48939999999999</v>
      </c>
      <c r="K28">
        <v>3.5598000000000001</v>
      </c>
      <c r="L28">
        <v>24.22758</v>
      </c>
      <c r="M28">
        <v>66.882359999999991</v>
      </c>
      <c r="N28" s="98"/>
      <c r="O28" s="99"/>
      <c r="P28" s="99"/>
      <c r="Q28" s="100"/>
      <c r="R28" s="2"/>
    </row>
    <row r="29" spans="1:18" x14ac:dyDescent="0.25">
      <c r="A29" s="97"/>
      <c r="B29" s="97" t="s">
        <v>113</v>
      </c>
      <c r="C29" s="5" t="s">
        <v>111</v>
      </c>
      <c r="D29">
        <v>1.0469999999999999</v>
      </c>
      <c r="E29">
        <v>2.12</v>
      </c>
      <c r="F29">
        <v>10.62</v>
      </c>
      <c r="G29">
        <v>114.08</v>
      </c>
      <c r="H29">
        <v>2.2196400000000001</v>
      </c>
      <c r="I29">
        <v>11.11914</v>
      </c>
      <c r="J29">
        <v>119.44176</v>
      </c>
      <c r="K29">
        <v>1.7799</v>
      </c>
      <c r="L29">
        <v>10.51188</v>
      </c>
      <c r="M29">
        <v>27.127770000000002</v>
      </c>
      <c r="N29" s="98">
        <f>(D30-D29)/D29</f>
        <v>0</v>
      </c>
      <c r="O29" s="99">
        <f>(K30-K29)/K29</f>
        <v>2.3529411764705837E-2</v>
      </c>
      <c r="P29" s="99">
        <f>(L30-L29)/L29</f>
        <v>-0.15438247011952189</v>
      </c>
      <c r="Q29" s="100">
        <f>(M30-M29)/M29</f>
        <v>-0.31416441528367428</v>
      </c>
      <c r="R29" s="2"/>
    </row>
    <row r="30" spans="1:18" x14ac:dyDescent="0.25">
      <c r="A30" s="97"/>
      <c r="B30" s="97"/>
      <c r="C30" s="5" t="s">
        <v>114</v>
      </c>
      <c r="D30">
        <v>1.0469999999999999</v>
      </c>
      <c r="E30">
        <v>2.16</v>
      </c>
      <c r="F30">
        <v>9.07</v>
      </c>
      <c r="G30">
        <v>105.94</v>
      </c>
      <c r="H30">
        <v>2.26152</v>
      </c>
      <c r="I30">
        <v>9.4962900000000001</v>
      </c>
      <c r="J30">
        <v>110.91918</v>
      </c>
      <c r="K30">
        <v>1.82178</v>
      </c>
      <c r="L30">
        <v>8.88903</v>
      </c>
      <c r="M30">
        <v>18.60519</v>
      </c>
      <c r="N30" s="98"/>
      <c r="O30" s="99"/>
      <c r="P30" s="99"/>
      <c r="Q30" s="100"/>
      <c r="R30" s="2"/>
    </row>
    <row r="31" spans="1:18" x14ac:dyDescent="0.25">
      <c r="A31" s="97" t="s">
        <v>23</v>
      </c>
      <c r="B31" s="97" t="s">
        <v>112</v>
      </c>
      <c r="C31" s="5" t="s">
        <v>111</v>
      </c>
      <c r="D31">
        <v>1.0469999999999999</v>
      </c>
      <c r="E31">
        <v>2.2599999999999998</v>
      </c>
      <c r="F31">
        <v>10.220000000000001</v>
      </c>
      <c r="G31">
        <v>114.41</v>
      </c>
      <c r="H31">
        <v>2.3662200000000002</v>
      </c>
      <c r="I31">
        <v>10.700340000000001</v>
      </c>
      <c r="J31">
        <v>119.78727000000001</v>
      </c>
      <c r="K31">
        <v>1.92648</v>
      </c>
      <c r="L31">
        <v>10.09308</v>
      </c>
      <c r="M31">
        <v>24.803429999999999</v>
      </c>
      <c r="N31" s="98">
        <f>(D32-D31)/D31</f>
        <v>0</v>
      </c>
      <c r="O31" s="99">
        <f>(K32-K31)/K31</f>
        <v>1.0869565217391283E-2</v>
      </c>
      <c r="P31" s="99">
        <f>(L32-L31)/L31</f>
        <v>-0.14107883817427411</v>
      </c>
      <c r="Q31" s="100">
        <f>(M32-M31)/M31</f>
        <v>-0.21317011397214014</v>
      </c>
      <c r="R31" s="2"/>
    </row>
    <row r="32" spans="1:18" x14ac:dyDescent="0.25">
      <c r="A32" s="97"/>
      <c r="B32" s="97"/>
      <c r="C32" s="5" t="s">
        <v>114</v>
      </c>
      <c r="D32">
        <v>1.0469999999999999</v>
      </c>
      <c r="E32">
        <v>2.2799999999999998</v>
      </c>
      <c r="F32">
        <v>8.86</v>
      </c>
      <c r="G32">
        <v>109.35</v>
      </c>
      <c r="H32">
        <v>2.3871600000000002</v>
      </c>
      <c r="I32">
        <v>9.2764199999999981</v>
      </c>
      <c r="J32">
        <v>114.48945000000001</v>
      </c>
      <c r="K32">
        <v>1.9474199999999999</v>
      </c>
      <c r="L32">
        <v>8.669159999999998</v>
      </c>
      <c r="M32">
        <v>19.516079999999999</v>
      </c>
      <c r="N32" s="98"/>
      <c r="O32" s="99"/>
      <c r="P32" s="99"/>
      <c r="Q32" s="100"/>
      <c r="R32" s="2"/>
    </row>
    <row r="33" spans="1:20" x14ac:dyDescent="0.25">
      <c r="A33" s="97"/>
      <c r="B33" s="97" t="s">
        <v>113</v>
      </c>
      <c r="C33" s="5" t="s">
        <v>111</v>
      </c>
      <c r="D33">
        <v>0.54100000000000004</v>
      </c>
      <c r="E33">
        <v>2.31</v>
      </c>
      <c r="F33">
        <v>8.2899999999999991</v>
      </c>
      <c r="G33">
        <v>105.58</v>
      </c>
      <c r="H33">
        <v>1.2497100000000001</v>
      </c>
      <c r="I33">
        <v>4.48489</v>
      </c>
      <c r="J33">
        <v>57.118780000000001</v>
      </c>
      <c r="K33">
        <v>1.0224899999999999</v>
      </c>
      <c r="L33">
        <v>4.1711100000000014</v>
      </c>
      <c r="M33">
        <v>8.04467</v>
      </c>
      <c r="N33" s="98">
        <f>(D34-D33)/D33</f>
        <v>0.12939001848428824</v>
      </c>
      <c r="O33" s="99">
        <f>(K34-K33)/K33</f>
        <v>0.11743880135747069</v>
      </c>
      <c r="P33" s="99">
        <f>(L34-L33)/L33</f>
        <v>0.11181196372188652</v>
      </c>
      <c r="Q33" s="100">
        <f>(M34-M33)/M33</f>
        <v>0.12103541848205078</v>
      </c>
      <c r="R33" s="2"/>
    </row>
    <row r="34" spans="1:20" x14ac:dyDescent="0.25">
      <c r="A34" s="97"/>
      <c r="B34" s="97"/>
      <c r="C34" s="5" t="s">
        <v>114</v>
      </c>
      <c r="D34">
        <v>0.61099999999999999</v>
      </c>
      <c r="E34">
        <v>2.29</v>
      </c>
      <c r="F34">
        <v>8.17</v>
      </c>
      <c r="G34">
        <v>105.48</v>
      </c>
      <c r="H34">
        <v>1.3991899999999999</v>
      </c>
      <c r="I34">
        <v>4.9918699999999996</v>
      </c>
      <c r="J34">
        <v>64.448279999999997</v>
      </c>
      <c r="K34">
        <v>1.1425700000000001</v>
      </c>
      <c r="L34">
        <v>4.6374899999999997</v>
      </c>
      <c r="M34">
        <v>9.0183599999999995</v>
      </c>
      <c r="N34" s="98"/>
      <c r="O34" s="99"/>
      <c r="P34" s="99"/>
      <c r="Q34" s="100"/>
      <c r="R34" s="2"/>
    </row>
    <row r="35" spans="1:20" x14ac:dyDescent="0.25">
      <c r="A35" s="97" t="s">
        <v>25</v>
      </c>
      <c r="B35" s="97" t="s">
        <v>112</v>
      </c>
      <c r="C35" s="5" t="s">
        <v>111</v>
      </c>
      <c r="D35">
        <v>8.3770000000000007</v>
      </c>
      <c r="E35">
        <v>4.9400000000000004</v>
      </c>
      <c r="F35">
        <v>25.29</v>
      </c>
      <c r="G35">
        <v>139.72999999999999</v>
      </c>
      <c r="H35">
        <v>41.382379999999998</v>
      </c>
      <c r="I35">
        <v>211.85433</v>
      </c>
      <c r="J35">
        <v>1170.51821</v>
      </c>
      <c r="K35">
        <v>31.581289999999999</v>
      </c>
      <c r="L35">
        <v>206.99566999999999</v>
      </c>
      <c r="M35">
        <v>412.90233000000001</v>
      </c>
      <c r="N35" s="98">
        <f>(D36-D35)/D35</f>
        <v>3.1037364211531334E-3</v>
      </c>
      <c r="O35" s="99">
        <f>(K36-K35)/K35</f>
        <v>3.1037364211532136E-3</v>
      </c>
      <c r="P35" s="99">
        <f>(L36-L35)/L35</f>
        <v>-9.5576878492185436E-4</v>
      </c>
      <c r="Q35" s="100">
        <f>(M36-M35)/M35</f>
        <v>-1.2566579607337244E-2</v>
      </c>
      <c r="R35" s="2"/>
    </row>
    <row r="36" spans="1:20" x14ac:dyDescent="0.25">
      <c r="A36" s="97"/>
      <c r="B36" s="97"/>
      <c r="C36" s="5" t="s">
        <v>114</v>
      </c>
      <c r="D36">
        <v>8.4030000000000005</v>
      </c>
      <c r="E36">
        <v>4.9400000000000004</v>
      </c>
      <c r="F36">
        <v>25.19</v>
      </c>
      <c r="G36">
        <v>138.96</v>
      </c>
      <c r="H36">
        <v>41.510820000000002</v>
      </c>
      <c r="I36">
        <v>211.67157</v>
      </c>
      <c r="J36">
        <v>1167.6808799999999</v>
      </c>
      <c r="K36">
        <v>31.679310000000001</v>
      </c>
      <c r="L36">
        <v>206.79783</v>
      </c>
      <c r="M36">
        <v>407.71355999999997</v>
      </c>
      <c r="N36" s="98"/>
      <c r="O36" s="99"/>
      <c r="P36" s="99"/>
      <c r="Q36" s="100"/>
      <c r="R36" s="2"/>
    </row>
    <row r="37" spans="1:20" x14ac:dyDescent="0.25">
      <c r="A37" s="97"/>
      <c r="B37" s="97" t="s">
        <v>113</v>
      </c>
      <c r="C37" s="5" t="s">
        <v>111</v>
      </c>
      <c r="D37">
        <v>5.968</v>
      </c>
      <c r="E37">
        <v>4.93</v>
      </c>
      <c r="F37">
        <v>25.2</v>
      </c>
      <c r="G37">
        <v>138.58000000000001</v>
      </c>
      <c r="H37">
        <v>29.422239999999999</v>
      </c>
      <c r="I37">
        <v>150.39359999999999</v>
      </c>
      <c r="J37">
        <v>827.0454400000001</v>
      </c>
      <c r="K37">
        <v>22.439679999999999</v>
      </c>
      <c r="L37">
        <v>146.93216000000001</v>
      </c>
      <c r="M37">
        <v>287.29951999999997</v>
      </c>
      <c r="N37" s="98">
        <f>(D38-D37)/D37</f>
        <v>-3.7030831099195728E-2</v>
      </c>
      <c r="O37" s="99">
        <f>(K38-K37)/K37</f>
        <v>-2.6786478238548839E-2</v>
      </c>
      <c r="P37" s="99">
        <f>(L38-L37)/L37</f>
        <v>-0.11877760457615283</v>
      </c>
      <c r="Q37" s="100">
        <f>(M38-M37)/M37</f>
        <v>-0.12524632829181193</v>
      </c>
      <c r="R37" s="2"/>
    </row>
    <row r="38" spans="1:20" x14ac:dyDescent="0.25">
      <c r="A38" s="97"/>
      <c r="B38" s="97"/>
      <c r="C38" s="5" t="s">
        <v>114</v>
      </c>
      <c r="D38">
        <v>5.7469999999999999</v>
      </c>
      <c r="E38">
        <v>4.97</v>
      </c>
      <c r="F38">
        <v>23.11</v>
      </c>
      <c r="G38">
        <v>134.16999999999999</v>
      </c>
      <c r="H38">
        <v>28.56259</v>
      </c>
      <c r="I38">
        <v>132.81317000000001</v>
      </c>
      <c r="J38">
        <v>771.07498999999996</v>
      </c>
      <c r="K38">
        <v>21.8386</v>
      </c>
      <c r="L38">
        <v>129.47990999999999</v>
      </c>
      <c r="M38">
        <v>251.31630999999999</v>
      </c>
      <c r="N38" s="98"/>
      <c r="O38" s="99"/>
      <c r="P38" s="99"/>
      <c r="Q38" s="100"/>
      <c r="R38" s="2"/>
    </row>
    <row r="39" spans="1:20" x14ac:dyDescent="0.25">
      <c r="A39" s="97" t="s">
        <v>31</v>
      </c>
      <c r="B39" s="97" t="s">
        <v>112</v>
      </c>
      <c r="C39" s="5" t="s">
        <v>111</v>
      </c>
      <c r="D39">
        <v>1.0469999999999999</v>
      </c>
      <c r="E39">
        <v>6.24</v>
      </c>
      <c r="F39">
        <v>15.74</v>
      </c>
      <c r="G39">
        <v>114.57</v>
      </c>
      <c r="H39">
        <v>6.5332800000000004</v>
      </c>
      <c r="I39">
        <v>16.479780000000002</v>
      </c>
      <c r="J39">
        <v>119.95479</v>
      </c>
      <c r="K39">
        <v>4.2508199999999992</v>
      </c>
      <c r="L39">
        <v>14.050739999999999</v>
      </c>
      <c r="M39">
        <v>23.264340000000001</v>
      </c>
      <c r="N39" s="98">
        <f>(D40-D39)/D39</f>
        <v>0</v>
      </c>
      <c r="O39" s="99">
        <f>(K40-K39)/K39</f>
        <v>1.9704433497536911E-2</v>
      </c>
      <c r="P39" s="99">
        <f>(L40-L39)/L39</f>
        <v>-7.0044709388971574E-2</v>
      </c>
      <c r="Q39" s="100">
        <f>(M40-M39)/M39</f>
        <v>-6.5706570657065713E-2</v>
      </c>
      <c r="R39" s="2"/>
    </row>
    <row r="40" spans="1:20" x14ac:dyDescent="0.25">
      <c r="A40" s="97"/>
      <c r="B40" s="97"/>
      <c r="C40" s="5" t="s">
        <v>114</v>
      </c>
      <c r="D40">
        <v>1.0469999999999999</v>
      </c>
      <c r="E40">
        <v>6.32</v>
      </c>
      <c r="F40">
        <v>14.8</v>
      </c>
      <c r="G40">
        <v>113.12</v>
      </c>
      <c r="H40">
        <v>6.6170400000000003</v>
      </c>
      <c r="I40">
        <v>15.4956</v>
      </c>
      <c r="J40">
        <v>118.43664</v>
      </c>
      <c r="K40">
        <v>4.334579999999999</v>
      </c>
      <c r="L40">
        <v>13.066560000000001</v>
      </c>
      <c r="M40">
        <v>21.735720000000001</v>
      </c>
      <c r="N40" s="98"/>
      <c r="O40" s="99"/>
      <c r="P40" s="99"/>
      <c r="Q40" s="100"/>
      <c r="R40" s="2"/>
      <c r="T40" s="14"/>
    </row>
    <row r="41" spans="1:20" x14ac:dyDescent="0.25">
      <c r="A41" s="97"/>
      <c r="B41" s="97" t="s">
        <v>113</v>
      </c>
      <c r="C41" s="5" t="s">
        <v>111</v>
      </c>
      <c r="D41">
        <v>0.57599999999999996</v>
      </c>
      <c r="E41">
        <v>6.47</v>
      </c>
      <c r="F41">
        <v>13.22</v>
      </c>
      <c r="G41">
        <v>108.7</v>
      </c>
      <c r="H41">
        <v>3.7267199999999989</v>
      </c>
      <c r="I41">
        <v>7.6147200000000002</v>
      </c>
      <c r="J41">
        <v>62.611199999999997</v>
      </c>
      <c r="K41">
        <v>2.4710399999999999</v>
      </c>
      <c r="L41">
        <v>6.2784000000000004</v>
      </c>
      <c r="M41">
        <v>9.4118399999999998</v>
      </c>
      <c r="N41" s="98">
        <f>(D42-D41)/D41</f>
        <v>6.0763888888888951E-2</v>
      </c>
      <c r="O41" s="99">
        <f>(K42-K41)/K41</f>
        <v>3.8510101010100974E-2</v>
      </c>
      <c r="P41" s="99">
        <f>(L42-L41)/L41</f>
        <v>4.4219864933740978E-2</v>
      </c>
      <c r="Q41" s="100">
        <f>(M42-M41)/M41</f>
        <v>0.16593142254861973</v>
      </c>
      <c r="R41" s="2"/>
    </row>
    <row r="42" spans="1:20" x14ac:dyDescent="0.25">
      <c r="A42" s="97"/>
      <c r="B42" s="97"/>
      <c r="C42" s="5" t="s">
        <v>114</v>
      </c>
      <c r="D42">
        <v>0.61099999999999999</v>
      </c>
      <c r="E42">
        <v>6.38</v>
      </c>
      <c r="F42">
        <v>13.05</v>
      </c>
      <c r="G42">
        <v>110.32</v>
      </c>
      <c r="H42">
        <v>3.89818</v>
      </c>
      <c r="I42">
        <v>7.9735500000000004</v>
      </c>
      <c r="J42">
        <v>67.405519999999996</v>
      </c>
      <c r="K42">
        <v>2.5661999999999998</v>
      </c>
      <c r="L42">
        <v>6.5560299999999998</v>
      </c>
      <c r="M42">
        <v>10.973560000000001</v>
      </c>
      <c r="N42" s="98"/>
      <c r="O42" s="99"/>
      <c r="P42" s="99"/>
      <c r="Q42" s="100"/>
      <c r="R42" s="2"/>
    </row>
    <row r="43" spans="1:20" x14ac:dyDescent="0.25">
      <c r="A43" s="97" t="s">
        <v>33</v>
      </c>
      <c r="B43" s="97" t="s">
        <v>112</v>
      </c>
      <c r="C43" s="5" t="s">
        <v>111</v>
      </c>
      <c r="D43">
        <v>1.0469999999999999</v>
      </c>
      <c r="E43">
        <v>2.91</v>
      </c>
      <c r="F43">
        <v>9.2100000000000009</v>
      </c>
      <c r="G43">
        <v>111.22</v>
      </c>
      <c r="H43">
        <v>3.04677</v>
      </c>
      <c r="I43">
        <v>9.6428700000000003</v>
      </c>
      <c r="J43">
        <v>116.44734</v>
      </c>
      <c r="K43">
        <v>2.60703</v>
      </c>
      <c r="L43">
        <v>9.0356100000000001</v>
      </c>
      <c r="M43">
        <v>23.337630000000001</v>
      </c>
      <c r="N43" s="98">
        <f>(D44-D43)/D43</f>
        <v>0</v>
      </c>
      <c r="O43" s="99">
        <f>(K44-K43)/K43</f>
        <v>-4.0160642570280193E-3</v>
      </c>
      <c r="P43" s="99">
        <f>(L44-L43)/L43</f>
        <v>3.4762456546928509E-3</v>
      </c>
      <c r="Q43" s="100">
        <f>(M44-M43)/M43</f>
        <v>1.4804845222072715E-2</v>
      </c>
      <c r="R43" s="2"/>
    </row>
    <row r="44" spans="1:20" x14ac:dyDescent="0.25">
      <c r="A44" s="97"/>
      <c r="B44" s="97"/>
      <c r="C44" s="5" t="s">
        <v>114</v>
      </c>
      <c r="D44">
        <v>1.0469999999999999</v>
      </c>
      <c r="E44">
        <v>2.9</v>
      </c>
      <c r="F44">
        <v>9.24</v>
      </c>
      <c r="G44">
        <v>111.55</v>
      </c>
      <c r="H44">
        <v>3.0363000000000002</v>
      </c>
      <c r="I44">
        <v>9.6742799999999995</v>
      </c>
      <c r="J44">
        <v>116.79285</v>
      </c>
      <c r="K44">
        <v>2.5965600000000002</v>
      </c>
      <c r="L44">
        <v>9.0670199999999994</v>
      </c>
      <c r="M44">
        <v>23.683140000000002</v>
      </c>
      <c r="N44" s="98"/>
      <c r="O44" s="99"/>
      <c r="P44" s="99"/>
      <c r="Q44" s="100"/>
      <c r="R44" s="2"/>
    </row>
    <row r="45" spans="1:20" x14ac:dyDescent="0.25">
      <c r="A45" s="97"/>
      <c r="B45" s="97" t="s">
        <v>113</v>
      </c>
      <c r="C45" s="5" t="s">
        <v>111</v>
      </c>
      <c r="D45">
        <v>0.66300000000000003</v>
      </c>
      <c r="E45">
        <v>3.01</v>
      </c>
      <c r="F45">
        <v>7.06</v>
      </c>
      <c r="G45">
        <v>106.23</v>
      </c>
      <c r="H45">
        <v>1.99563</v>
      </c>
      <c r="I45">
        <v>4.6807800000000004</v>
      </c>
      <c r="J45">
        <v>70.430490000000006</v>
      </c>
      <c r="K45">
        <v>1.7171700000000001</v>
      </c>
      <c r="L45">
        <v>4.2962400000000001</v>
      </c>
      <c r="M45">
        <v>11.46327</v>
      </c>
      <c r="N45" s="98">
        <f>(D46-D45)/D45</f>
        <v>-0.15837104072398187</v>
      </c>
      <c r="O45" s="99">
        <f>(K46-K45)/K45</f>
        <v>-0.16811963870787405</v>
      </c>
      <c r="P45" s="99">
        <f>(L46-L45)/L45</f>
        <v>-0.10771744595273985</v>
      </c>
      <c r="Q45" s="100">
        <f>(M46-M45)/M45</f>
        <v>-8.0974276973324294E-2</v>
      </c>
      <c r="R45" s="2"/>
    </row>
    <row r="46" spans="1:20" x14ac:dyDescent="0.25">
      <c r="A46" s="97"/>
      <c r="B46" s="97"/>
      <c r="C46" s="5" t="s">
        <v>114</v>
      </c>
      <c r="D46">
        <v>0.55800000000000005</v>
      </c>
      <c r="E46">
        <v>2.98</v>
      </c>
      <c r="F46">
        <v>7.45</v>
      </c>
      <c r="G46">
        <v>107.82</v>
      </c>
      <c r="H46">
        <v>1.6628400000000001</v>
      </c>
      <c r="I46">
        <v>4.1571000000000007</v>
      </c>
      <c r="J46">
        <v>60.163559999999997</v>
      </c>
      <c r="K46">
        <v>1.42848</v>
      </c>
      <c r="L46">
        <v>3.833460000000001</v>
      </c>
      <c r="M46">
        <v>10.53504</v>
      </c>
      <c r="N46" s="98"/>
      <c r="O46" s="99"/>
      <c r="P46" s="99"/>
      <c r="Q46" s="100"/>
      <c r="R46" s="2"/>
    </row>
    <row r="47" spans="1:20" x14ac:dyDescent="0.25">
      <c r="A47" s="97" t="s">
        <v>37</v>
      </c>
      <c r="B47" s="97" t="s">
        <v>112</v>
      </c>
      <c r="C47" s="5" t="s">
        <v>111</v>
      </c>
      <c r="D47">
        <v>12.635999999999999</v>
      </c>
      <c r="E47">
        <v>2.29</v>
      </c>
      <c r="F47">
        <v>21.3</v>
      </c>
      <c r="G47">
        <v>142.6</v>
      </c>
      <c r="H47">
        <v>28.936440000000001</v>
      </c>
      <c r="I47">
        <v>269.14679999999998</v>
      </c>
      <c r="J47">
        <v>1801.8936000000001</v>
      </c>
      <c r="K47">
        <v>23.62932</v>
      </c>
      <c r="L47">
        <v>261.81792000000002</v>
      </c>
      <c r="M47">
        <v>647.72135999999989</v>
      </c>
      <c r="N47" s="98">
        <f>(D48-D47)/D47</f>
        <v>0.4070117125672682</v>
      </c>
      <c r="O47" s="99">
        <f>(K48-K47)/K47</f>
        <v>0.39948758576209548</v>
      </c>
      <c r="P47" s="99">
        <f>(L48-L47)/L47</f>
        <v>0.34385915983138193</v>
      </c>
      <c r="Q47" s="100">
        <f>(M48-M47)/M47</f>
        <v>0.34799737035073242</v>
      </c>
      <c r="R47" s="2"/>
    </row>
    <row r="48" spans="1:20" x14ac:dyDescent="0.25">
      <c r="A48" s="97"/>
      <c r="B48" s="97"/>
      <c r="C48" s="5" t="s">
        <v>114</v>
      </c>
      <c r="D48">
        <v>17.779</v>
      </c>
      <c r="E48">
        <v>2.2799999999999998</v>
      </c>
      <c r="F48">
        <v>20.37</v>
      </c>
      <c r="G48">
        <v>140.44999999999999</v>
      </c>
      <c r="H48">
        <v>40.536119999999997</v>
      </c>
      <c r="I48">
        <v>362.15823</v>
      </c>
      <c r="J48">
        <v>2497.0605500000001</v>
      </c>
      <c r="K48">
        <v>33.068939999999998</v>
      </c>
      <c r="L48">
        <v>351.84640999999999</v>
      </c>
      <c r="M48">
        <v>873.12668999999994</v>
      </c>
      <c r="N48" s="98"/>
      <c r="O48" s="99"/>
      <c r="P48" s="99"/>
      <c r="Q48" s="100"/>
      <c r="R48" s="2"/>
    </row>
    <row r="49" spans="1:18" x14ac:dyDescent="0.25">
      <c r="A49" s="97"/>
      <c r="B49" s="97" t="s">
        <v>113</v>
      </c>
      <c r="C49" s="5" t="s">
        <v>111</v>
      </c>
      <c r="D49">
        <v>1.57</v>
      </c>
      <c r="E49">
        <v>2.36</v>
      </c>
      <c r="F49">
        <v>13.63</v>
      </c>
      <c r="G49">
        <v>120.43</v>
      </c>
      <c r="H49">
        <v>3.7052</v>
      </c>
      <c r="I49">
        <v>21.399100000000001</v>
      </c>
      <c r="J49">
        <v>189.07509999999999</v>
      </c>
      <c r="K49">
        <v>3.0457999999999998</v>
      </c>
      <c r="L49">
        <v>20.488499999999998</v>
      </c>
      <c r="M49">
        <v>45.686999999999998</v>
      </c>
      <c r="N49" s="98">
        <f>(D50-D49)/D49</f>
        <v>4.4585987261145828E-3</v>
      </c>
      <c r="O49" s="99">
        <f>(K50-K49)/K49</f>
        <v>4.4585987261146981E-3</v>
      </c>
      <c r="P49" s="99">
        <f>(L50-L49)/L49</f>
        <v>0.21150791907655522</v>
      </c>
      <c r="Q49" s="100">
        <f>(M50-M49)/M49</f>
        <v>0.13700571278481846</v>
      </c>
      <c r="R49" s="2"/>
    </row>
    <row r="50" spans="1:18" x14ac:dyDescent="0.25">
      <c r="A50" s="97"/>
      <c r="B50" s="97"/>
      <c r="C50" s="5" t="s">
        <v>114</v>
      </c>
      <c r="D50">
        <v>1.577</v>
      </c>
      <c r="E50">
        <v>2.36</v>
      </c>
      <c r="F50">
        <v>16.32</v>
      </c>
      <c r="G50">
        <v>124.27</v>
      </c>
      <c r="H50">
        <v>3.7217199999999999</v>
      </c>
      <c r="I50">
        <v>25.736640000000001</v>
      </c>
      <c r="J50">
        <v>195.97379000000001</v>
      </c>
      <c r="K50">
        <v>3.05938</v>
      </c>
      <c r="L50">
        <v>24.82198</v>
      </c>
      <c r="M50">
        <v>51.946379999999998</v>
      </c>
      <c r="N50" s="98"/>
      <c r="O50" s="99"/>
      <c r="P50" s="99"/>
      <c r="Q50" s="100"/>
      <c r="R50" s="2"/>
    </row>
    <row r="51" spans="1:18" x14ac:dyDescent="0.25">
      <c r="A51" s="97" t="s">
        <v>39</v>
      </c>
      <c r="B51" s="97" t="s">
        <v>112</v>
      </c>
      <c r="C51" s="5" t="s">
        <v>111</v>
      </c>
      <c r="D51">
        <v>8.9009999999999998</v>
      </c>
      <c r="E51">
        <v>3.52</v>
      </c>
      <c r="F51">
        <v>24.2</v>
      </c>
      <c r="G51">
        <v>145.29</v>
      </c>
      <c r="H51">
        <v>31.331520000000001</v>
      </c>
      <c r="I51">
        <v>215.4042</v>
      </c>
      <c r="J51">
        <v>1293.2262900000001</v>
      </c>
      <c r="K51">
        <v>27.5931</v>
      </c>
      <c r="L51">
        <v>210.24162000000001</v>
      </c>
      <c r="M51">
        <v>436.23800999999997</v>
      </c>
      <c r="N51" s="98">
        <f>(D52-D51)/D51</f>
        <v>-0.64509605662285141</v>
      </c>
      <c r="O51" s="99">
        <f>(K52-K51)/K51</f>
        <v>-0.64967546234384688</v>
      </c>
      <c r="P51" s="99">
        <f>(L52-L51)/L51</f>
        <v>-0.6610231599242814</v>
      </c>
      <c r="Q51" s="100">
        <f>(M52-M51)/M51</f>
        <v>-0.70085529685962022</v>
      </c>
      <c r="R51" s="2"/>
    </row>
    <row r="52" spans="1:18" x14ac:dyDescent="0.25">
      <c r="A52" s="97"/>
      <c r="B52" s="97"/>
      <c r="C52" s="5" t="s">
        <v>114</v>
      </c>
      <c r="D52">
        <v>3.1589999999999998</v>
      </c>
      <c r="E52">
        <v>3.48</v>
      </c>
      <c r="F52">
        <v>23.14</v>
      </c>
      <c r="G52">
        <v>137.59</v>
      </c>
      <c r="H52">
        <v>10.993320000000001</v>
      </c>
      <c r="I52">
        <v>73.099260000000001</v>
      </c>
      <c r="J52">
        <v>434.64681000000002</v>
      </c>
      <c r="K52">
        <v>9.6665399999999995</v>
      </c>
      <c r="L52">
        <v>71.267039999999994</v>
      </c>
      <c r="M52">
        <v>130.49829</v>
      </c>
      <c r="N52" s="98"/>
      <c r="O52" s="99"/>
      <c r="P52" s="99"/>
      <c r="Q52" s="100"/>
      <c r="R52" s="2"/>
    </row>
    <row r="53" spans="1:18" x14ac:dyDescent="0.25">
      <c r="A53" s="97"/>
      <c r="B53" s="97" t="s">
        <v>113</v>
      </c>
      <c r="C53" s="5" t="s">
        <v>111</v>
      </c>
      <c r="D53">
        <v>1.0469999999999999</v>
      </c>
      <c r="E53">
        <v>3.6</v>
      </c>
      <c r="F53">
        <v>14.63</v>
      </c>
      <c r="G53">
        <v>120.7</v>
      </c>
      <c r="H53">
        <v>3.7692000000000001</v>
      </c>
      <c r="I53">
        <v>15.31761</v>
      </c>
      <c r="J53">
        <v>126.3729</v>
      </c>
      <c r="K53">
        <v>3.3294600000000001</v>
      </c>
      <c r="L53">
        <v>14.71035</v>
      </c>
      <c r="M53">
        <v>25.557269999999999</v>
      </c>
      <c r="N53" s="98">
        <f>(D54-D53)/D53</f>
        <v>0.50525310410697244</v>
      </c>
      <c r="O53" s="99">
        <f>(K54-K53)/K53</f>
        <v>0.44845110017840734</v>
      </c>
      <c r="P53" s="99">
        <f>(L54-L53)/L53</f>
        <v>0.50846716767446043</v>
      </c>
      <c r="Q53" s="100">
        <f>(M54-M53)/M53</f>
        <v>0.57493503805375168</v>
      </c>
      <c r="R53" s="2"/>
    </row>
    <row r="54" spans="1:18" x14ac:dyDescent="0.25">
      <c r="A54" s="97"/>
      <c r="B54" s="97"/>
      <c r="C54" s="5" t="s">
        <v>114</v>
      </c>
      <c r="D54">
        <v>1.5760000000000001</v>
      </c>
      <c r="E54">
        <v>3.48</v>
      </c>
      <c r="F54">
        <v>14.66</v>
      </c>
      <c r="G54">
        <v>121.82</v>
      </c>
      <c r="H54">
        <v>5.4844799999999996</v>
      </c>
      <c r="I54">
        <v>23.10416</v>
      </c>
      <c r="J54">
        <v>191.98831999999999</v>
      </c>
      <c r="K54">
        <v>4.8225600000000002</v>
      </c>
      <c r="L54">
        <v>22.190079999999998</v>
      </c>
      <c r="M54">
        <v>40.251040000000003</v>
      </c>
      <c r="N54" s="98"/>
      <c r="O54" s="99"/>
      <c r="P54" s="99"/>
      <c r="Q54" s="100"/>
      <c r="R54" s="2"/>
    </row>
    <row r="55" spans="1:18" x14ac:dyDescent="0.25">
      <c r="A55" s="97" t="s">
        <v>49</v>
      </c>
      <c r="B55" s="97" t="s">
        <v>112</v>
      </c>
      <c r="C55" s="5" t="s">
        <v>111</v>
      </c>
      <c r="D55">
        <v>18.850000000000001</v>
      </c>
      <c r="E55">
        <v>7.07</v>
      </c>
      <c r="F55">
        <v>28.41</v>
      </c>
      <c r="G55">
        <v>139.52000000000001</v>
      </c>
      <c r="H55">
        <v>133.26949999999999</v>
      </c>
      <c r="I55">
        <v>535.52850000000001</v>
      </c>
      <c r="J55">
        <v>2629.9520000000002</v>
      </c>
      <c r="K55">
        <v>111.215</v>
      </c>
      <c r="L55">
        <v>524.59550000000002</v>
      </c>
      <c r="M55">
        <v>895.94050000000004</v>
      </c>
      <c r="N55" s="98">
        <f>(D56-D55)/D55</f>
        <v>-0.19119363395225467</v>
      </c>
      <c r="O55" s="99">
        <f>(K56-K55)/K55</f>
        <v>-0.49278244841073593</v>
      </c>
      <c r="P55" s="99">
        <f>(L56-L55)/L55</f>
        <v>-0.30279321877522786</v>
      </c>
      <c r="Q55" s="100">
        <f>(M56-M55)/M55</f>
        <v>-0.20259485981490966</v>
      </c>
      <c r="R55" s="2"/>
    </row>
    <row r="56" spans="1:18" x14ac:dyDescent="0.25">
      <c r="A56" s="97"/>
      <c r="B56" s="97"/>
      <c r="C56" s="5" t="s">
        <v>114</v>
      </c>
      <c r="D56">
        <v>15.246</v>
      </c>
      <c r="E56">
        <v>4.87</v>
      </c>
      <c r="F56">
        <v>24.57</v>
      </c>
      <c r="G56">
        <v>138.85</v>
      </c>
      <c r="H56">
        <v>74.248019999999997</v>
      </c>
      <c r="I56">
        <v>374.59422000000001</v>
      </c>
      <c r="J56">
        <v>2116.9070999999999</v>
      </c>
      <c r="K56">
        <v>56.410200000000003</v>
      </c>
      <c r="L56">
        <v>365.75153999999998</v>
      </c>
      <c r="M56">
        <v>714.42755999999997</v>
      </c>
      <c r="N56" s="98"/>
      <c r="O56" s="99"/>
      <c r="P56" s="99"/>
      <c r="Q56" s="100"/>
      <c r="R56" s="2"/>
    </row>
    <row r="57" spans="1:18" x14ac:dyDescent="0.25">
      <c r="A57" s="97"/>
      <c r="B57" s="97" t="s">
        <v>113</v>
      </c>
      <c r="C57" s="5" t="s">
        <v>111</v>
      </c>
      <c r="D57">
        <v>4.7300000000000004</v>
      </c>
      <c r="E57">
        <v>4.97</v>
      </c>
      <c r="F57">
        <v>22.3</v>
      </c>
      <c r="G57">
        <v>131.81</v>
      </c>
      <c r="H57">
        <v>23.508099999999999</v>
      </c>
      <c r="I57">
        <v>105.479</v>
      </c>
      <c r="J57">
        <v>623.46130000000005</v>
      </c>
      <c r="K57">
        <v>17.974</v>
      </c>
      <c r="L57">
        <v>102.73560000000001</v>
      </c>
      <c r="M57">
        <v>188.3486</v>
      </c>
      <c r="N57" s="98">
        <f>(D58-D57)/D57</f>
        <v>-0.22219873150105718</v>
      </c>
      <c r="O57" s="99">
        <f>(K58-K57)/K57</f>
        <v>-0.23447980416156669</v>
      </c>
      <c r="P57" s="99">
        <f>(L58-L57)/L57</f>
        <v>-0.24690788782077489</v>
      </c>
      <c r="Q57" s="100">
        <f>(M58-M57)/M57</f>
        <v>-0.22376136589281787</v>
      </c>
      <c r="R57" s="2"/>
    </row>
    <row r="58" spans="1:18" x14ac:dyDescent="0.25">
      <c r="A58" s="97"/>
      <c r="B58" s="97"/>
      <c r="C58" s="5" t="s">
        <v>114</v>
      </c>
      <c r="D58">
        <v>3.6789999999999998</v>
      </c>
      <c r="E58">
        <v>4.91</v>
      </c>
      <c r="F58">
        <v>21.61</v>
      </c>
      <c r="G58">
        <v>131.72999999999999</v>
      </c>
      <c r="H58">
        <v>18.063890000000001</v>
      </c>
      <c r="I58">
        <v>79.503189999999989</v>
      </c>
      <c r="J58">
        <v>484.63466999999991</v>
      </c>
      <c r="K58">
        <v>13.759460000000001</v>
      </c>
      <c r="L58">
        <v>77.369370000000004</v>
      </c>
      <c r="M58">
        <v>146.20346000000001</v>
      </c>
      <c r="N58" s="98"/>
      <c r="O58" s="99"/>
      <c r="P58" s="99"/>
      <c r="Q58" s="100"/>
      <c r="R58" s="2"/>
    </row>
    <row r="59" spans="1:18" x14ac:dyDescent="0.25">
      <c r="A59" s="97" t="s">
        <v>51</v>
      </c>
      <c r="B59" s="97" t="s">
        <v>112</v>
      </c>
      <c r="C59" s="5" t="s">
        <v>111</v>
      </c>
      <c r="D59">
        <v>18.326000000000001</v>
      </c>
      <c r="E59">
        <v>4.6900000000000004</v>
      </c>
      <c r="F59">
        <v>22.97</v>
      </c>
      <c r="G59">
        <v>140.91</v>
      </c>
      <c r="H59">
        <v>85.948940000000007</v>
      </c>
      <c r="I59">
        <v>420.94821999999999</v>
      </c>
      <c r="J59">
        <v>2582.31666</v>
      </c>
      <c r="K59">
        <v>78.252019999999987</v>
      </c>
      <c r="L59">
        <v>410.31914</v>
      </c>
      <c r="M59">
        <v>921.61454000000003</v>
      </c>
      <c r="N59" s="98">
        <f>(D60-D59)/D59</f>
        <v>3.2794936156280645E-2</v>
      </c>
      <c r="O59" s="99">
        <f>(K60-K59)/K59</f>
        <v>-0.21391486123936473</v>
      </c>
      <c r="P59" s="99">
        <f>(L60-L59)/L59</f>
        <v>0.14719115954473877</v>
      </c>
      <c r="Q59" s="100">
        <f>(M60-M59)/M59</f>
        <v>3.2219652263731921E-3</v>
      </c>
      <c r="R59" s="2"/>
    </row>
    <row r="60" spans="1:18" x14ac:dyDescent="0.25">
      <c r="A60" s="97"/>
      <c r="B60" s="97"/>
      <c r="C60" s="5" t="s">
        <v>114</v>
      </c>
      <c r="D60">
        <v>18.927</v>
      </c>
      <c r="E60">
        <v>3.67</v>
      </c>
      <c r="F60">
        <v>25.45</v>
      </c>
      <c r="G60">
        <v>139.47</v>
      </c>
      <c r="H60">
        <v>69.462090000000003</v>
      </c>
      <c r="I60">
        <v>481.69215000000003</v>
      </c>
      <c r="J60">
        <v>2639.7486899999999</v>
      </c>
      <c r="K60">
        <v>61.512749999999997</v>
      </c>
      <c r="L60">
        <v>470.71449000000001</v>
      </c>
      <c r="M60">
        <v>924.58394999999996</v>
      </c>
      <c r="N60" s="98"/>
      <c r="O60" s="99"/>
      <c r="P60" s="99"/>
      <c r="Q60" s="100"/>
      <c r="R60" s="2"/>
    </row>
    <row r="61" spans="1:18" x14ac:dyDescent="0.25">
      <c r="A61" s="97"/>
      <c r="B61" s="97" t="s">
        <v>113</v>
      </c>
      <c r="C61" s="5" t="s">
        <v>111</v>
      </c>
      <c r="D61">
        <v>5.2539999999999996</v>
      </c>
      <c r="E61">
        <v>4.2</v>
      </c>
      <c r="F61">
        <v>22.95</v>
      </c>
      <c r="G61">
        <v>135.08000000000001</v>
      </c>
      <c r="H61">
        <v>22.066800000000001</v>
      </c>
      <c r="I61">
        <v>120.5793</v>
      </c>
      <c r="J61">
        <v>709.71032000000002</v>
      </c>
      <c r="K61">
        <v>19.860119999999998</v>
      </c>
      <c r="L61">
        <v>117.53198</v>
      </c>
      <c r="M61">
        <v>233.59284</v>
      </c>
      <c r="N61" s="98">
        <f>(D62-D61)/D61</f>
        <v>-0.79653597259231057</v>
      </c>
      <c r="O61" s="99">
        <f>(K62-K61)/K61</f>
        <v>-0.81214564665268885</v>
      </c>
      <c r="P61" s="99">
        <f>(L62-L61)/L61</f>
        <v>-0.84419585205660619</v>
      </c>
      <c r="Q61" s="100">
        <f>(M62-M61)/M61</f>
        <v>-0.89181534844989252</v>
      </c>
      <c r="R61" s="2"/>
    </row>
    <row r="62" spans="1:18" x14ac:dyDescent="0.25">
      <c r="A62" s="97"/>
      <c r="B62" s="97"/>
      <c r="C62" s="5" t="s">
        <v>114</v>
      </c>
      <c r="D62">
        <v>1.069</v>
      </c>
      <c r="E62">
        <v>3.91</v>
      </c>
      <c r="F62">
        <v>17.71</v>
      </c>
      <c r="G62">
        <v>114.26</v>
      </c>
      <c r="H62">
        <v>4.1797899999999997</v>
      </c>
      <c r="I62">
        <v>18.931989999999999</v>
      </c>
      <c r="J62">
        <v>122.14394</v>
      </c>
      <c r="K62">
        <v>3.73081</v>
      </c>
      <c r="L62">
        <v>18.311969999999999</v>
      </c>
      <c r="M62">
        <v>25.271159999999998</v>
      </c>
      <c r="N62" s="98"/>
      <c r="O62" s="99"/>
      <c r="P62" s="99"/>
      <c r="Q62" s="100"/>
      <c r="R62" s="2"/>
    </row>
    <row r="63" spans="1:18" x14ac:dyDescent="0.25">
      <c r="A63" s="97" t="s">
        <v>55</v>
      </c>
      <c r="B63" s="97" t="s">
        <v>112</v>
      </c>
      <c r="C63" s="5" t="s">
        <v>111</v>
      </c>
      <c r="D63">
        <v>6.9630000000000001</v>
      </c>
      <c r="E63">
        <v>7.81</v>
      </c>
      <c r="F63">
        <v>31.74</v>
      </c>
      <c r="G63">
        <v>139.16</v>
      </c>
      <c r="H63">
        <v>54.381030000000003</v>
      </c>
      <c r="I63">
        <v>221.00561999999999</v>
      </c>
      <c r="J63">
        <v>968.97108000000003</v>
      </c>
      <c r="K63">
        <v>26.877179999999999</v>
      </c>
      <c r="L63">
        <v>184.58913000000001</v>
      </c>
      <c r="M63">
        <v>359.08190999999999</v>
      </c>
      <c r="N63" s="98">
        <f>(D64-D63)/D63</f>
        <v>1.1855522045095503</v>
      </c>
      <c r="O63" s="99">
        <f>(K64-K63)/K63</f>
        <v>1.6045440779129359</v>
      </c>
      <c r="P63" s="99">
        <f>(L64-L63)/L63</f>
        <v>1.0701326237357529</v>
      </c>
      <c r="Q63" s="100">
        <f>(M64-M63)/M63</f>
        <v>1.1753809318882147</v>
      </c>
      <c r="R63" s="2"/>
    </row>
    <row r="64" spans="1:18" x14ac:dyDescent="0.25">
      <c r="A64" s="97"/>
      <c r="B64" s="97"/>
      <c r="C64" s="5" t="s">
        <v>114</v>
      </c>
      <c r="D64">
        <v>15.218</v>
      </c>
      <c r="E64">
        <v>8.5500000000000007</v>
      </c>
      <c r="F64">
        <v>30.34</v>
      </c>
      <c r="G64">
        <v>138.91</v>
      </c>
      <c r="H64">
        <v>130.1139</v>
      </c>
      <c r="I64">
        <v>461.71411999999998</v>
      </c>
      <c r="J64">
        <v>2113.9323800000002</v>
      </c>
      <c r="K64">
        <v>70.002799999999993</v>
      </c>
      <c r="L64">
        <v>382.12398000000002</v>
      </c>
      <c r="M64">
        <v>781.13994000000002</v>
      </c>
      <c r="N64" s="98"/>
      <c r="O64" s="99"/>
      <c r="P64" s="99"/>
      <c r="Q64" s="100"/>
      <c r="R64" s="2"/>
    </row>
    <row r="65" spans="1:18" x14ac:dyDescent="0.25">
      <c r="A65" s="97"/>
      <c r="B65" s="97" t="s">
        <v>113</v>
      </c>
      <c r="C65" s="5" t="s">
        <v>111</v>
      </c>
      <c r="D65">
        <v>1.57</v>
      </c>
      <c r="E65">
        <v>8.16</v>
      </c>
      <c r="F65">
        <v>19.61</v>
      </c>
      <c r="G65">
        <v>114.29</v>
      </c>
      <c r="H65">
        <v>12.811199999999999</v>
      </c>
      <c r="I65">
        <v>30.787700000000001</v>
      </c>
      <c r="J65">
        <v>179.43530000000001</v>
      </c>
      <c r="K65">
        <v>6.6097000000000001</v>
      </c>
      <c r="L65">
        <v>22.576599999999999</v>
      </c>
      <c r="M65">
        <v>41.918999999999997</v>
      </c>
      <c r="N65" s="98">
        <f>(D66-D65)/D65</f>
        <v>-8.4713375796178339E-2</v>
      </c>
      <c r="O65" s="99">
        <f>(K66-K65)/K65</f>
        <v>5.0079428718398718E-2</v>
      </c>
      <c r="P65" s="99">
        <f>(L66-L65)/L65</f>
        <v>-7.1346881284161418E-2</v>
      </c>
      <c r="Q65" s="100">
        <f>(M66-M65)/M65</f>
        <v>-7.8200100193229802E-2</v>
      </c>
      <c r="R65" s="2"/>
    </row>
    <row r="66" spans="1:18" x14ac:dyDescent="0.25">
      <c r="A66" s="97"/>
      <c r="B66" s="97"/>
      <c r="C66" s="5" t="s">
        <v>114</v>
      </c>
      <c r="D66">
        <v>1.4370000000000001</v>
      </c>
      <c r="E66">
        <v>8.7799999999999994</v>
      </c>
      <c r="F66">
        <v>19.82</v>
      </c>
      <c r="G66">
        <v>114.47</v>
      </c>
      <c r="H66">
        <v>12.616860000000001</v>
      </c>
      <c r="I66">
        <v>28.481339999999999</v>
      </c>
      <c r="J66">
        <v>164.49339000000001</v>
      </c>
      <c r="K66">
        <v>6.9407100000000002</v>
      </c>
      <c r="L66">
        <v>20.96583</v>
      </c>
      <c r="M66">
        <v>38.640929999999997</v>
      </c>
      <c r="N66" s="98"/>
      <c r="O66" s="99"/>
      <c r="P66" s="99"/>
      <c r="Q66" s="100"/>
      <c r="R66" s="2"/>
    </row>
    <row r="67" spans="1:18" x14ac:dyDescent="0.25">
      <c r="A67" s="97" t="s">
        <v>57</v>
      </c>
      <c r="B67" s="97" t="s">
        <v>112</v>
      </c>
      <c r="C67" s="5" t="s">
        <v>111</v>
      </c>
      <c r="D67">
        <v>1.0469999999999999</v>
      </c>
      <c r="E67">
        <v>6.23</v>
      </c>
      <c r="F67">
        <v>11.69</v>
      </c>
      <c r="G67">
        <v>102.47</v>
      </c>
      <c r="H67">
        <v>6.5228099999999998</v>
      </c>
      <c r="I67">
        <v>12.23943</v>
      </c>
      <c r="J67">
        <v>107.28609</v>
      </c>
      <c r="K67">
        <v>4.2403499999999994</v>
      </c>
      <c r="L67">
        <v>9.1926599999999983</v>
      </c>
      <c r="M67">
        <v>19.725480000000001</v>
      </c>
      <c r="N67" s="98">
        <f>(D68-D67)/D67</f>
        <v>0</v>
      </c>
      <c r="O67" s="99">
        <f>(K68-K67)/K67</f>
        <v>4.9382716049383669E-3</v>
      </c>
      <c r="P67" s="99">
        <f>(L68-L67)/L67</f>
        <v>-1.1389521640090853E-3</v>
      </c>
      <c r="Q67" s="100">
        <f>(M68-M67)/M67</f>
        <v>1.8577494692144394E-2</v>
      </c>
      <c r="R67" s="2"/>
    </row>
    <row r="68" spans="1:18" x14ac:dyDescent="0.25">
      <c r="A68" s="97"/>
      <c r="B68" s="97"/>
      <c r="C68" s="5" t="s">
        <v>114</v>
      </c>
      <c r="D68">
        <v>1.0469999999999999</v>
      </c>
      <c r="E68">
        <v>6.25</v>
      </c>
      <c r="F68">
        <v>11.68</v>
      </c>
      <c r="G68">
        <v>102.82</v>
      </c>
      <c r="H68">
        <v>6.5437499999999993</v>
      </c>
      <c r="I68">
        <v>12.228960000000001</v>
      </c>
      <c r="J68">
        <v>107.65254</v>
      </c>
      <c r="K68">
        <v>4.2612899999999998</v>
      </c>
      <c r="L68">
        <v>9.1821899999999985</v>
      </c>
      <c r="M68">
        <v>20.091930000000001</v>
      </c>
      <c r="N68" s="98"/>
      <c r="O68" s="99"/>
      <c r="P68" s="99"/>
      <c r="Q68" s="100"/>
      <c r="R68" s="2"/>
    </row>
    <row r="69" spans="1:18" x14ac:dyDescent="0.25">
      <c r="A69" s="97"/>
      <c r="B69" s="97" t="s">
        <v>113</v>
      </c>
      <c r="C69" s="5" t="s">
        <v>111</v>
      </c>
      <c r="D69">
        <v>0.52400000000000002</v>
      </c>
      <c r="E69">
        <v>6.36</v>
      </c>
      <c r="F69">
        <v>11.81</v>
      </c>
      <c r="G69">
        <v>101.59</v>
      </c>
      <c r="H69">
        <v>3.33264</v>
      </c>
      <c r="I69">
        <v>6.1884400000000008</v>
      </c>
      <c r="J69">
        <v>53.233160000000012</v>
      </c>
      <c r="K69">
        <v>2.1903199999999998</v>
      </c>
      <c r="L69">
        <v>4.6636000000000006</v>
      </c>
      <c r="M69">
        <v>9.4110400000000016</v>
      </c>
      <c r="N69" s="98">
        <f>(D70-D69)/D69</f>
        <v>0</v>
      </c>
      <c r="O69" s="99">
        <f>(K70-K69)/K69</f>
        <v>2.3923444976077166E-3</v>
      </c>
      <c r="P69" s="99">
        <f>(L70-L69)/L69</f>
        <v>1.1235955056179108E-3</v>
      </c>
      <c r="Q69" s="100">
        <f>(M70-M69)/M69</f>
        <v>4.2873051224944128E-2</v>
      </c>
      <c r="R69" s="2"/>
    </row>
    <row r="70" spans="1:18" x14ac:dyDescent="0.25">
      <c r="A70" s="97"/>
      <c r="B70" s="97"/>
      <c r="C70" s="5" t="s">
        <v>114</v>
      </c>
      <c r="D70">
        <v>0.52400000000000002</v>
      </c>
      <c r="E70">
        <v>6.37</v>
      </c>
      <c r="F70">
        <v>11.82</v>
      </c>
      <c r="G70">
        <v>102.36</v>
      </c>
      <c r="H70">
        <v>3.3378800000000002</v>
      </c>
      <c r="I70">
        <v>6.1936800000000014</v>
      </c>
      <c r="J70">
        <v>53.63664</v>
      </c>
      <c r="K70">
        <v>2.19556</v>
      </c>
      <c r="L70">
        <v>4.6688400000000003</v>
      </c>
      <c r="M70">
        <v>9.8145199999999999</v>
      </c>
      <c r="N70" s="98"/>
      <c r="O70" s="99"/>
      <c r="P70" s="99"/>
      <c r="Q70" s="100"/>
      <c r="R70" s="2"/>
    </row>
    <row r="71" spans="1:18" x14ac:dyDescent="0.25">
      <c r="A71" s="97" t="s">
        <v>61</v>
      </c>
      <c r="B71" s="97" t="s">
        <v>112</v>
      </c>
      <c r="C71" s="5" t="s">
        <v>111</v>
      </c>
      <c r="D71">
        <v>16.093</v>
      </c>
      <c r="E71">
        <v>7.22</v>
      </c>
      <c r="F71">
        <v>33.619999999999997</v>
      </c>
      <c r="G71">
        <v>154.34</v>
      </c>
      <c r="H71">
        <v>116.19146000000001</v>
      </c>
      <c r="I71">
        <v>541.04665999999997</v>
      </c>
      <c r="J71">
        <v>2483.7936199999999</v>
      </c>
      <c r="K71">
        <v>81.108720000000005</v>
      </c>
      <c r="L71">
        <v>494.21602999999999</v>
      </c>
      <c r="M71">
        <v>1039.28594</v>
      </c>
      <c r="N71" s="98">
        <f>(D72-D71)/D71</f>
        <v>0.44945007145964089</v>
      </c>
      <c r="O71" s="99">
        <f>(K72-K71)/K71</f>
        <v>0.94410366727523254</v>
      </c>
      <c r="P71" s="99">
        <f>(L72-L71)/L71</f>
        <v>0.58349234443083509</v>
      </c>
      <c r="Q71" s="100">
        <f>(M72-M71)/M71</f>
        <v>0.47885204720464125</v>
      </c>
      <c r="R71" s="2"/>
    </row>
    <row r="72" spans="1:18" x14ac:dyDescent="0.25">
      <c r="A72" s="97"/>
      <c r="B72" s="97"/>
      <c r="C72" s="5" t="s">
        <v>114</v>
      </c>
      <c r="D72">
        <v>23.326000000000001</v>
      </c>
      <c r="E72">
        <v>8.94</v>
      </c>
      <c r="F72">
        <v>36.46</v>
      </c>
      <c r="G72">
        <v>155.66</v>
      </c>
      <c r="H72">
        <v>208.53443999999999</v>
      </c>
      <c r="I72">
        <v>850.46596</v>
      </c>
      <c r="J72">
        <v>3630.9251599999998</v>
      </c>
      <c r="K72">
        <v>157.68376000000001</v>
      </c>
      <c r="L72">
        <v>782.58729999999991</v>
      </c>
      <c r="M72">
        <v>1536.9501399999999</v>
      </c>
      <c r="N72" s="98"/>
      <c r="O72" s="99"/>
      <c r="P72" s="99"/>
      <c r="Q72" s="100"/>
      <c r="R72" s="2"/>
    </row>
    <row r="73" spans="1:18" x14ac:dyDescent="0.25">
      <c r="A73" s="97"/>
      <c r="B73" s="97" t="s">
        <v>113</v>
      </c>
      <c r="C73" s="5" t="s">
        <v>111</v>
      </c>
      <c r="D73">
        <v>12.327</v>
      </c>
      <c r="E73">
        <v>9.1</v>
      </c>
      <c r="F73">
        <v>34.28</v>
      </c>
      <c r="G73">
        <v>156.13999999999999</v>
      </c>
      <c r="H73">
        <v>112.17570000000001</v>
      </c>
      <c r="I73">
        <v>422.56956000000002</v>
      </c>
      <c r="J73">
        <v>1924.7377799999999</v>
      </c>
      <c r="K73">
        <v>85.302840000000003</v>
      </c>
      <c r="L73">
        <v>386.69799</v>
      </c>
      <c r="M73">
        <v>818.26625999999999</v>
      </c>
      <c r="N73" s="98">
        <f>(D74-D73)/D73</f>
        <v>0.45436845947919208</v>
      </c>
      <c r="O73" s="99">
        <f>(K74-K73)/K73</f>
        <v>0.40602962339823623</v>
      </c>
      <c r="P73" s="99">
        <f>(L74-L73)/L73</f>
        <v>0.52437471940311886</v>
      </c>
      <c r="Q73" s="100">
        <f>(M74-M73)/M73</f>
        <v>0.43859344756558821</v>
      </c>
      <c r="R73" s="2"/>
    </row>
    <row r="74" spans="1:18" x14ac:dyDescent="0.25">
      <c r="A74" s="97"/>
      <c r="B74" s="97"/>
      <c r="C74" s="5" t="s">
        <v>114</v>
      </c>
      <c r="D74">
        <v>17.928000000000001</v>
      </c>
      <c r="E74">
        <v>8.8699999999999992</v>
      </c>
      <c r="F74">
        <v>35.79</v>
      </c>
      <c r="G74">
        <v>155.41999999999999</v>
      </c>
      <c r="H74">
        <v>159.02135999999999</v>
      </c>
      <c r="I74">
        <v>641.64312000000007</v>
      </c>
      <c r="J74">
        <v>2786.36976</v>
      </c>
      <c r="K74">
        <v>119.93832</v>
      </c>
      <c r="L74">
        <v>589.47264000000007</v>
      </c>
      <c r="M74">
        <v>1177.15248</v>
      </c>
      <c r="N74" s="98"/>
      <c r="O74" s="99"/>
      <c r="P74" s="99"/>
      <c r="Q74" s="100"/>
      <c r="R74" s="2"/>
    </row>
    <row r="75" spans="1:18" x14ac:dyDescent="0.25">
      <c r="A75" s="97" t="s">
        <v>63</v>
      </c>
      <c r="B75" s="97" t="s">
        <v>112</v>
      </c>
      <c r="C75" s="5" t="s">
        <v>111</v>
      </c>
      <c r="D75">
        <v>1.0469999999999999</v>
      </c>
      <c r="E75">
        <v>2.33</v>
      </c>
      <c r="F75">
        <v>8.48</v>
      </c>
      <c r="G75">
        <v>105.33</v>
      </c>
      <c r="H75">
        <v>2.4395099999999998</v>
      </c>
      <c r="I75">
        <v>8.8785600000000002</v>
      </c>
      <c r="J75">
        <v>110.28051000000001</v>
      </c>
      <c r="K75">
        <v>1.99977</v>
      </c>
      <c r="L75">
        <v>8.2713000000000001</v>
      </c>
      <c r="M75">
        <v>16.218029999999999</v>
      </c>
      <c r="N75" s="98">
        <f>(D76-D75)/D75</f>
        <v>0</v>
      </c>
      <c r="O75" s="99">
        <f>(K76-K75)/K75</f>
        <v>1.0471204188481544E-2</v>
      </c>
      <c r="P75" s="99">
        <f>(L76-L75)/L75</f>
        <v>-5.4430379746835574E-2</v>
      </c>
      <c r="Q75" s="100">
        <f>(M76-M75)/M75</f>
        <v>-0.15429309231762423</v>
      </c>
      <c r="R75" s="2"/>
    </row>
    <row r="76" spans="1:18" x14ac:dyDescent="0.25">
      <c r="A76" s="97"/>
      <c r="B76" s="97"/>
      <c r="C76" s="5" t="s">
        <v>114</v>
      </c>
      <c r="D76">
        <v>1.0469999999999999</v>
      </c>
      <c r="E76">
        <v>2.35</v>
      </c>
      <c r="F76">
        <v>8.0500000000000007</v>
      </c>
      <c r="G76">
        <v>102.93</v>
      </c>
      <c r="H76">
        <v>2.4604499999999998</v>
      </c>
      <c r="I76">
        <v>8.42835</v>
      </c>
      <c r="J76">
        <v>107.76770999999999</v>
      </c>
      <c r="K76">
        <v>2.0207099999999998</v>
      </c>
      <c r="L76">
        <v>7.821089999999999</v>
      </c>
      <c r="M76">
        <v>13.7157</v>
      </c>
      <c r="N76" s="98"/>
      <c r="O76" s="99"/>
      <c r="P76" s="99"/>
      <c r="Q76" s="100"/>
      <c r="R76" s="2"/>
    </row>
    <row r="77" spans="1:18" x14ac:dyDescent="0.25">
      <c r="A77" s="97"/>
      <c r="B77" s="97" t="s">
        <v>113</v>
      </c>
      <c r="C77" s="5" t="s">
        <v>111</v>
      </c>
      <c r="D77">
        <v>0.52400000000000002</v>
      </c>
      <c r="E77">
        <v>2.38</v>
      </c>
      <c r="F77">
        <v>7.59</v>
      </c>
      <c r="G77">
        <v>101.24</v>
      </c>
      <c r="H77">
        <v>1.24712</v>
      </c>
      <c r="I77">
        <v>3.97716</v>
      </c>
      <c r="J77">
        <v>53.049759999999999</v>
      </c>
      <c r="K77">
        <v>1.02704</v>
      </c>
      <c r="L77">
        <v>3.6732399999999998</v>
      </c>
      <c r="M77">
        <v>5.9788399999999999</v>
      </c>
      <c r="N77" s="98">
        <f>(D78-D77)/D77</f>
        <v>0</v>
      </c>
      <c r="O77" s="99">
        <f>(K78-K77)/K77</f>
        <v>0</v>
      </c>
      <c r="P77" s="99">
        <f>(L78-L77)/L77</f>
        <v>-1.1412268188302354E-2</v>
      </c>
      <c r="Q77" s="100">
        <f>(M78-M77)/M77</f>
        <v>7.361963190184044E-2</v>
      </c>
      <c r="R77" s="2"/>
    </row>
    <row r="78" spans="1:18" x14ac:dyDescent="0.25">
      <c r="A78" s="97"/>
      <c r="B78" s="97"/>
      <c r="C78" s="5" t="s">
        <v>114</v>
      </c>
      <c r="D78">
        <v>0.52400000000000002</v>
      </c>
      <c r="E78">
        <v>2.38</v>
      </c>
      <c r="F78">
        <v>7.51</v>
      </c>
      <c r="G78">
        <v>102.08</v>
      </c>
      <c r="H78">
        <v>1.24712</v>
      </c>
      <c r="I78">
        <v>3.9352399999999998</v>
      </c>
      <c r="J78">
        <v>53.489919999999998</v>
      </c>
      <c r="K78">
        <v>1.02704</v>
      </c>
      <c r="L78">
        <v>3.6313200000000001</v>
      </c>
      <c r="M78">
        <v>6.4189999999999996</v>
      </c>
      <c r="N78" s="98"/>
      <c r="O78" s="99"/>
      <c r="P78" s="99"/>
      <c r="Q78" s="100"/>
      <c r="R78" s="2"/>
    </row>
    <row r="79" spans="1:18" x14ac:dyDescent="0.25">
      <c r="A79" s="97" t="s">
        <v>65</v>
      </c>
      <c r="B79" s="97" t="s">
        <v>112</v>
      </c>
      <c r="C79" s="5" t="s">
        <v>111</v>
      </c>
      <c r="D79">
        <v>1.0469999999999999</v>
      </c>
      <c r="E79">
        <v>2.62</v>
      </c>
      <c r="F79">
        <v>10.09</v>
      </c>
      <c r="G79">
        <v>111.54</v>
      </c>
      <c r="H79">
        <v>2.7431399999999999</v>
      </c>
      <c r="I79">
        <v>10.56423</v>
      </c>
      <c r="J79">
        <v>116.78238</v>
      </c>
      <c r="K79">
        <v>2.2929300000000001</v>
      </c>
      <c r="L79">
        <v>9.9569699999999983</v>
      </c>
      <c r="M79">
        <v>22.269690000000001</v>
      </c>
      <c r="N79" s="98">
        <f>(D80-D79)/D79</f>
        <v>0</v>
      </c>
      <c r="O79" s="99">
        <f>(K80-K79)/K79</f>
        <v>4.5662100456619944E-3</v>
      </c>
      <c r="P79" s="99">
        <f>(L80-L79)/L79</f>
        <v>-4.8370136698212184E-2</v>
      </c>
      <c r="Q79" s="100">
        <f>(M80-M79)/M79</f>
        <v>-1.4104372355430175E-2</v>
      </c>
      <c r="R79" s="2"/>
    </row>
    <row r="80" spans="1:18" x14ac:dyDescent="0.25">
      <c r="A80" s="97"/>
      <c r="B80" s="97"/>
      <c r="C80" s="5" t="s">
        <v>114</v>
      </c>
      <c r="D80">
        <v>1.0469999999999999</v>
      </c>
      <c r="E80">
        <v>2.62</v>
      </c>
      <c r="F80">
        <v>9.6300000000000008</v>
      </c>
      <c r="G80">
        <v>111.24</v>
      </c>
      <c r="H80">
        <v>2.7431399999999999</v>
      </c>
      <c r="I80">
        <v>10.082610000000001</v>
      </c>
      <c r="J80">
        <v>116.46827999999999</v>
      </c>
      <c r="K80">
        <v>2.3033999999999999</v>
      </c>
      <c r="L80">
        <v>9.4753500000000006</v>
      </c>
      <c r="M80">
        <v>21.955590000000001</v>
      </c>
      <c r="N80" s="98"/>
      <c r="O80" s="99"/>
      <c r="P80" s="99"/>
      <c r="Q80" s="100"/>
      <c r="R80" s="2"/>
    </row>
    <row r="81" spans="1:18" x14ac:dyDescent="0.25">
      <c r="A81" s="97"/>
      <c r="B81" s="97" t="s">
        <v>113</v>
      </c>
      <c r="C81" s="5" t="s">
        <v>111</v>
      </c>
      <c r="D81">
        <v>1.0469999999999999</v>
      </c>
      <c r="E81">
        <v>2.62</v>
      </c>
      <c r="F81">
        <v>9.0500000000000007</v>
      </c>
      <c r="G81">
        <v>107.39</v>
      </c>
      <c r="H81">
        <v>2.7431399999999999</v>
      </c>
      <c r="I81">
        <v>9.4753500000000006</v>
      </c>
      <c r="J81">
        <v>112.43733</v>
      </c>
      <c r="K81">
        <v>2.3033999999999999</v>
      </c>
      <c r="L81">
        <v>8.8680900000000005</v>
      </c>
      <c r="M81">
        <v>17.92464</v>
      </c>
      <c r="N81" s="98">
        <f>(D82-D81)/D81</f>
        <v>0</v>
      </c>
      <c r="O81" s="99">
        <f>(K82-K81)/K81</f>
        <v>0</v>
      </c>
      <c r="P81" s="99">
        <f>(L82-L81)/L81</f>
        <v>-3.5419126328218417E-3</v>
      </c>
      <c r="Q81" s="100">
        <f>(M82-M81)/M81</f>
        <v>3.9135514018691572E-2</v>
      </c>
      <c r="R81" s="2"/>
    </row>
    <row r="82" spans="1:18" x14ac:dyDescent="0.25">
      <c r="A82" s="97"/>
      <c r="B82" s="97"/>
      <c r="C82" s="5" t="s">
        <v>114</v>
      </c>
      <c r="D82">
        <v>1.0469999999999999</v>
      </c>
      <c r="E82">
        <v>2.62</v>
      </c>
      <c r="F82">
        <v>9.02</v>
      </c>
      <c r="G82">
        <v>108.06</v>
      </c>
      <c r="H82">
        <v>2.7431399999999999</v>
      </c>
      <c r="I82">
        <v>9.4439399999999996</v>
      </c>
      <c r="J82">
        <v>113.13882</v>
      </c>
      <c r="K82">
        <v>2.3033999999999999</v>
      </c>
      <c r="L82">
        <v>8.8366799999999994</v>
      </c>
      <c r="M82">
        <v>18.62613</v>
      </c>
      <c r="N82" s="98"/>
      <c r="O82" s="99"/>
      <c r="P82" s="99"/>
      <c r="Q82" s="100"/>
      <c r="R82" s="2"/>
    </row>
    <row r="83" spans="1:18" x14ac:dyDescent="0.25">
      <c r="A83" s="97" t="s">
        <v>71</v>
      </c>
      <c r="B83" s="97" t="s">
        <v>112</v>
      </c>
      <c r="C83" s="5" t="s">
        <v>111</v>
      </c>
      <c r="D83">
        <v>4.1879999999999997</v>
      </c>
      <c r="E83">
        <v>2.42</v>
      </c>
      <c r="F83">
        <v>13.98</v>
      </c>
      <c r="G83">
        <v>133.38</v>
      </c>
      <c r="H83">
        <v>10.13496</v>
      </c>
      <c r="I83">
        <v>58.54824</v>
      </c>
      <c r="J83">
        <v>558.59543999999994</v>
      </c>
      <c r="K83">
        <v>8.3759999999999994</v>
      </c>
      <c r="L83">
        <v>56.119199999999999</v>
      </c>
      <c r="M83">
        <v>181.29852</v>
      </c>
      <c r="N83" s="98">
        <f>(D84-D83)/D83</f>
        <v>4.2979942693411374E-3</v>
      </c>
      <c r="O83" s="99">
        <f>(K84-K83)/K83</f>
        <v>9.3194842406877608E-3</v>
      </c>
      <c r="P83" s="99">
        <f>(L84-L83)/L83</f>
        <v>-6.6902236667664552E-2</v>
      </c>
      <c r="Q83" s="100">
        <f>(M84-M83)/M83</f>
        <v>-3.3516875923752722E-2</v>
      </c>
      <c r="R83" s="2"/>
    </row>
    <row r="84" spans="1:18" x14ac:dyDescent="0.25">
      <c r="A84" s="97"/>
      <c r="B84" s="97"/>
      <c r="C84" s="5" t="s">
        <v>114</v>
      </c>
      <c r="D84">
        <v>4.2060000000000004</v>
      </c>
      <c r="E84">
        <v>2.4300000000000002</v>
      </c>
      <c r="F84">
        <v>13.03</v>
      </c>
      <c r="G84">
        <v>131.75</v>
      </c>
      <c r="H84">
        <v>10.22058</v>
      </c>
      <c r="I84">
        <v>54.804180000000002</v>
      </c>
      <c r="J84">
        <v>554.14050000000009</v>
      </c>
      <c r="K84">
        <v>8.4540600000000001</v>
      </c>
      <c r="L84">
        <v>52.364699999999999</v>
      </c>
      <c r="M84">
        <v>175.22196</v>
      </c>
      <c r="N84" s="98"/>
      <c r="O84" s="99"/>
      <c r="P84" s="99"/>
      <c r="Q84" s="100"/>
      <c r="R84" s="2"/>
    </row>
    <row r="85" spans="1:18" x14ac:dyDescent="0.25">
      <c r="A85" s="97"/>
      <c r="B85" s="97" t="s">
        <v>113</v>
      </c>
      <c r="C85" s="5" t="s">
        <v>111</v>
      </c>
      <c r="D85">
        <v>0.52300000000000002</v>
      </c>
      <c r="E85">
        <v>2.4500000000000002</v>
      </c>
      <c r="F85">
        <v>7.7</v>
      </c>
      <c r="G85">
        <v>102.86</v>
      </c>
      <c r="H85">
        <v>1.28135</v>
      </c>
      <c r="I85">
        <v>4.0270999999999999</v>
      </c>
      <c r="J85">
        <v>53.795780000000001</v>
      </c>
      <c r="K85">
        <v>1.06169</v>
      </c>
      <c r="L85">
        <v>3.72376</v>
      </c>
      <c r="M85">
        <v>6.6787099999999997</v>
      </c>
      <c r="N85" s="98">
        <f>(D86-D85)/D85</f>
        <v>0</v>
      </c>
      <c r="O85" s="99">
        <f>(K86-K85)/K85</f>
        <v>0</v>
      </c>
      <c r="P85" s="99">
        <f>(L86-L85)/L85</f>
        <v>-7.0224719101120931E-3</v>
      </c>
      <c r="Q85" s="100">
        <f>(M86-M85)/M85</f>
        <v>0.10571652310101806</v>
      </c>
      <c r="R85" s="2"/>
    </row>
    <row r="86" spans="1:18" x14ac:dyDescent="0.25">
      <c r="A86" s="97"/>
      <c r="B86" s="97"/>
      <c r="C86" s="5" t="s">
        <v>114</v>
      </c>
      <c r="D86">
        <v>0.52300000000000002</v>
      </c>
      <c r="E86">
        <v>2.4500000000000002</v>
      </c>
      <c r="F86">
        <v>7.65</v>
      </c>
      <c r="G86">
        <v>104.21</v>
      </c>
      <c r="H86">
        <v>1.28135</v>
      </c>
      <c r="I86">
        <v>4.0009499999999996</v>
      </c>
      <c r="J86">
        <v>54.501829999999998</v>
      </c>
      <c r="K86">
        <v>1.06169</v>
      </c>
      <c r="L86">
        <v>3.697610000000001</v>
      </c>
      <c r="M86">
        <v>7.38476</v>
      </c>
      <c r="N86" s="98"/>
      <c r="O86" s="99"/>
      <c r="P86" s="99"/>
      <c r="Q86" s="100"/>
      <c r="R86" s="2"/>
    </row>
    <row r="87" spans="1:18" x14ac:dyDescent="0.25">
      <c r="A87" s="97" t="s">
        <v>79</v>
      </c>
      <c r="B87" s="97" t="s">
        <v>112</v>
      </c>
      <c r="C87" s="5" t="s">
        <v>111</v>
      </c>
      <c r="D87">
        <v>11.519</v>
      </c>
      <c r="E87">
        <v>1.42</v>
      </c>
      <c r="F87">
        <v>17.68</v>
      </c>
      <c r="G87">
        <v>141.79</v>
      </c>
      <c r="H87">
        <v>16.35698</v>
      </c>
      <c r="I87">
        <v>203.65592000000001</v>
      </c>
      <c r="J87">
        <v>1633.27901</v>
      </c>
      <c r="K87">
        <v>11.519</v>
      </c>
      <c r="L87">
        <v>196.97489999999999</v>
      </c>
      <c r="M87">
        <v>585.39558</v>
      </c>
      <c r="N87" s="98">
        <f>(D88-D87)/D87</f>
        <v>-8.7160343779841956E-2</v>
      </c>
      <c r="O87" s="99">
        <f>(K88-K87)/K87</f>
        <v>-6.8903550655438794E-2</v>
      </c>
      <c r="P87" s="99">
        <f>(L88-L87)/L87</f>
        <v>-0.16242957859097787</v>
      </c>
      <c r="Q87" s="100">
        <f>(M88-M87)/M87</f>
        <v>-0.15380015339371028</v>
      </c>
      <c r="R87" s="2"/>
    </row>
    <row r="88" spans="1:18" x14ac:dyDescent="0.25">
      <c r="A88" s="97"/>
      <c r="B88" s="97"/>
      <c r="C88" s="5" t="s">
        <v>114</v>
      </c>
      <c r="D88">
        <v>10.515000000000001</v>
      </c>
      <c r="E88">
        <v>1.44</v>
      </c>
      <c r="F88">
        <v>16.27</v>
      </c>
      <c r="G88">
        <v>138.08000000000001</v>
      </c>
      <c r="H88">
        <v>15.1416</v>
      </c>
      <c r="I88">
        <v>171.07905</v>
      </c>
      <c r="J88">
        <v>1451.9112</v>
      </c>
      <c r="K88">
        <v>10.725300000000001</v>
      </c>
      <c r="L88">
        <v>164.98034999999999</v>
      </c>
      <c r="M88">
        <v>495.36165</v>
      </c>
      <c r="N88" s="98"/>
      <c r="O88" s="99"/>
      <c r="P88" s="99"/>
      <c r="Q88" s="100"/>
      <c r="R88" s="2"/>
    </row>
    <row r="89" spans="1:18" x14ac:dyDescent="0.25">
      <c r="A89" s="97"/>
      <c r="B89" s="97" t="s">
        <v>113</v>
      </c>
      <c r="C89" s="5" t="s">
        <v>111</v>
      </c>
      <c r="D89">
        <v>5.2359999999999998</v>
      </c>
      <c r="E89">
        <v>1.43</v>
      </c>
      <c r="F89">
        <v>16.75</v>
      </c>
      <c r="G89">
        <v>137.56</v>
      </c>
      <c r="H89">
        <v>7.4874799999999997</v>
      </c>
      <c r="I89">
        <v>87.703000000000003</v>
      </c>
      <c r="J89">
        <v>720.26415999999995</v>
      </c>
      <c r="K89">
        <v>5.2883599999999999</v>
      </c>
      <c r="L89">
        <v>84.666120000000006</v>
      </c>
      <c r="M89">
        <v>243.94524000000001</v>
      </c>
      <c r="N89" s="98">
        <f>(D90-D89)/D89</f>
        <v>-0.69881588999236055</v>
      </c>
      <c r="O89" s="99">
        <f>(K90-K89)/K89</f>
        <v>-0.67794174375420735</v>
      </c>
      <c r="P89" s="99">
        <f>(L90-L89)/L89</f>
        <v>-0.76531108311093032</v>
      </c>
      <c r="Q89" s="100">
        <f>(M90-M89)/M89</f>
        <v>-0.78789760357693384</v>
      </c>
      <c r="R89" s="2"/>
    </row>
    <row r="90" spans="1:18" x14ac:dyDescent="0.25">
      <c r="A90" s="97"/>
      <c r="B90" s="97"/>
      <c r="C90" s="5" t="s">
        <v>114</v>
      </c>
      <c r="D90">
        <v>1.577</v>
      </c>
      <c r="E90">
        <v>1.5</v>
      </c>
      <c r="F90">
        <v>13.18</v>
      </c>
      <c r="G90">
        <v>123.78</v>
      </c>
      <c r="H90">
        <v>2.3654999999999999</v>
      </c>
      <c r="I90">
        <v>20.784859999999998</v>
      </c>
      <c r="J90">
        <v>195.20106000000001</v>
      </c>
      <c r="K90">
        <v>1.70316</v>
      </c>
      <c r="L90">
        <v>19.870200000000001</v>
      </c>
      <c r="M90">
        <v>51.741370000000003</v>
      </c>
      <c r="N90" s="98"/>
      <c r="O90" s="99"/>
      <c r="P90" s="99"/>
      <c r="Q90" s="100"/>
      <c r="R90" s="2"/>
    </row>
    <row r="91" spans="1:18" x14ac:dyDescent="0.25">
      <c r="A91" s="97" t="s">
        <v>87</v>
      </c>
      <c r="B91" s="97" t="s">
        <v>112</v>
      </c>
      <c r="C91" s="5" t="s">
        <v>111</v>
      </c>
      <c r="D91">
        <v>0.52300000000000002</v>
      </c>
      <c r="E91">
        <v>3.09</v>
      </c>
      <c r="F91">
        <v>3.15</v>
      </c>
      <c r="G91">
        <v>104.41</v>
      </c>
      <c r="H91">
        <v>1.6160699999999999</v>
      </c>
      <c r="I91">
        <v>1.6474500000000001</v>
      </c>
      <c r="J91">
        <v>54.606430000000003</v>
      </c>
      <c r="K91">
        <v>1.3964099999999999</v>
      </c>
      <c r="L91">
        <v>1.3441099999999999</v>
      </c>
      <c r="M91">
        <v>6.2550800000000004</v>
      </c>
      <c r="N91" s="98">
        <f>(D92-D91)/D91</f>
        <v>1.9120458891013401E-3</v>
      </c>
      <c r="O91" s="99">
        <f>(K92-K91)/K91</f>
        <v>-5.5929132561352846E-3</v>
      </c>
      <c r="P91" s="99">
        <f>(L92-L91)/L91</f>
        <v>-1.7580406365550305E-2</v>
      </c>
      <c r="Q91" s="100">
        <f>(M92-M91)/M91</f>
        <v>-0.15222826886306814</v>
      </c>
      <c r="R91" s="2"/>
    </row>
    <row r="92" spans="1:18" x14ac:dyDescent="0.25">
      <c r="A92" s="97"/>
      <c r="B92" s="97"/>
      <c r="C92" s="5" t="s">
        <v>114</v>
      </c>
      <c r="D92">
        <v>0.52400000000000002</v>
      </c>
      <c r="E92">
        <v>3.07</v>
      </c>
      <c r="F92">
        <v>3.1</v>
      </c>
      <c r="G92">
        <v>102.57</v>
      </c>
      <c r="H92">
        <v>1.6086800000000001</v>
      </c>
      <c r="I92">
        <v>1.6244000000000001</v>
      </c>
      <c r="J92">
        <v>53.746679999999998</v>
      </c>
      <c r="K92">
        <v>1.3886000000000001</v>
      </c>
      <c r="L92">
        <v>1.3204800000000001</v>
      </c>
      <c r="M92">
        <v>5.30288</v>
      </c>
      <c r="N92" s="98"/>
      <c r="O92" s="99"/>
      <c r="P92" s="99"/>
      <c r="Q92" s="100"/>
      <c r="R92" s="2"/>
    </row>
    <row r="93" spans="1:18" x14ac:dyDescent="0.25">
      <c r="A93" s="97"/>
      <c r="B93" s="97" t="s">
        <v>113</v>
      </c>
      <c r="C93" s="5" t="s">
        <v>111</v>
      </c>
      <c r="D93">
        <v>0.52300000000000002</v>
      </c>
      <c r="E93">
        <v>3.08</v>
      </c>
      <c r="F93">
        <v>3.12</v>
      </c>
      <c r="G93">
        <v>102.67</v>
      </c>
      <c r="H93">
        <v>1.61084</v>
      </c>
      <c r="I93">
        <v>1.6317600000000001</v>
      </c>
      <c r="J93">
        <v>53.69641</v>
      </c>
      <c r="K93">
        <v>1.3911800000000001</v>
      </c>
      <c r="L93">
        <v>1.3284199999999999</v>
      </c>
      <c r="M93">
        <v>5.3450600000000001</v>
      </c>
      <c r="N93" s="98">
        <f>(D94-D93)/D93</f>
        <v>1.9120458891013401E-3</v>
      </c>
      <c r="O93" s="99">
        <f>(K94-K93)/K93</f>
        <v>9.4452191664629506E-3</v>
      </c>
      <c r="P93" s="99">
        <f>(L94-L93)/L93</f>
        <v>4.1357402026467524E-2</v>
      </c>
      <c r="Q93" s="100">
        <f>(M94-M93)/M93</f>
        <v>0.15288509389978774</v>
      </c>
      <c r="R93" s="2"/>
    </row>
    <row r="94" spans="1:18" x14ac:dyDescent="0.25">
      <c r="A94" s="97"/>
      <c r="B94" s="97"/>
      <c r="C94" s="5" t="s">
        <v>114</v>
      </c>
      <c r="D94">
        <v>0.52400000000000002</v>
      </c>
      <c r="E94">
        <v>3.1</v>
      </c>
      <c r="F94">
        <v>3.22</v>
      </c>
      <c r="G94">
        <v>104.22</v>
      </c>
      <c r="H94">
        <v>1.6244000000000001</v>
      </c>
      <c r="I94">
        <v>1.6872799999999999</v>
      </c>
      <c r="J94">
        <v>54.611280000000001</v>
      </c>
      <c r="K94">
        <v>1.40432</v>
      </c>
      <c r="L94">
        <v>1.3833599999999999</v>
      </c>
      <c r="M94">
        <v>6.1622399999999997</v>
      </c>
      <c r="N94" s="98"/>
      <c r="O94" s="99"/>
      <c r="P94" s="99"/>
      <c r="Q94" s="100"/>
      <c r="R94" s="2"/>
    </row>
    <row r="95" spans="1:18" x14ac:dyDescent="0.25">
      <c r="A95" s="97" t="s">
        <v>91</v>
      </c>
      <c r="B95" s="97" t="s">
        <v>112</v>
      </c>
      <c r="C95" s="5" t="s">
        <v>111</v>
      </c>
      <c r="D95">
        <v>8.3770000000000007</v>
      </c>
      <c r="E95">
        <v>7.2</v>
      </c>
      <c r="F95">
        <v>21.3</v>
      </c>
      <c r="G95">
        <v>137.55000000000001</v>
      </c>
      <c r="H95">
        <v>60.314400000000013</v>
      </c>
      <c r="I95">
        <v>178.43010000000001</v>
      </c>
      <c r="J95">
        <v>1152.2563500000001</v>
      </c>
      <c r="K95">
        <v>44.146790000000003</v>
      </c>
      <c r="L95">
        <v>173.57144</v>
      </c>
      <c r="M95">
        <v>391.37344000000002</v>
      </c>
      <c r="N95" s="98">
        <f>(D96-D95)/D95</f>
        <v>-0.5000596872388684</v>
      </c>
      <c r="O95" s="99">
        <f>(K96-K95)/K95</f>
        <v>-0.51808410079192624</v>
      </c>
      <c r="P95" s="99">
        <f>(L96-L95)/L95</f>
        <v>-0.56713662109388496</v>
      </c>
      <c r="Q95" s="100">
        <f>(M96-M95)/M95</f>
        <v>-0.57774733001810241</v>
      </c>
      <c r="R95" s="2"/>
    </row>
    <row r="96" spans="1:18" x14ac:dyDescent="0.25">
      <c r="A96" s="97"/>
      <c r="B96" s="97"/>
      <c r="C96" s="5" t="s">
        <v>114</v>
      </c>
      <c r="D96">
        <v>4.1879999999999997</v>
      </c>
      <c r="E96">
        <v>7.01</v>
      </c>
      <c r="F96">
        <v>18.52</v>
      </c>
      <c r="G96">
        <v>130.29</v>
      </c>
      <c r="H96">
        <v>29.357880000000002</v>
      </c>
      <c r="I96">
        <v>77.561759999999992</v>
      </c>
      <c r="J96">
        <v>545.65451999999993</v>
      </c>
      <c r="K96">
        <v>21.275040000000001</v>
      </c>
      <c r="L96">
        <v>75.132720000000006</v>
      </c>
      <c r="M96">
        <v>165.25847999999999</v>
      </c>
      <c r="N96" s="98"/>
      <c r="O96" s="99"/>
      <c r="P96" s="99"/>
      <c r="Q96" s="100"/>
      <c r="R96" s="2"/>
    </row>
    <row r="97" spans="1:18" x14ac:dyDescent="0.25">
      <c r="A97" s="97"/>
      <c r="B97" s="97" t="s">
        <v>113</v>
      </c>
      <c r="C97" s="5" t="s">
        <v>111</v>
      </c>
      <c r="D97">
        <v>0.52300000000000002</v>
      </c>
      <c r="E97">
        <v>9.9600000000000009</v>
      </c>
      <c r="F97">
        <v>6.86</v>
      </c>
      <c r="G97">
        <v>103.67</v>
      </c>
      <c r="H97">
        <v>5.209080000000001</v>
      </c>
      <c r="I97">
        <v>3.58778</v>
      </c>
      <c r="J97">
        <v>54.219410000000003</v>
      </c>
      <c r="K97">
        <v>4.1996899999999986</v>
      </c>
      <c r="L97">
        <v>3.28444</v>
      </c>
      <c r="M97">
        <v>6.7153200000000002</v>
      </c>
      <c r="N97" s="98">
        <f>(D98-D97)/D97</f>
        <v>1.8795411089866156</v>
      </c>
      <c r="O97" s="99">
        <f>(K98-K97)/K97</f>
        <v>1.3488162221497308</v>
      </c>
      <c r="P97" s="99">
        <f>(L98-L97)/L97</f>
        <v>4.9929303016648197</v>
      </c>
      <c r="Q97" s="100">
        <f>(M98-M97)/M97</f>
        <v>4.4966941262665063</v>
      </c>
      <c r="R97" s="2"/>
    </row>
    <row r="98" spans="1:18" x14ac:dyDescent="0.25">
      <c r="A98" s="97"/>
      <c r="B98" s="97"/>
      <c r="C98" s="5" t="s">
        <v>114</v>
      </c>
      <c r="D98">
        <v>1.506</v>
      </c>
      <c r="E98">
        <v>8.48</v>
      </c>
      <c r="F98">
        <v>13.65</v>
      </c>
      <c r="G98">
        <v>115.34</v>
      </c>
      <c r="H98">
        <v>12.77088</v>
      </c>
      <c r="I98">
        <v>20.556899999999999</v>
      </c>
      <c r="J98">
        <v>173.70204000000001</v>
      </c>
      <c r="K98">
        <v>9.8643000000000001</v>
      </c>
      <c r="L98">
        <v>19.683420000000002</v>
      </c>
      <c r="M98">
        <v>36.912059999999997</v>
      </c>
      <c r="N98" s="98"/>
      <c r="O98" s="99"/>
      <c r="P98" s="99"/>
      <c r="Q98" s="100"/>
      <c r="R98" s="2"/>
    </row>
    <row r="99" spans="1:18" x14ac:dyDescent="0.25">
      <c r="A99" s="97" t="s">
        <v>93</v>
      </c>
      <c r="B99" s="97" t="s">
        <v>112</v>
      </c>
      <c r="C99" s="5" t="s">
        <v>111</v>
      </c>
      <c r="D99">
        <v>433.04700000000003</v>
      </c>
      <c r="E99">
        <v>2.25</v>
      </c>
      <c r="F99">
        <v>14.25</v>
      </c>
      <c r="G99">
        <v>139.47</v>
      </c>
      <c r="H99">
        <v>974.35575000000006</v>
      </c>
      <c r="I99">
        <v>6170.91975</v>
      </c>
      <c r="J99">
        <v>60397.065089999996</v>
      </c>
      <c r="K99">
        <v>792.47601000000009</v>
      </c>
      <c r="L99">
        <v>5919.7524900000008</v>
      </c>
      <c r="M99">
        <v>21712.976579999999</v>
      </c>
      <c r="N99" s="98">
        <f>(D100-D99)/D99</f>
        <v>-0.51611949742175789</v>
      </c>
      <c r="O99" s="99">
        <f>(K100-K99)/K99</f>
        <v>-0.46323638238588449</v>
      </c>
      <c r="P99" s="99">
        <f>(L100-L99)/L99</f>
        <v>-0.4984208689441339</v>
      </c>
      <c r="Q99" s="100">
        <f>(M100-M99)/M99</f>
        <v>-0.50531083840924029</v>
      </c>
      <c r="R99" s="2"/>
    </row>
    <row r="100" spans="1:18" x14ac:dyDescent="0.25">
      <c r="A100" s="97"/>
      <c r="B100" s="97"/>
      <c r="C100" s="5" t="s">
        <v>114</v>
      </c>
      <c r="D100">
        <v>209.54300000000001</v>
      </c>
      <c r="E100">
        <v>2.4500000000000002</v>
      </c>
      <c r="F100">
        <v>14.75</v>
      </c>
      <c r="G100">
        <v>140.59</v>
      </c>
      <c r="H100">
        <v>513.38035000000002</v>
      </c>
      <c r="I100">
        <v>3090.7592500000001</v>
      </c>
      <c r="J100">
        <v>29459.650369999999</v>
      </c>
      <c r="K100">
        <v>425.37229000000002</v>
      </c>
      <c r="L100">
        <v>2969.2243100000001</v>
      </c>
      <c r="M100">
        <v>10741.17418</v>
      </c>
      <c r="N100" s="98"/>
      <c r="O100" s="99"/>
      <c r="P100" s="99"/>
      <c r="Q100" s="100"/>
      <c r="R100" s="2"/>
    </row>
    <row r="101" spans="1:18" x14ac:dyDescent="0.25">
      <c r="A101" s="97"/>
      <c r="B101" s="97" t="s">
        <v>113</v>
      </c>
      <c r="C101" s="5" t="s">
        <v>111</v>
      </c>
      <c r="D101">
        <v>0.52600000000000002</v>
      </c>
      <c r="E101">
        <v>2.42</v>
      </c>
      <c r="F101">
        <v>7.55</v>
      </c>
      <c r="G101">
        <v>99.23</v>
      </c>
      <c r="H101">
        <v>1.2729200000000001</v>
      </c>
      <c r="I101">
        <v>3.9712999999999998</v>
      </c>
      <c r="J101">
        <v>52.194980000000001</v>
      </c>
      <c r="K101">
        <v>1.052</v>
      </c>
      <c r="L101">
        <v>3.66622</v>
      </c>
      <c r="M101">
        <v>5.2074000000000007</v>
      </c>
      <c r="N101" s="98">
        <f>(D102-D101)/D101</f>
        <v>0</v>
      </c>
      <c r="O101" s="99">
        <f>(K102-K101)/K101</f>
        <v>4.9999999999999982E-2</v>
      </c>
      <c r="P101" s="99">
        <f>(L102-L101)/L101</f>
        <v>2.1520803443328542E-2</v>
      </c>
      <c r="Q101" s="100">
        <f>(M102-M101)/M101</f>
        <v>6.9696969696969521E-2</v>
      </c>
      <c r="R101" s="2"/>
    </row>
    <row r="102" spans="1:18" x14ac:dyDescent="0.25">
      <c r="A102" s="97"/>
      <c r="B102" s="97"/>
      <c r="C102" s="5" t="s">
        <v>114</v>
      </c>
      <c r="D102">
        <v>0.52600000000000002</v>
      </c>
      <c r="E102">
        <v>2.52</v>
      </c>
      <c r="F102">
        <v>7.7</v>
      </c>
      <c r="G102">
        <v>99.92</v>
      </c>
      <c r="H102">
        <v>1.32552</v>
      </c>
      <c r="I102">
        <v>4.0502000000000002</v>
      </c>
      <c r="J102">
        <v>52.557920000000003</v>
      </c>
      <c r="K102">
        <v>1.1046</v>
      </c>
      <c r="L102">
        <v>3.74512</v>
      </c>
      <c r="M102">
        <v>5.5703399999999998</v>
      </c>
      <c r="N102" s="98"/>
      <c r="O102" s="99"/>
      <c r="P102" s="99"/>
      <c r="Q102" s="100"/>
      <c r="R102" s="2"/>
    </row>
    <row r="103" spans="1:18" x14ac:dyDescent="0.25">
      <c r="A103" s="97" t="s">
        <v>95</v>
      </c>
      <c r="B103" s="97" t="s">
        <v>112</v>
      </c>
      <c r="C103" s="5" t="s">
        <v>111</v>
      </c>
      <c r="D103">
        <v>546.57600000000002</v>
      </c>
      <c r="E103">
        <v>3.81</v>
      </c>
      <c r="F103">
        <v>26.09</v>
      </c>
      <c r="G103">
        <v>143.31</v>
      </c>
      <c r="H103">
        <v>2082.4545600000001</v>
      </c>
      <c r="I103">
        <v>14260.16784</v>
      </c>
      <c r="J103">
        <v>78329.806559999997</v>
      </c>
      <c r="K103">
        <v>1852.89264</v>
      </c>
      <c r="L103">
        <v>14178.18144</v>
      </c>
      <c r="M103">
        <v>29761.063200000001</v>
      </c>
      <c r="N103" s="98">
        <f>(D104-D103)/D103</f>
        <v>-4.2171628465208985E-2</v>
      </c>
      <c r="O103" s="99">
        <f>(K104-K103)/K103</f>
        <v>-6.4775247852460624E-2</v>
      </c>
      <c r="P103" s="99">
        <f>(L104-L103)/L103</f>
        <v>-4.1433133190317002E-2</v>
      </c>
      <c r="Q103" s="100">
        <f>(M104-M103)/M103</f>
        <v>-4.217162846520893E-2</v>
      </c>
      <c r="R103" s="2"/>
    </row>
    <row r="104" spans="1:18" x14ac:dyDescent="0.25">
      <c r="A104" s="97"/>
      <c r="B104" s="97"/>
      <c r="C104" s="5" t="s">
        <v>114</v>
      </c>
      <c r="D104">
        <v>523.52599999999995</v>
      </c>
      <c r="E104">
        <v>3.73</v>
      </c>
      <c r="F104">
        <v>26.11</v>
      </c>
      <c r="G104">
        <v>143.31</v>
      </c>
      <c r="H104">
        <v>1952.75198</v>
      </c>
      <c r="I104">
        <v>13669.263859999999</v>
      </c>
      <c r="J104">
        <v>75026.51105999999</v>
      </c>
      <c r="K104">
        <v>1732.8710599999999</v>
      </c>
      <c r="L104">
        <v>13590.73496</v>
      </c>
      <c r="M104">
        <v>28505.990699999998</v>
      </c>
      <c r="N104" s="98"/>
      <c r="O104" s="99"/>
      <c r="P104" s="99"/>
      <c r="Q104" s="100"/>
      <c r="R104" s="2"/>
    </row>
    <row r="105" spans="1:18" x14ac:dyDescent="0.25">
      <c r="A105" s="97"/>
      <c r="B105" s="97" t="s">
        <v>113</v>
      </c>
      <c r="C105" s="5" t="s">
        <v>111</v>
      </c>
      <c r="D105">
        <v>212.464</v>
      </c>
      <c r="E105">
        <v>3.77</v>
      </c>
      <c r="F105">
        <v>26.56</v>
      </c>
      <c r="G105">
        <v>144.31</v>
      </c>
      <c r="H105">
        <v>800.98928000000001</v>
      </c>
      <c r="I105">
        <v>5643.0438399999994</v>
      </c>
      <c r="J105">
        <v>30660.679840000001</v>
      </c>
      <c r="K105">
        <v>711.75440000000003</v>
      </c>
      <c r="L105">
        <v>5611.1742400000003</v>
      </c>
      <c r="M105">
        <v>11781.1288</v>
      </c>
      <c r="N105" s="98">
        <f>(D106-D105)/D105</f>
        <v>-5.080860757587162E-2</v>
      </c>
      <c r="O105" s="99">
        <f>(K106-K105)/K105</f>
        <v>-7.6309271849952842E-2</v>
      </c>
      <c r="P105" s="99">
        <f>(L106-L105)/L105</f>
        <v>-5.8356134740167986E-2</v>
      </c>
      <c r="Q105" s="100">
        <f>(M106-M105)/M105</f>
        <v>-6.3647084479714774E-2</v>
      </c>
      <c r="R105" s="2"/>
    </row>
    <row r="106" spans="1:18" x14ac:dyDescent="0.25">
      <c r="A106" s="97"/>
      <c r="B106" s="97"/>
      <c r="C106" s="5" t="s">
        <v>114</v>
      </c>
      <c r="D106">
        <v>201.66900000000001</v>
      </c>
      <c r="E106">
        <v>3.68</v>
      </c>
      <c r="F106">
        <v>26.35</v>
      </c>
      <c r="G106">
        <v>143.56</v>
      </c>
      <c r="H106">
        <v>742.14192000000003</v>
      </c>
      <c r="I106">
        <v>5313.9781500000008</v>
      </c>
      <c r="J106">
        <v>28951.601640000001</v>
      </c>
      <c r="K106">
        <v>657.44093999999996</v>
      </c>
      <c r="L106">
        <v>5283.7278000000006</v>
      </c>
      <c r="M106">
        <v>11031.2943</v>
      </c>
      <c r="N106" s="101"/>
      <c r="O106" s="102"/>
      <c r="P106" s="102"/>
      <c r="Q106" s="103"/>
      <c r="R106" s="2"/>
    </row>
    <row r="107" spans="1:18" x14ac:dyDescent="0.25">
      <c r="D107" s="1"/>
      <c r="E107" s="1"/>
      <c r="F107" s="1"/>
      <c r="G107" s="1"/>
      <c r="H107" s="1"/>
      <c r="I107" s="1"/>
      <c r="J107" s="1"/>
      <c r="K107" s="1"/>
      <c r="L107" s="1"/>
      <c r="M107" s="1"/>
    </row>
  </sheetData>
  <mergeCells count="294">
    <mergeCell ref="K1:M1"/>
    <mergeCell ref="N1:Q1"/>
    <mergeCell ref="A3:A6"/>
    <mergeCell ref="B3:B4"/>
    <mergeCell ref="N3:N4"/>
    <mergeCell ref="O3:O4"/>
    <mergeCell ref="P3:P4"/>
    <mergeCell ref="Q3:Q4"/>
    <mergeCell ref="B5:B6"/>
    <mergeCell ref="N5:N6"/>
    <mergeCell ref="A1:A2"/>
    <mergeCell ref="B1:B2"/>
    <mergeCell ref="C1:C2"/>
    <mergeCell ref="D1:D2"/>
    <mergeCell ref="E1:G1"/>
    <mergeCell ref="H1:J1"/>
    <mergeCell ref="O5:O6"/>
    <mergeCell ref="P5:P6"/>
    <mergeCell ref="Q5:Q6"/>
    <mergeCell ref="A7:A10"/>
    <mergeCell ref="B7:B8"/>
    <mergeCell ref="N7:N8"/>
    <mergeCell ref="O7:O8"/>
    <mergeCell ref="P7:P8"/>
    <mergeCell ref="Q7:Q8"/>
    <mergeCell ref="B9:B10"/>
    <mergeCell ref="A15:A18"/>
    <mergeCell ref="B15:B16"/>
    <mergeCell ref="N15:N16"/>
    <mergeCell ref="O15:O16"/>
    <mergeCell ref="P15:P16"/>
    <mergeCell ref="N9:N10"/>
    <mergeCell ref="O9:O10"/>
    <mergeCell ref="P9:P10"/>
    <mergeCell ref="Q9:Q10"/>
    <mergeCell ref="A11:A14"/>
    <mergeCell ref="B11:B12"/>
    <mergeCell ref="N11:N12"/>
    <mergeCell ref="O11:O12"/>
    <mergeCell ref="P11:P12"/>
    <mergeCell ref="Q11:Q12"/>
    <mergeCell ref="Q15:Q16"/>
    <mergeCell ref="B17:B18"/>
    <mergeCell ref="N17:N18"/>
    <mergeCell ref="O17:O18"/>
    <mergeCell ref="P17:P18"/>
    <mergeCell ref="Q17:Q18"/>
    <mergeCell ref="B13:B14"/>
    <mergeCell ref="N13:N14"/>
    <mergeCell ref="O13:O14"/>
    <mergeCell ref="P13:P14"/>
    <mergeCell ref="Q13:Q14"/>
    <mergeCell ref="Q21:Q22"/>
    <mergeCell ref="A23:A26"/>
    <mergeCell ref="B23:B24"/>
    <mergeCell ref="N23:N24"/>
    <mergeCell ref="O23:O24"/>
    <mergeCell ref="P23:P24"/>
    <mergeCell ref="Q23:Q24"/>
    <mergeCell ref="B25:B26"/>
    <mergeCell ref="N25:N26"/>
    <mergeCell ref="O25:O26"/>
    <mergeCell ref="A19:A22"/>
    <mergeCell ref="B19:B20"/>
    <mergeCell ref="N19:N20"/>
    <mergeCell ref="O19:O20"/>
    <mergeCell ref="P19:P20"/>
    <mergeCell ref="Q19:Q20"/>
    <mergeCell ref="B21:B22"/>
    <mergeCell ref="N21:N22"/>
    <mergeCell ref="O21:O22"/>
    <mergeCell ref="P21:P22"/>
    <mergeCell ref="P25:P26"/>
    <mergeCell ref="Q25:Q26"/>
    <mergeCell ref="A27:A30"/>
    <mergeCell ref="B27:B28"/>
    <mergeCell ref="N27:N28"/>
    <mergeCell ref="O27:O28"/>
    <mergeCell ref="P27:P28"/>
    <mergeCell ref="Q27:Q28"/>
    <mergeCell ref="B29:B30"/>
    <mergeCell ref="N29:N30"/>
    <mergeCell ref="O29:O30"/>
    <mergeCell ref="P29:P30"/>
    <mergeCell ref="Q29:Q30"/>
    <mergeCell ref="A31:A34"/>
    <mergeCell ref="B31:B32"/>
    <mergeCell ref="N31:N32"/>
    <mergeCell ref="O31:O32"/>
    <mergeCell ref="P31:P32"/>
    <mergeCell ref="Q31:Q32"/>
    <mergeCell ref="B33:B34"/>
    <mergeCell ref="A39:A42"/>
    <mergeCell ref="B39:B40"/>
    <mergeCell ref="N39:N40"/>
    <mergeCell ref="O39:O40"/>
    <mergeCell ref="P39:P40"/>
    <mergeCell ref="N33:N34"/>
    <mergeCell ref="O33:O34"/>
    <mergeCell ref="P33:P34"/>
    <mergeCell ref="Q33:Q34"/>
    <mergeCell ref="A35:A38"/>
    <mergeCell ref="B35:B36"/>
    <mergeCell ref="N35:N36"/>
    <mergeCell ref="O35:O36"/>
    <mergeCell ref="P35:P36"/>
    <mergeCell ref="Q35:Q36"/>
    <mergeCell ref="Q39:Q40"/>
    <mergeCell ref="B41:B42"/>
    <mergeCell ref="N41:N42"/>
    <mergeCell ref="O41:O42"/>
    <mergeCell ref="P41:P42"/>
    <mergeCell ref="Q41:Q42"/>
    <mergeCell ref="B37:B38"/>
    <mergeCell ref="N37:N38"/>
    <mergeCell ref="O37:O38"/>
    <mergeCell ref="P37:P38"/>
    <mergeCell ref="Q37:Q38"/>
    <mergeCell ref="Q45:Q46"/>
    <mergeCell ref="A47:A50"/>
    <mergeCell ref="B47:B48"/>
    <mergeCell ref="N47:N48"/>
    <mergeCell ref="O47:O48"/>
    <mergeCell ref="P47:P48"/>
    <mergeCell ref="Q47:Q48"/>
    <mergeCell ref="B49:B50"/>
    <mergeCell ref="N49:N50"/>
    <mergeCell ref="O49:O50"/>
    <mergeCell ref="A43:A46"/>
    <mergeCell ref="B43:B44"/>
    <mergeCell ref="N43:N44"/>
    <mergeCell ref="O43:O44"/>
    <mergeCell ref="P43:P44"/>
    <mergeCell ref="Q43:Q44"/>
    <mergeCell ref="B45:B46"/>
    <mergeCell ref="N45:N46"/>
    <mergeCell ref="O45:O46"/>
    <mergeCell ref="P45:P46"/>
    <mergeCell ref="P49:P50"/>
    <mergeCell ref="Q49:Q50"/>
    <mergeCell ref="A51:A54"/>
    <mergeCell ref="B51:B52"/>
    <mergeCell ref="N51:N52"/>
    <mergeCell ref="O51:O52"/>
    <mergeCell ref="P51:P52"/>
    <mergeCell ref="Q51:Q52"/>
    <mergeCell ref="B53:B54"/>
    <mergeCell ref="N53:N54"/>
    <mergeCell ref="O53:O54"/>
    <mergeCell ref="P53:P54"/>
    <mergeCell ref="Q53:Q54"/>
    <mergeCell ref="A55:A58"/>
    <mergeCell ref="B55:B56"/>
    <mergeCell ref="N55:N56"/>
    <mergeCell ref="O55:O56"/>
    <mergeCell ref="P55:P56"/>
    <mergeCell ref="Q55:Q56"/>
    <mergeCell ref="B57:B58"/>
    <mergeCell ref="A63:A66"/>
    <mergeCell ref="B63:B64"/>
    <mergeCell ref="N63:N64"/>
    <mergeCell ref="O63:O64"/>
    <mergeCell ref="P63:P64"/>
    <mergeCell ref="N57:N58"/>
    <mergeCell ref="O57:O58"/>
    <mergeCell ref="P57:P58"/>
    <mergeCell ref="Q57:Q58"/>
    <mergeCell ref="A59:A62"/>
    <mergeCell ref="B59:B60"/>
    <mergeCell ref="N59:N60"/>
    <mergeCell ref="O59:O60"/>
    <mergeCell ref="P59:P60"/>
    <mergeCell ref="Q59:Q60"/>
    <mergeCell ref="Q63:Q64"/>
    <mergeCell ref="B65:B66"/>
    <mergeCell ref="N65:N66"/>
    <mergeCell ref="O65:O66"/>
    <mergeCell ref="P65:P66"/>
    <mergeCell ref="Q65:Q66"/>
    <mergeCell ref="B61:B62"/>
    <mergeCell ref="N61:N62"/>
    <mergeCell ref="O61:O62"/>
    <mergeCell ref="P61:P62"/>
    <mergeCell ref="Q61:Q62"/>
    <mergeCell ref="Q69:Q70"/>
    <mergeCell ref="A71:A74"/>
    <mergeCell ref="B71:B72"/>
    <mergeCell ref="N71:N72"/>
    <mergeCell ref="O71:O72"/>
    <mergeCell ref="P71:P72"/>
    <mergeCell ref="Q71:Q72"/>
    <mergeCell ref="B73:B74"/>
    <mergeCell ref="N73:N74"/>
    <mergeCell ref="O73:O74"/>
    <mergeCell ref="A67:A70"/>
    <mergeCell ref="B67:B68"/>
    <mergeCell ref="N67:N68"/>
    <mergeCell ref="O67:O68"/>
    <mergeCell ref="P67:P68"/>
    <mergeCell ref="Q67:Q68"/>
    <mergeCell ref="B69:B70"/>
    <mergeCell ref="N69:N70"/>
    <mergeCell ref="O69:O70"/>
    <mergeCell ref="P69:P70"/>
    <mergeCell ref="P73:P74"/>
    <mergeCell ref="Q73:Q74"/>
    <mergeCell ref="A75:A78"/>
    <mergeCell ref="B75:B76"/>
    <mergeCell ref="N75:N76"/>
    <mergeCell ref="O75:O76"/>
    <mergeCell ref="P75:P76"/>
    <mergeCell ref="Q75:Q76"/>
    <mergeCell ref="B77:B78"/>
    <mergeCell ref="N77:N78"/>
    <mergeCell ref="O77:O78"/>
    <mergeCell ref="P77:P78"/>
    <mergeCell ref="Q77:Q78"/>
    <mergeCell ref="A79:A82"/>
    <mergeCell ref="B79:B80"/>
    <mergeCell ref="N79:N80"/>
    <mergeCell ref="O79:O80"/>
    <mergeCell ref="P79:P80"/>
    <mergeCell ref="Q79:Q80"/>
    <mergeCell ref="B81:B82"/>
    <mergeCell ref="A87:A90"/>
    <mergeCell ref="B87:B88"/>
    <mergeCell ref="N87:N88"/>
    <mergeCell ref="O87:O88"/>
    <mergeCell ref="P87:P88"/>
    <mergeCell ref="N81:N82"/>
    <mergeCell ref="O81:O82"/>
    <mergeCell ref="P81:P82"/>
    <mergeCell ref="Q81:Q82"/>
    <mergeCell ref="A83:A86"/>
    <mergeCell ref="B83:B84"/>
    <mergeCell ref="N83:N84"/>
    <mergeCell ref="O83:O84"/>
    <mergeCell ref="P83:P84"/>
    <mergeCell ref="Q83:Q84"/>
    <mergeCell ref="Q87:Q88"/>
    <mergeCell ref="B89:B90"/>
    <mergeCell ref="N89:N90"/>
    <mergeCell ref="O89:O90"/>
    <mergeCell ref="P89:P90"/>
    <mergeCell ref="Q89:Q90"/>
    <mergeCell ref="B85:B86"/>
    <mergeCell ref="N85:N86"/>
    <mergeCell ref="O85:O86"/>
    <mergeCell ref="P85:P86"/>
    <mergeCell ref="Q85:Q86"/>
    <mergeCell ref="Q93:Q94"/>
    <mergeCell ref="A95:A98"/>
    <mergeCell ref="B95:B96"/>
    <mergeCell ref="N95:N96"/>
    <mergeCell ref="O95:O96"/>
    <mergeCell ref="P95:P96"/>
    <mergeCell ref="Q95:Q96"/>
    <mergeCell ref="B97:B98"/>
    <mergeCell ref="N97:N98"/>
    <mergeCell ref="O97:O98"/>
    <mergeCell ref="A91:A94"/>
    <mergeCell ref="B91:B92"/>
    <mergeCell ref="N91:N92"/>
    <mergeCell ref="O91:O92"/>
    <mergeCell ref="P91:P92"/>
    <mergeCell ref="Q91:Q92"/>
    <mergeCell ref="B93:B94"/>
    <mergeCell ref="N93:N94"/>
    <mergeCell ref="O93:O94"/>
    <mergeCell ref="P93:P94"/>
    <mergeCell ref="P97:P98"/>
    <mergeCell ref="Q97:Q98"/>
    <mergeCell ref="A99:A102"/>
    <mergeCell ref="B99:B100"/>
    <mergeCell ref="N99:N100"/>
    <mergeCell ref="O99:O100"/>
    <mergeCell ref="P99:P100"/>
    <mergeCell ref="Q99:Q100"/>
    <mergeCell ref="B101:B102"/>
    <mergeCell ref="N101:N102"/>
    <mergeCell ref="N105:N106"/>
    <mergeCell ref="O105:O106"/>
    <mergeCell ref="P105:P106"/>
    <mergeCell ref="Q105:Q106"/>
    <mergeCell ref="O101:O102"/>
    <mergeCell ref="P101:P102"/>
    <mergeCell ref="Q101:Q102"/>
    <mergeCell ref="A103:A106"/>
    <mergeCell ref="B103:B104"/>
    <mergeCell ref="N103:N104"/>
    <mergeCell ref="O103:O104"/>
    <mergeCell ref="P103:P104"/>
    <mergeCell ref="Q103:Q104"/>
    <mergeCell ref="B105:B106"/>
  </mergeCells>
  <conditionalFormatting sqref="N3:Q106">
    <cfRule type="colorScale" priority="1">
      <colorScale>
        <cfvo type="num" val="-1"/>
        <cfvo type="num" val="0"/>
        <cfvo type="num" val="1"/>
        <color rgb="FF92D050"/>
        <color rgb="FFFFC000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8D439-10D9-48ED-AA99-707A05402BDE}">
  <dimension ref="A1:Q106"/>
  <sheetViews>
    <sheetView zoomScale="85" zoomScaleNormal="85" workbookViewId="0">
      <selection activeCell="M3" sqref="M3"/>
    </sheetView>
  </sheetViews>
  <sheetFormatPr baseColWidth="10" defaultColWidth="9.140625" defaultRowHeight="15" x14ac:dyDescent="0.25"/>
  <cols>
    <col min="1" max="1" width="10.28515625" bestFit="1" customWidth="1"/>
    <col min="3" max="3" width="12.7109375" bestFit="1" customWidth="1"/>
    <col min="10" max="10" width="9" bestFit="1" customWidth="1"/>
    <col min="13" max="13" width="11.85546875" customWidth="1"/>
    <col min="17" max="17" width="8.140625" bestFit="1" customWidth="1"/>
  </cols>
  <sheetData>
    <row r="1" spans="1:17" x14ac:dyDescent="0.25">
      <c r="A1" s="105" t="s">
        <v>97</v>
      </c>
      <c r="B1" s="105" t="s">
        <v>98</v>
      </c>
      <c r="C1" s="105" t="s">
        <v>99</v>
      </c>
      <c r="D1" s="105" t="s">
        <v>100</v>
      </c>
      <c r="E1" s="105" t="s">
        <v>101</v>
      </c>
      <c r="F1" s="105"/>
      <c r="G1" s="105"/>
      <c r="H1" s="105" t="s">
        <v>102</v>
      </c>
      <c r="I1" s="105"/>
      <c r="J1" s="105"/>
      <c r="K1" s="105" t="s">
        <v>103</v>
      </c>
      <c r="L1" s="105"/>
      <c r="M1" s="105"/>
      <c r="N1" s="105" t="s">
        <v>104</v>
      </c>
      <c r="O1" s="105"/>
      <c r="P1" s="105"/>
      <c r="Q1" s="105"/>
    </row>
    <row r="2" spans="1:17" x14ac:dyDescent="0.25">
      <c r="A2" s="105"/>
      <c r="B2" s="105"/>
      <c r="C2" s="105"/>
      <c r="D2" s="105"/>
      <c r="E2" s="15" t="s">
        <v>105</v>
      </c>
      <c r="F2" s="15" t="s">
        <v>106</v>
      </c>
      <c r="G2" s="15" t="s">
        <v>107</v>
      </c>
      <c r="H2" s="15" t="s">
        <v>108</v>
      </c>
      <c r="I2" s="15" t="s">
        <v>109</v>
      </c>
      <c r="J2" s="15" t="s">
        <v>110</v>
      </c>
      <c r="K2" s="15" t="s">
        <v>108</v>
      </c>
      <c r="L2" s="15" t="s">
        <v>109</v>
      </c>
      <c r="M2" s="15" t="s">
        <v>110</v>
      </c>
      <c r="N2" s="15" t="s">
        <v>100</v>
      </c>
      <c r="O2" s="15" t="s">
        <v>108</v>
      </c>
      <c r="P2" s="15" t="s">
        <v>109</v>
      </c>
      <c r="Q2" s="15" t="s">
        <v>110</v>
      </c>
    </row>
    <row r="3" spans="1:17" x14ac:dyDescent="0.25">
      <c r="A3" s="97" t="s">
        <v>7</v>
      </c>
      <c r="B3" s="97" t="s">
        <v>111</v>
      </c>
      <c r="C3" s="5" t="s">
        <v>112</v>
      </c>
      <c r="D3">
        <v>4.7110000000000003</v>
      </c>
      <c r="E3">
        <v>7.03</v>
      </c>
      <c r="F3">
        <v>35.01</v>
      </c>
      <c r="G3">
        <v>135.97999999999999</v>
      </c>
      <c r="H3">
        <v>33.11833</v>
      </c>
      <c r="I3">
        <v>164.93210999999999</v>
      </c>
      <c r="J3">
        <v>640.60177999999996</v>
      </c>
      <c r="K3">
        <v>15.68763</v>
      </c>
      <c r="L3">
        <v>107.45791</v>
      </c>
      <c r="M3">
        <v>214.35050000000001</v>
      </c>
      <c r="N3" s="98">
        <f>(D4-D3)/D3</f>
        <v>-0.33326257694756956</v>
      </c>
      <c r="O3" s="99">
        <f>(K4-K3)/K3</f>
        <v>-0.31724486107844208</v>
      </c>
      <c r="P3" s="99">
        <f>(L4-L3)/L3</f>
        <v>-0.41773741923698299</v>
      </c>
      <c r="Q3" s="100">
        <f>(M4-M3)/M3</f>
        <v>-0.43217417267512792</v>
      </c>
    </row>
    <row r="4" spans="1:17" x14ac:dyDescent="0.25">
      <c r="A4" s="97"/>
      <c r="B4" s="97"/>
      <c r="C4" s="5" t="s">
        <v>113</v>
      </c>
      <c r="D4">
        <v>3.141</v>
      </c>
      <c r="E4">
        <v>7.11</v>
      </c>
      <c r="F4">
        <v>32.119999999999997</v>
      </c>
      <c r="G4">
        <v>129.22999999999999</v>
      </c>
      <c r="H4">
        <v>22.332509999999999</v>
      </c>
      <c r="I4">
        <v>100.88892</v>
      </c>
      <c r="J4">
        <v>405.91143</v>
      </c>
      <c r="K4">
        <v>10.71081</v>
      </c>
      <c r="L4">
        <v>62.568720000000013</v>
      </c>
      <c r="M4">
        <v>121.71375</v>
      </c>
      <c r="N4" s="98"/>
      <c r="O4" s="99"/>
      <c r="P4" s="99"/>
      <c r="Q4" s="100"/>
    </row>
    <row r="5" spans="1:17" x14ac:dyDescent="0.25">
      <c r="A5" s="97"/>
      <c r="B5" s="97" t="s">
        <v>114</v>
      </c>
      <c r="C5" s="5" t="s">
        <v>112</v>
      </c>
      <c r="D5">
        <v>3.6640000000000001</v>
      </c>
      <c r="E5">
        <v>7.02</v>
      </c>
      <c r="F5">
        <v>32.049999999999997</v>
      </c>
      <c r="G5">
        <v>128.91</v>
      </c>
      <c r="H5">
        <v>25.72128</v>
      </c>
      <c r="I5">
        <v>117.4312</v>
      </c>
      <c r="J5">
        <v>472.32623999999998</v>
      </c>
      <c r="K5">
        <v>12.164479999999999</v>
      </c>
      <c r="L5">
        <v>72.730400000000003</v>
      </c>
      <c r="M5">
        <v>140.77088000000001</v>
      </c>
      <c r="N5" s="98">
        <f>(D6-D5)/D5</f>
        <v>-0.71397379912663761</v>
      </c>
      <c r="O5" s="99">
        <f>(K6-K5)/K5</f>
        <v>-0.71138922502236024</v>
      </c>
      <c r="P5" s="99">
        <f>(L6-L5)/L5</f>
        <v>-0.82060321406179526</v>
      </c>
      <c r="Q5" s="100">
        <f>(M6-M5)/M5</f>
        <v>-0.8365883625931726</v>
      </c>
    </row>
    <row r="6" spans="1:17" x14ac:dyDescent="0.25">
      <c r="A6" s="97"/>
      <c r="B6" s="97"/>
      <c r="C6" s="5" t="s">
        <v>113</v>
      </c>
      <c r="D6">
        <v>1.048</v>
      </c>
      <c r="E6">
        <v>7.05</v>
      </c>
      <c r="F6">
        <v>24.65</v>
      </c>
      <c r="G6">
        <v>112.43</v>
      </c>
      <c r="H6">
        <v>7.3883999999999999</v>
      </c>
      <c r="I6">
        <v>25.833200000000001</v>
      </c>
      <c r="J6">
        <v>117.82664</v>
      </c>
      <c r="K6">
        <v>3.5108000000000001</v>
      </c>
      <c r="L6">
        <v>13.047599999999999</v>
      </c>
      <c r="M6">
        <v>23.003599999999999</v>
      </c>
      <c r="N6" s="98"/>
      <c r="O6" s="99"/>
      <c r="P6" s="99"/>
      <c r="Q6" s="100"/>
    </row>
    <row r="7" spans="1:17" x14ac:dyDescent="0.25">
      <c r="A7" s="97" t="s">
        <v>9</v>
      </c>
      <c r="B7" s="97" t="s">
        <v>111</v>
      </c>
      <c r="C7" s="5" t="s">
        <v>112</v>
      </c>
      <c r="D7">
        <v>409.55500000000001</v>
      </c>
      <c r="E7">
        <v>2.16</v>
      </c>
      <c r="F7">
        <v>17.190000000000001</v>
      </c>
      <c r="G7">
        <v>148.86000000000001</v>
      </c>
      <c r="H7">
        <v>884.63880000000006</v>
      </c>
      <c r="I7">
        <v>7040.2504499999995</v>
      </c>
      <c r="J7">
        <v>60966.357300000003</v>
      </c>
      <c r="K7">
        <v>716.72125000000005</v>
      </c>
      <c r="L7">
        <v>6892.8106499999994</v>
      </c>
      <c r="M7">
        <v>22783.54465</v>
      </c>
      <c r="N7" s="98">
        <f>(D8-D7)/D7</f>
        <v>-0.99871567921280413</v>
      </c>
      <c r="O7" s="99">
        <f>(K8-K7)/K7</f>
        <v>-0.99865696740538945</v>
      </c>
      <c r="P7" s="99">
        <f>(L8-L7)/L7</f>
        <v>-0.99947879316835719</v>
      </c>
      <c r="Q7" s="100">
        <f>(M8-M7)/M7</f>
        <v>-0.99971972578902468</v>
      </c>
    </row>
    <row r="8" spans="1:17" x14ac:dyDescent="0.25">
      <c r="A8" s="97"/>
      <c r="B8" s="97"/>
      <c r="C8" s="5" t="s">
        <v>113</v>
      </c>
      <c r="D8">
        <v>0.52600000000000002</v>
      </c>
      <c r="E8">
        <v>2.2400000000000002</v>
      </c>
      <c r="F8">
        <v>7.19</v>
      </c>
      <c r="G8">
        <v>105.37</v>
      </c>
      <c r="H8">
        <v>1.17824</v>
      </c>
      <c r="I8">
        <v>3.781940000000001</v>
      </c>
      <c r="J8">
        <v>55.424619999999997</v>
      </c>
      <c r="K8">
        <v>0.9625800000000001</v>
      </c>
      <c r="L8">
        <v>3.5925799999999999</v>
      </c>
      <c r="M8">
        <v>6.3856400000000004</v>
      </c>
      <c r="N8" s="98"/>
      <c r="O8" s="99"/>
      <c r="P8" s="99"/>
      <c r="Q8" s="100"/>
    </row>
    <row r="9" spans="1:17" x14ac:dyDescent="0.25">
      <c r="A9" s="97"/>
      <c r="B9" s="97" t="s">
        <v>114</v>
      </c>
      <c r="C9" s="5" t="s">
        <v>112</v>
      </c>
      <c r="D9">
        <v>530.04200000000003</v>
      </c>
      <c r="E9">
        <v>2.23</v>
      </c>
      <c r="F9">
        <v>15.46</v>
      </c>
      <c r="G9">
        <v>145.58000000000001</v>
      </c>
      <c r="H9">
        <v>1181.9936600000001</v>
      </c>
      <c r="I9">
        <v>8194.4493200000015</v>
      </c>
      <c r="J9">
        <v>77163.514360000016</v>
      </c>
      <c r="K9">
        <v>964.67644000000007</v>
      </c>
      <c r="L9">
        <v>8003.6342000000004</v>
      </c>
      <c r="M9">
        <v>27747.698700000001</v>
      </c>
      <c r="N9" s="98">
        <f>(D10-D9)/D9</f>
        <v>-0.99900762581078484</v>
      </c>
      <c r="O9" s="99">
        <f>(K10-K9)/K9</f>
        <v>-0.99898581538904385</v>
      </c>
      <c r="P9" s="99">
        <f>(L10-L9)/L9</f>
        <v>-0.99955310301412825</v>
      </c>
      <c r="Q9" s="100">
        <f>(M10-M9)/M9</f>
        <v>-0.99980247298850766</v>
      </c>
    </row>
    <row r="10" spans="1:17" x14ac:dyDescent="0.25">
      <c r="A10" s="97"/>
      <c r="B10" s="97"/>
      <c r="C10" s="5" t="s">
        <v>113</v>
      </c>
      <c r="D10">
        <v>0.52600000000000002</v>
      </c>
      <c r="E10">
        <v>2.27</v>
      </c>
      <c r="F10">
        <v>7.16</v>
      </c>
      <c r="G10">
        <v>103.65</v>
      </c>
      <c r="H10">
        <v>1.1940200000000001</v>
      </c>
      <c r="I10">
        <v>3.7661600000000002</v>
      </c>
      <c r="J10">
        <v>54.519900000000007</v>
      </c>
      <c r="K10">
        <v>0.97836000000000012</v>
      </c>
      <c r="L10">
        <v>3.5768</v>
      </c>
      <c r="M10">
        <v>5.4809200000000002</v>
      </c>
      <c r="N10" s="98"/>
      <c r="O10" s="99"/>
      <c r="P10" s="99"/>
      <c r="Q10" s="100"/>
    </row>
    <row r="11" spans="1:17" x14ac:dyDescent="0.25">
      <c r="A11" s="97" t="s">
        <v>13</v>
      </c>
      <c r="B11" s="97" t="s">
        <v>111</v>
      </c>
      <c r="C11" s="5" t="s">
        <v>112</v>
      </c>
      <c r="D11">
        <v>2.0939999999999999</v>
      </c>
      <c r="E11">
        <v>1.77</v>
      </c>
      <c r="F11">
        <v>10.67</v>
      </c>
      <c r="G11">
        <v>118.01</v>
      </c>
      <c r="H11">
        <v>3.7063799999999998</v>
      </c>
      <c r="I11">
        <v>22.342980000000001</v>
      </c>
      <c r="J11">
        <v>247.11294000000001</v>
      </c>
      <c r="K11">
        <v>2.8269000000000002</v>
      </c>
      <c r="L11">
        <v>21.12846</v>
      </c>
      <c r="M11">
        <v>57.187139999999992</v>
      </c>
      <c r="N11" s="98">
        <f>(D12-D11)/D11</f>
        <v>0</v>
      </c>
      <c r="O11" s="99">
        <f>(K12-K11)/K11</f>
        <v>1.4814814814814784E-2</v>
      </c>
      <c r="P11" s="99">
        <f>(L12-L11)/L11</f>
        <v>-1.5857284440039612E-2</v>
      </c>
      <c r="Q11" s="100">
        <f>(M12-M11)/M11</f>
        <v>2.8560966678872295E-2</v>
      </c>
    </row>
    <row r="12" spans="1:17" x14ac:dyDescent="0.25">
      <c r="A12" s="97"/>
      <c r="B12" s="97"/>
      <c r="C12" s="5" t="s">
        <v>113</v>
      </c>
      <c r="D12">
        <v>2.0939999999999999</v>
      </c>
      <c r="E12">
        <v>1.79</v>
      </c>
      <c r="F12">
        <v>10.51</v>
      </c>
      <c r="G12">
        <v>118.79</v>
      </c>
      <c r="H12">
        <v>3.7482600000000001</v>
      </c>
      <c r="I12">
        <v>22.007940000000001</v>
      </c>
      <c r="J12">
        <v>248.74626000000001</v>
      </c>
      <c r="K12">
        <v>2.8687800000000001</v>
      </c>
      <c r="L12">
        <v>20.793420000000001</v>
      </c>
      <c r="M12">
        <v>58.820459999999997</v>
      </c>
      <c r="N12" s="98"/>
      <c r="O12" s="99"/>
      <c r="P12" s="99"/>
      <c r="Q12" s="100"/>
    </row>
    <row r="13" spans="1:17" x14ac:dyDescent="0.25">
      <c r="A13" s="97"/>
      <c r="B13" s="97" t="s">
        <v>114</v>
      </c>
      <c r="C13" s="5" t="s">
        <v>112</v>
      </c>
      <c r="D13">
        <v>1.0469999999999999</v>
      </c>
      <c r="E13">
        <v>1.85</v>
      </c>
      <c r="F13">
        <v>10.92</v>
      </c>
      <c r="G13">
        <v>115.72</v>
      </c>
      <c r="H13">
        <v>1.9369499999999999</v>
      </c>
      <c r="I13">
        <v>11.43324</v>
      </c>
      <c r="J13">
        <v>121.15884</v>
      </c>
      <c r="K13">
        <v>1.4972099999999999</v>
      </c>
      <c r="L13">
        <v>10.825979999999999</v>
      </c>
      <c r="M13">
        <v>26.19594</v>
      </c>
      <c r="N13" s="98">
        <f>(D14-D13)/D13</f>
        <v>0</v>
      </c>
      <c r="O13" s="99">
        <f>(K14-K13)/K13</f>
        <v>6.9930069930069791E-3</v>
      </c>
      <c r="P13" s="99">
        <f>(L14-L13)/L13</f>
        <v>-2.6112185686653661E-2</v>
      </c>
      <c r="Q13" s="100">
        <f>(M14-M13)/M13</f>
        <v>1.6786570743405293E-2</v>
      </c>
    </row>
    <row r="14" spans="1:17" x14ac:dyDescent="0.25">
      <c r="A14" s="97"/>
      <c r="B14" s="97"/>
      <c r="C14" s="5" t="s">
        <v>113</v>
      </c>
      <c r="D14">
        <v>1.0469999999999999</v>
      </c>
      <c r="E14">
        <v>1.86</v>
      </c>
      <c r="F14">
        <v>10.65</v>
      </c>
      <c r="G14">
        <v>116.14</v>
      </c>
      <c r="H14">
        <v>1.9474199999999999</v>
      </c>
      <c r="I14">
        <v>11.150550000000001</v>
      </c>
      <c r="J14">
        <v>121.59858</v>
      </c>
      <c r="K14">
        <v>1.5076799999999999</v>
      </c>
      <c r="L14">
        <v>10.543290000000001</v>
      </c>
      <c r="M14">
        <v>26.635680000000001</v>
      </c>
      <c r="N14" s="98"/>
      <c r="O14" s="99"/>
      <c r="P14" s="99"/>
      <c r="Q14" s="100"/>
    </row>
    <row r="15" spans="1:17" x14ac:dyDescent="0.25">
      <c r="A15" s="97" t="s">
        <v>15</v>
      </c>
      <c r="B15" s="97" t="s">
        <v>111</v>
      </c>
      <c r="C15" s="5" t="s">
        <v>112</v>
      </c>
      <c r="D15">
        <v>4.7119999999999997</v>
      </c>
      <c r="E15">
        <v>2.72</v>
      </c>
      <c r="F15">
        <v>22.77</v>
      </c>
      <c r="G15">
        <v>135.72999999999999</v>
      </c>
      <c r="H15">
        <v>12.81664</v>
      </c>
      <c r="I15">
        <v>107.29224000000001</v>
      </c>
      <c r="J15">
        <v>639.55975999999987</v>
      </c>
      <c r="K15">
        <v>10.8376</v>
      </c>
      <c r="L15">
        <v>104.55928</v>
      </c>
      <c r="M15">
        <v>228.43776</v>
      </c>
      <c r="N15" s="98">
        <f>(D16-D15)/D15</f>
        <v>3.8718166383701189</v>
      </c>
      <c r="O15" s="99">
        <f>(K16-K15)/K15</f>
        <v>6.6678157525651436</v>
      </c>
      <c r="P15" s="99">
        <f>(L16-L15)/L15</f>
        <v>3.1319328136153959</v>
      </c>
      <c r="Q15" s="100">
        <f>(M16-M15)/M15</f>
        <v>3.6447063742876833</v>
      </c>
    </row>
    <row r="16" spans="1:17" x14ac:dyDescent="0.25">
      <c r="A16" s="97"/>
      <c r="B16" s="97"/>
      <c r="C16" s="5" t="s">
        <v>113</v>
      </c>
      <c r="D16">
        <v>22.956</v>
      </c>
      <c r="E16">
        <v>4.04</v>
      </c>
      <c r="F16">
        <v>19.399999999999999</v>
      </c>
      <c r="G16">
        <v>133.47</v>
      </c>
      <c r="H16">
        <v>92.742239999999995</v>
      </c>
      <c r="I16">
        <v>445.34640000000002</v>
      </c>
      <c r="J16">
        <v>3063.93732</v>
      </c>
      <c r="K16">
        <v>83.100719999999995</v>
      </c>
      <c r="L16">
        <v>432.03192000000001</v>
      </c>
      <c r="M16">
        <v>1061.0263199999999</v>
      </c>
      <c r="N16" s="98"/>
      <c r="O16" s="99"/>
      <c r="P16" s="99"/>
      <c r="Q16" s="100"/>
    </row>
    <row r="17" spans="1:17" x14ac:dyDescent="0.25">
      <c r="A17" s="97"/>
      <c r="B17" s="97" t="s">
        <v>114</v>
      </c>
      <c r="C17" s="5" t="s">
        <v>112</v>
      </c>
      <c r="D17">
        <v>5.2919999999999998</v>
      </c>
      <c r="E17">
        <v>4.3899999999999997</v>
      </c>
      <c r="F17">
        <v>22.58</v>
      </c>
      <c r="G17">
        <v>137.94</v>
      </c>
      <c r="H17">
        <v>23.23188</v>
      </c>
      <c r="I17">
        <v>119.49336</v>
      </c>
      <c r="J17">
        <v>729.97847999999999</v>
      </c>
      <c r="K17">
        <v>21.009239999999998</v>
      </c>
      <c r="L17">
        <v>116.42400000000001</v>
      </c>
      <c r="M17">
        <v>268.25148000000002</v>
      </c>
      <c r="N17" s="98">
        <f>(D18-D17)/D17</f>
        <v>-0.17894935752078611</v>
      </c>
      <c r="O17" s="99">
        <f>(K18-K17)/K17</f>
        <v>-0.17067680696683935</v>
      </c>
      <c r="P17" s="99">
        <f>(L18-L17)/L17</f>
        <v>-0.22671957671957685</v>
      </c>
      <c r="Q17" s="100">
        <f>(M18-M17)/M17</f>
        <v>-0.23175316684180089</v>
      </c>
    </row>
    <row r="18" spans="1:17" x14ac:dyDescent="0.25">
      <c r="A18" s="97"/>
      <c r="B18" s="97"/>
      <c r="C18" s="5" t="s">
        <v>113</v>
      </c>
      <c r="D18">
        <v>4.3449999999999998</v>
      </c>
      <c r="E18">
        <v>4.43</v>
      </c>
      <c r="F18">
        <v>21.3</v>
      </c>
      <c r="G18">
        <v>134.68</v>
      </c>
      <c r="H18">
        <v>19.248349999999999</v>
      </c>
      <c r="I18">
        <v>92.548500000000004</v>
      </c>
      <c r="J18">
        <v>585.18460000000005</v>
      </c>
      <c r="K18">
        <v>17.423449999999999</v>
      </c>
      <c r="L18">
        <v>90.028399999999991</v>
      </c>
      <c r="M18">
        <v>206.08335</v>
      </c>
      <c r="N18" s="98"/>
      <c r="O18" s="99"/>
      <c r="P18" s="99"/>
      <c r="Q18" s="100"/>
    </row>
    <row r="19" spans="1:17" x14ac:dyDescent="0.25">
      <c r="A19" s="97" t="s">
        <v>17</v>
      </c>
      <c r="B19" s="97" t="s">
        <v>111</v>
      </c>
      <c r="C19" s="5" t="s">
        <v>112</v>
      </c>
      <c r="D19">
        <v>0.54100000000000004</v>
      </c>
      <c r="E19">
        <v>1.61</v>
      </c>
      <c r="F19">
        <v>7.38</v>
      </c>
      <c r="G19">
        <v>109.41</v>
      </c>
      <c r="H19">
        <v>0.87101000000000006</v>
      </c>
      <c r="I19">
        <v>3.9925799999999998</v>
      </c>
      <c r="J19">
        <v>59.190809999999999</v>
      </c>
      <c r="K19">
        <v>0.64378999999999997</v>
      </c>
      <c r="L19">
        <v>3.6787999999999998</v>
      </c>
      <c r="M19">
        <v>8.0122100000000014</v>
      </c>
      <c r="N19" s="98">
        <f>(D20-D19)/D19</f>
        <v>-3.3271719038817031E-2</v>
      </c>
      <c r="O19" s="99">
        <f>(K20-K19)/K19</f>
        <v>-5.7643020239519061E-2</v>
      </c>
      <c r="P19" s="99">
        <f>(L20-L19)/L19</f>
        <v>-0.15979939110579527</v>
      </c>
      <c r="Q19" s="100">
        <f>(M20-M19)/M19</f>
        <v>-0.11551868959999809</v>
      </c>
    </row>
    <row r="20" spans="1:17" x14ac:dyDescent="0.25">
      <c r="A20" s="97"/>
      <c r="B20" s="97"/>
      <c r="C20" s="5" t="s">
        <v>113</v>
      </c>
      <c r="D20">
        <v>0.52300000000000002</v>
      </c>
      <c r="E20">
        <v>1.58</v>
      </c>
      <c r="F20">
        <v>6.49</v>
      </c>
      <c r="G20">
        <v>108.15</v>
      </c>
      <c r="H20">
        <v>0.82634000000000007</v>
      </c>
      <c r="I20">
        <v>3.3942700000000001</v>
      </c>
      <c r="J20">
        <v>56.562450000000013</v>
      </c>
      <c r="K20">
        <v>0.60668</v>
      </c>
      <c r="L20">
        <v>3.0909300000000002</v>
      </c>
      <c r="M20">
        <v>7.0866500000000006</v>
      </c>
      <c r="N20" s="98"/>
      <c r="O20" s="99"/>
      <c r="P20" s="99"/>
      <c r="Q20" s="100"/>
    </row>
    <row r="21" spans="1:17" x14ac:dyDescent="0.25">
      <c r="A21" s="97"/>
      <c r="B21" s="97" t="s">
        <v>114</v>
      </c>
      <c r="C21" s="5" t="s">
        <v>112</v>
      </c>
      <c r="D21">
        <v>0.54100000000000004</v>
      </c>
      <c r="E21">
        <v>1.58</v>
      </c>
      <c r="F21">
        <v>6.52</v>
      </c>
      <c r="G21">
        <v>108.1</v>
      </c>
      <c r="H21">
        <v>0.8547800000000001</v>
      </c>
      <c r="I21">
        <v>3.52732</v>
      </c>
      <c r="J21">
        <v>58.482100000000003</v>
      </c>
      <c r="K21">
        <v>0.62756000000000001</v>
      </c>
      <c r="L21">
        <v>3.213540000000001</v>
      </c>
      <c r="M21">
        <v>7.3035000000000014</v>
      </c>
      <c r="N21" s="98">
        <f>(D22-D21)/D21</f>
        <v>0</v>
      </c>
      <c r="O21" s="99">
        <f>(K22-K21)/K21</f>
        <v>0</v>
      </c>
      <c r="P21" s="99">
        <f>(L22-L21)/L21</f>
        <v>-5.050505050505384E-3</v>
      </c>
      <c r="Q21" s="100">
        <f>(M22-M21)/M21</f>
        <v>-6.6666666666666818E-2</v>
      </c>
    </row>
    <row r="22" spans="1:17" x14ac:dyDescent="0.25">
      <c r="A22" s="97"/>
      <c r="B22" s="97"/>
      <c r="C22" s="5" t="s">
        <v>113</v>
      </c>
      <c r="D22">
        <v>0.54100000000000004</v>
      </c>
      <c r="E22">
        <v>1.58</v>
      </c>
      <c r="F22">
        <v>6.49</v>
      </c>
      <c r="G22">
        <v>107.2</v>
      </c>
      <c r="H22">
        <v>0.8547800000000001</v>
      </c>
      <c r="I22">
        <v>3.5110899999999998</v>
      </c>
      <c r="J22">
        <v>57.995199999999997</v>
      </c>
      <c r="K22">
        <v>0.62756000000000001</v>
      </c>
      <c r="L22">
        <v>3.1973099999999999</v>
      </c>
      <c r="M22">
        <v>6.8166000000000002</v>
      </c>
      <c r="N22" s="98"/>
      <c r="O22" s="99"/>
      <c r="P22" s="99"/>
      <c r="Q22" s="100"/>
    </row>
    <row r="23" spans="1:17" x14ac:dyDescent="0.25">
      <c r="A23" s="97" t="s">
        <v>19</v>
      </c>
      <c r="B23" s="97" t="s">
        <v>111</v>
      </c>
      <c r="C23" s="5" t="s">
        <v>112</v>
      </c>
      <c r="D23">
        <v>82.099000000000004</v>
      </c>
      <c r="E23">
        <v>1.68</v>
      </c>
      <c r="F23">
        <v>19.21</v>
      </c>
      <c r="G23">
        <v>149.15</v>
      </c>
      <c r="H23">
        <v>137.92632</v>
      </c>
      <c r="I23">
        <v>1577.1217899999999</v>
      </c>
      <c r="J23">
        <v>12245.065850000001</v>
      </c>
      <c r="K23">
        <v>103.44474</v>
      </c>
      <c r="L23">
        <v>1529.5043700000001</v>
      </c>
      <c r="M23">
        <v>4994.9031600000008</v>
      </c>
      <c r="N23" s="98">
        <f>(D24-D23)/D23</f>
        <v>-6.8819352245459466E-3</v>
      </c>
      <c r="O23" s="99">
        <f>(K24-K23)/K23</f>
        <v>-6.8819352245459752E-3</v>
      </c>
      <c r="P23" s="99">
        <f>(L24-L23)/L23</f>
        <v>-4.2165619964852534E-3</v>
      </c>
      <c r="Q23" s="100">
        <f>(M24-M23)/M23</f>
        <v>-2.8428875485946435E-2</v>
      </c>
    </row>
    <row r="24" spans="1:17" x14ac:dyDescent="0.25">
      <c r="A24" s="97"/>
      <c r="B24" s="97"/>
      <c r="C24" s="5" t="s">
        <v>113</v>
      </c>
      <c r="D24">
        <v>81.534000000000006</v>
      </c>
      <c r="E24">
        <v>1.68</v>
      </c>
      <c r="F24">
        <v>19.260000000000002</v>
      </c>
      <c r="G24">
        <v>147.83000000000001</v>
      </c>
      <c r="H24">
        <v>136.97712000000001</v>
      </c>
      <c r="I24">
        <v>1570.34484</v>
      </c>
      <c r="J24">
        <v>12053.17122</v>
      </c>
      <c r="K24">
        <v>102.73284</v>
      </c>
      <c r="L24">
        <v>1523.05512</v>
      </c>
      <c r="M24">
        <v>4852.9036800000003</v>
      </c>
      <c r="N24" s="98"/>
      <c r="O24" s="99"/>
      <c r="P24" s="99"/>
      <c r="Q24" s="100"/>
    </row>
    <row r="25" spans="1:17" x14ac:dyDescent="0.25">
      <c r="A25" s="97"/>
      <c r="B25" s="97" t="s">
        <v>114</v>
      </c>
      <c r="C25" s="5" t="s">
        <v>112</v>
      </c>
      <c r="D25">
        <v>1.052</v>
      </c>
      <c r="E25">
        <v>1.76</v>
      </c>
      <c r="F25">
        <v>7.04</v>
      </c>
      <c r="G25">
        <v>102.92</v>
      </c>
      <c r="H25">
        <v>1.8515200000000001</v>
      </c>
      <c r="I25">
        <v>7.4060800000000002</v>
      </c>
      <c r="J25">
        <v>108.27184</v>
      </c>
      <c r="K25">
        <v>1.40968</v>
      </c>
      <c r="L25">
        <v>6.7959200000000006</v>
      </c>
      <c r="M25">
        <v>15.369719999999999</v>
      </c>
      <c r="N25" s="98">
        <f>(D26-D25)/D25</f>
        <v>-0.5</v>
      </c>
      <c r="O25" s="99">
        <f>(K26-K25)/K25</f>
        <v>-0.47388059701492541</v>
      </c>
      <c r="P25" s="99">
        <f>(L26-L25)/L25</f>
        <v>-0.52786377708978327</v>
      </c>
      <c r="Q25" s="100">
        <f>(M26-M25)/M25</f>
        <v>-0.59445585215605745</v>
      </c>
    </row>
    <row r="26" spans="1:17" x14ac:dyDescent="0.25">
      <c r="A26" s="97"/>
      <c r="B26" s="97"/>
      <c r="C26" s="5" t="s">
        <v>113</v>
      </c>
      <c r="D26">
        <v>0.52600000000000002</v>
      </c>
      <c r="E26">
        <v>1.83</v>
      </c>
      <c r="F26">
        <v>6.68</v>
      </c>
      <c r="G26">
        <v>100.16</v>
      </c>
      <c r="H26">
        <v>0.9625800000000001</v>
      </c>
      <c r="I26">
        <v>3.5136799999999999</v>
      </c>
      <c r="J26">
        <v>52.684159999999999</v>
      </c>
      <c r="K26">
        <v>0.74165999999999999</v>
      </c>
      <c r="L26">
        <v>3.2086000000000001</v>
      </c>
      <c r="M26">
        <v>6.2331000000000003</v>
      </c>
      <c r="N26" s="98"/>
      <c r="O26" s="99"/>
      <c r="P26" s="99"/>
      <c r="Q26" s="100"/>
    </row>
    <row r="27" spans="1:17" x14ac:dyDescent="0.25">
      <c r="A27" s="97" t="s">
        <v>21</v>
      </c>
      <c r="B27" s="97" t="s">
        <v>111</v>
      </c>
      <c r="C27" s="5" t="s">
        <v>112</v>
      </c>
      <c r="D27">
        <v>2.0939999999999999</v>
      </c>
      <c r="E27">
        <v>2.1</v>
      </c>
      <c r="F27">
        <v>12.56</v>
      </c>
      <c r="G27">
        <v>124.11</v>
      </c>
      <c r="H27">
        <v>4.3974000000000002</v>
      </c>
      <c r="I27">
        <v>26.300640000000001</v>
      </c>
      <c r="J27">
        <v>259.88634000000002</v>
      </c>
      <c r="K27">
        <v>3.5179200000000002</v>
      </c>
      <c r="L27">
        <v>25.086120000000001</v>
      </c>
      <c r="M27">
        <v>75.258359999999996</v>
      </c>
      <c r="N27" s="98">
        <f>(D28-D27)/D27</f>
        <v>-0.5</v>
      </c>
      <c r="O27" s="99">
        <f>(K28-K27)/K27</f>
        <v>-0.49404761904761907</v>
      </c>
      <c r="P27" s="99">
        <f>(L28-L27)/L27</f>
        <v>-0.58096828046744575</v>
      </c>
      <c r="Q27" s="100">
        <f>(M28-M27)/M27</f>
        <v>-0.6395381190873678</v>
      </c>
    </row>
    <row r="28" spans="1:17" x14ac:dyDescent="0.25">
      <c r="A28" s="97"/>
      <c r="B28" s="97"/>
      <c r="C28" s="5" t="s">
        <v>113</v>
      </c>
      <c r="D28">
        <v>1.0469999999999999</v>
      </c>
      <c r="E28">
        <v>2.12</v>
      </c>
      <c r="F28">
        <v>10.62</v>
      </c>
      <c r="G28">
        <v>114.08</v>
      </c>
      <c r="H28">
        <v>2.2196400000000001</v>
      </c>
      <c r="I28">
        <v>11.11914</v>
      </c>
      <c r="J28">
        <v>119.44176</v>
      </c>
      <c r="K28">
        <v>1.7799</v>
      </c>
      <c r="L28">
        <v>10.51188</v>
      </c>
      <c r="M28">
        <v>27.127770000000002</v>
      </c>
      <c r="N28" s="98"/>
      <c r="O28" s="99"/>
      <c r="P28" s="99"/>
      <c r="Q28" s="100"/>
    </row>
    <row r="29" spans="1:17" x14ac:dyDescent="0.25">
      <c r="A29" s="97"/>
      <c r="B29" s="97" t="s">
        <v>114</v>
      </c>
      <c r="C29" s="5" t="s">
        <v>112</v>
      </c>
      <c r="D29">
        <v>2.0939999999999999</v>
      </c>
      <c r="E29">
        <v>2.12</v>
      </c>
      <c r="F29">
        <v>12.15</v>
      </c>
      <c r="G29">
        <v>120.1</v>
      </c>
      <c r="H29">
        <v>4.4392800000000001</v>
      </c>
      <c r="I29">
        <v>25.4421</v>
      </c>
      <c r="J29">
        <v>251.48939999999999</v>
      </c>
      <c r="K29">
        <v>3.5598000000000001</v>
      </c>
      <c r="L29">
        <v>24.22758</v>
      </c>
      <c r="M29">
        <v>66.882359999999991</v>
      </c>
      <c r="N29" s="98">
        <f>(D30-D29)/D29</f>
        <v>-0.5</v>
      </c>
      <c r="O29" s="99">
        <f>(K30-K29)/K29</f>
        <v>-0.4882352941176471</v>
      </c>
      <c r="P29" s="99">
        <f>(L30-L29)/L29</f>
        <v>-0.63310285220397577</v>
      </c>
      <c r="Q29" s="100">
        <f>(M30-M29)/M29</f>
        <v>-0.72182216656230425</v>
      </c>
    </row>
    <row r="30" spans="1:17" x14ac:dyDescent="0.25">
      <c r="A30" s="97"/>
      <c r="B30" s="97"/>
      <c r="C30" s="5" t="s">
        <v>113</v>
      </c>
      <c r="D30">
        <v>1.0469999999999999</v>
      </c>
      <c r="E30">
        <v>2.16</v>
      </c>
      <c r="F30">
        <v>9.07</v>
      </c>
      <c r="G30">
        <v>105.94</v>
      </c>
      <c r="H30">
        <v>2.26152</v>
      </c>
      <c r="I30">
        <v>9.4962900000000001</v>
      </c>
      <c r="J30">
        <v>110.91918</v>
      </c>
      <c r="K30">
        <v>1.82178</v>
      </c>
      <c r="L30">
        <v>8.88903</v>
      </c>
      <c r="M30">
        <v>18.60519</v>
      </c>
      <c r="N30" s="98"/>
      <c r="O30" s="99"/>
      <c r="P30" s="99"/>
      <c r="Q30" s="100"/>
    </row>
    <row r="31" spans="1:17" x14ac:dyDescent="0.25">
      <c r="A31" s="97" t="s">
        <v>23</v>
      </c>
      <c r="B31" s="97" t="s">
        <v>111</v>
      </c>
      <c r="C31" s="5" t="s">
        <v>112</v>
      </c>
      <c r="D31">
        <v>1.0469999999999999</v>
      </c>
      <c r="E31">
        <v>2.2599999999999998</v>
      </c>
      <c r="F31">
        <v>10.220000000000001</v>
      </c>
      <c r="G31">
        <v>114.41</v>
      </c>
      <c r="H31">
        <v>2.3662200000000002</v>
      </c>
      <c r="I31">
        <v>10.700340000000001</v>
      </c>
      <c r="J31">
        <v>119.78727000000001</v>
      </c>
      <c r="K31">
        <v>1.92648</v>
      </c>
      <c r="L31">
        <v>10.09308</v>
      </c>
      <c r="M31">
        <v>24.803429999999999</v>
      </c>
      <c r="N31" s="98">
        <f>(D32-D31)/D31</f>
        <v>-0.48328557784145171</v>
      </c>
      <c r="O31" s="99">
        <f>(K32-K31)/K31</f>
        <v>-0.46924442506540431</v>
      </c>
      <c r="P31" s="99">
        <f>(L32-L31)/L31</f>
        <v>-0.5867356644354349</v>
      </c>
      <c r="Q31" s="100">
        <f>(M32-M31)/M31</f>
        <v>-0.67566300306046378</v>
      </c>
    </row>
    <row r="32" spans="1:17" x14ac:dyDescent="0.25">
      <c r="A32" s="97"/>
      <c r="B32" s="97"/>
      <c r="C32" s="5" t="s">
        <v>113</v>
      </c>
      <c r="D32">
        <v>0.54100000000000004</v>
      </c>
      <c r="E32">
        <v>2.31</v>
      </c>
      <c r="F32">
        <v>8.2899999999999991</v>
      </c>
      <c r="G32">
        <v>105.58</v>
      </c>
      <c r="H32">
        <v>1.2497100000000001</v>
      </c>
      <c r="I32">
        <v>4.48489</v>
      </c>
      <c r="J32">
        <v>57.118780000000001</v>
      </c>
      <c r="K32">
        <v>1.0224899999999999</v>
      </c>
      <c r="L32">
        <v>4.1711100000000014</v>
      </c>
      <c r="M32">
        <v>8.04467</v>
      </c>
      <c r="N32" s="98"/>
      <c r="O32" s="99"/>
      <c r="P32" s="99"/>
      <c r="Q32" s="100"/>
    </row>
    <row r="33" spans="1:17" x14ac:dyDescent="0.25">
      <c r="A33" s="97"/>
      <c r="B33" s="97" t="s">
        <v>114</v>
      </c>
      <c r="C33" s="5" t="s">
        <v>112</v>
      </c>
      <c r="D33">
        <v>1.0469999999999999</v>
      </c>
      <c r="E33">
        <v>2.2799999999999998</v>
      </c>
      <c r="F33">
        <v>8.86</v>
      </c>
      <c r="G33">
        <v>109.35</v>
      </c>
      <c r="H33">
        <v>2.3871600000000002</v>
      </c>
      <c r="I33">
        <v>9.2764199999999981</v>
      </c>
      <c r="J33">
        <v>114.48945000000001</v>
      </c>
      <c r="K33">
        <v>1.9474199999999999</v>
      </c>
      <c r="L33">
        <v>8.669159999999998</v>
      </c>
      <c r="M33">
        <v>19.516079999999999</v>
      </c>
      <c r="N33" s="98">
        <f>(D34-D33)/D33</f>
        <v>-0.41642788920725882</v>
      </c>
      <c r="O33" s="99">
        <f>(K34-K33)/K33</f>
        <v>-0.41329040474063111</v>
      </c>
      <c r="P33" s="99">
        <f>(L34-L33)/L33</f>
        <v>-0.46505889843998716</v>
      </c>
      <c r="Q33" s="100">
        <f>(M34-M33)/M33</f>
        <v>-0.53790105390016851</v>
      </c>
    </row>
    <row r="34" spans="1:17" x14ac:dyDescent="0.25">
      <c r="A34" s="97"/>
      <c r="B34" s="97"/>
      <c r="C34" s="5" t="s">
        <v>113</v>
      </c>
      <c r="D34">
        <v>0.61099999999999999</v>
      </c>
      <c r="E34">
        <v>2.29</v>
      </c>
      <c r="F34">
        <v>8.17</v>
      </c>
      <c r="G34">
        <v>105.48</v>
      </c>
      <c r="H34">
        <v>1.3991899999999999</v>
      </c>
      <c r="I34">
        <v>4.9918699999999996</v>
      </c>
      <c r="J34">
        <v>64.448279999999997</v>
      </c>
      <c r="K34">
        <v>1.1425700000000001</v>
      </c>
      <c r="L34">
        <v>4.6374899999999997</v>
      </c>
      <c r="M34">
        <v>9.0183599999999995</v>
      </c>
      <c r="N34" s="98"/>
      <c r="O34" s="99"/>
      <c r="P34" s="99"/>
      <c r="Q34" s="100"/>
    </row>
    <row r="35" spans="1:17" x14ac:dyDescent="0.25">
      <c r="A35" s="97" t="s">
        <v>25</v>
      </c>
      <c r="B35" s="97" t="s">
        <v>111</v>
      </c>
      <c r="C35" s="5" t="s">
        <v>112</v>
      </c>
      <c r="D35">
        <v>8.3770000000000007</v>
      </c>
      <c r="E35">
        <v>4.9400000000000004</v>
      </c>
      <c r="F35">
        <v>25.29</v>
      </c>
      <c r="G35">
        <v>139.72999999999999</v>
      </c>
      <c r="H35">
        <v>41.382379999999998</v>
      </c>
      <c r="I35">
        <v>211.85433</v>
      </c>
      <c r="J35">
        <v>1170.51821</v>
      </c>
      <c r="K35">
        <v>31.581289999999999</v>
      </c>
      <c r="L35">
        <v>206.99566999999999</v>
      </c>
      <c r="M35">
        <v>412.90233000000001</v>
      </c>
      <c r="N35" s="98">
        <f>(D36-D35)/D35</f>
        <v>-0.28757311686761378</v>
      </c>
      <c r="O35" s="99">
        <f>(K36-K35)/K35</f>
        <v>-0.28946284334807099</v>
      </c>
      <c r="P35" s="99">
        <f>(L36-L35)/L35</f>
        <v>-0.29016795375478138</v>
      </c>
      <c r="Q35" s="100">
        <f>(M36-M35)/M35</f>
        <v>-0.30419496542923369</v>
      </c>
    </row>
    <row r="36" spans="1:17" x14ac:dyDescent="0.25">
      <c r="A36" s="97"/>
      <c r="B36" s="97"/>
      <c r="C36" s="5" t="s">
        <v>113</v>
      </c>
      <c r="D36">
        <v>5.968</v>
      </c>
      <c r="E36">
        <v>4.93</v>
      </c>
      <c r="F36">
        <v>25.2</v>
      </c>
      <c r="G36">
        <v>138.58000000000001</v>
      </c>
      <c r="H36">
        <v>29.422239999999999</v>
      </c>
      <c r="I36">
        <v>150.39359999999999</v>
      </c>
      <c r="J36">
        <v>827.0454400000001</v>
      </c>
      <c r="K36">
        <v>22.439679999999999</v>
      </c>
      <c r="L36">
        <v>146.93216000000001</v>
      </c>
      <c r="M36">
        <v>287.29951999999997</v>
      </c>
      <c r="N36" s="98"/>
      <c r="O36" s="99"/>
      <c r="P36" s="99"/>
      <c r="Q36" s="100"/>
    </row>
    <row r="37" spans="1:17" x14ac:dyDescent="0.25">
      <c r="A37" s="97"/>
      <c r="B37" s="97" t="s">
        <v>114</v>
      </c>
      <c r="C37" s="5" t="s">
        <v>112</v>
      </c>
      <c r="D37">
        <v>8.4030000000000005</v>
      </c>
      <c r="E37">
        <v>4.9400000000000004</v>
      </c>
      <c r="F37">
        <v>25.19</v>
      </c>
      <c r="G37">
        <v>138.96</v>
      </c>
      <c r="H37">
        <v>41.510820000000002</v>
      </c>
      <c r="I37">
        <v>211.67157</v>
      </c>
      <c r="J37">
        <v>1167.6808799999999</v>
      </c>
      <c r="K37">
        <v>31.679310000000001</v>
      </c>
      <c r="L37">
        <v>206.79783</v>
      </c>
      <c r="M37">
        <v>407.71355999999997</v>
      </c>
      <c r="N37" s="98">
        <f>(D38-D37)/D37</f>
        <v>-0.31607759133642754</v>
      </c>
      <c r="O37" s="99">
        <f>(K38-K37)/K37</f>
        <v>-0.31063523795183673</v>
      </c>
      <c r="P37" s="99">
        <f>(L38-L37)/L37</f>
        <v>-0.373881679512788</v>
      </c>
      <c r="Q37" s="100">
        <f>(M38-M37)/M37</f>
        <v>-0.38359590002353611</v>
      </c>
    </row>
    <row r="38" spans="1:17" x14ac:dyDescent="0.25">
      <c r="A38" s="97"/>
      <c r="B38" s="97"/>
      <c r="C38" s="5" t="s">
        <v>113</v>
      </c>
      <c r="D38">
        <v>5.7469999999999999</v>
      </c>
      <c r="E38">
        <v>4.97</v>
      </c>
      <c r="F38">
        <v>23.11</v>
      </c>
      <c r="G38">
        <v>134.16999999999999</v>
      </c>
      <c r="H38">
        <v>28.56259</v>
      </c>
      <c r="I38">
        <v>132.81317000000001</v>
      </c>
      <c r="J38">
        <v>771.07498999999996</v>
      </c>
      <c r="K38">
        <v>21.8386</v>
      </c>
      <c r="L38">
        <v>129.47990999999999</v>
      </c>
      <c r="M38">
        <v>251.31630999999999</v>
      </c>
      <c r="N38" s="98"/>
      <c r="O38" s="99"/>
      <c r="P38" s="99"/>
      <c r="Q38" s="100"/>
    </row>
    <row r="39" spans="1:17" x14ac:dyDescent="0.25">
      <c r="A39" s="97" t="s">
        <v>31</v>
      </c>
      <c r="B39" s="97" t="s">
        <v>111</v>
      </c>
      <c r="C39" s="5" t="s">
        <v>112</v>
      </c>
      <c r="D39">
        <v>1.0469999999999999</v>
      </c>
      <c r="E39">
        <v>6.24</v>
      </c>
      <c r="F39">
        <v>15.74</v>
      </c>
      <c r="G39">
        <v>114.57</v>
      </c>
      <c r="H39">
        <v>6.5332800000000004</v>
      </c>
      <c r="I39">
        <v>16.479780000000002</v>
      </c>
      <c r="J39">
        <v>119.95479</v>
      </c>
      <c r="K39">
        <v>4.2508199999999992</v>
      </c>
      <c r="L39">
        <v>14.050739999999999</v>
      </c>
      <c r="M39">
        <v>23.264340000000001</v>
      </c>
      <c r="N39" s="98">
        <f>(D40-D39)/D39</f>
        <v>-0.44985673352435529</v>
      </c>
      <c r="O39" s="99">
        <f>(K40-K39)/K39</f>
        <v>-0.41869098197524235</v>
      </c>
      <c r="P39" s="99">
        <f>(L40-L39)/L39</f>
        <v>-0.55316232454660741</v>
      </c>
      <c r="Q39" s="100">
        <f>(M40-M39)/M39</f>
        <v>-0.59543920008046647</v>
      </c>
    </row>
    <row r="40" spans="1:17" x14ac:dyDescent="0.25">
      <c r="A40" s="97"/>
      <c r="B40" s="97"/>
      <c r="C40" s="5" t="s">
        <v>113</v>
      </c>
      <c r="D40">
        <v>0.57599999999999996</v>
      </c>
      <c r="E40">
        <v>6.47</v>
      </c>
      <c r="F40">
        <v>13.22</v>
      </c>
      <c r="G40">
        <v>108.7</v>
      </c>
      <c r="H40">
        <v>3.7267199999999989</v>
      </c>
      <c r="I40">
        <v>7.6147200000000002</v>
      </c>
      <c r="J40">
        <v>62.611199999999997</v>
      </c>
      <c r="K40">
        <v>2.4710399999999999</v>
      </c>
      <c r="L40">
        <v>6.2784000000000004</v>
      </c>
      <c r="M40">
        <v>9.4118399999999998</v>
      </c>
      <c r="N40" s="98"/>
      <c r="O40" s="99"/>
      <c r="P40" s="99"/>
      <c r="Q40" s="100"/>
    </row>
    <row r="41" spans="1:17" x14ac:dyDescent="0.25">
      <c r="A41" s="97"/>
      <c r="B41" s="97" t="s">
        <v>114</v>
      </c>
      <c r="C41" s="5" t="s">
        <v>112</v>
      </c>
      <c r="D41">
        <v>1.0469999999999999</v>
      </c>
      <c r="E41">
        <v>6.32</v>
      </c>
      <c r="F41">
        <v>14.8</v>
      </c>
      <c r="G41">
        <v>113.12</v>
      </c>
      <c r="H41">
        <v>6.6170400000000003</v>
      </c>
      <c r="I41">
        <v>15.4956</v>
      </c>
      <c r="J41">
        <v>118.43664</v>
      </c>
      <c r="K41">
        <v>4.334579999999999</v>
      </c>
      <c r="L41">
        <v>13.066560000000001</v>
      </c>
      <c r="M41">
        <v>21.735720000000001</v>
      </c>
      <c r="N41" s="98">
        <f>(D42-D41)/D41</f>
        <v>-0.41642788920725882</v>
      </c>
      <c r="O41" s="99">
        <f>(K42-K41)/K41</f>
        <v>-0.40797032238417552</v>
      </c>
      <c r="P41" s="99">
        <f>(L42-L41)/L41</f>
        <v>-0.49825891435848463</v>
      </c>
      <c r="Q41" s="100">
        <f>(M42-M41)/M41</f>
        <v>-0.49513703709837997</v>
      </c>
    </row>
    <row r="42" spans="1:17" x14ac:dyDescent="0.25">
      <c r="A42" s="97"/>
      <c r="B42" s="97"/>
      <c r="C42" s="5" t="s">
        <v>113</v>
      </c>
      <c r="D42">
        <v>0.61099999999999999</v>
      </c>
      <c r="E42">
        <v>6.38</v>
      </c>
      <c r="F42">
        <v>13.05</v>
      </c>
      <c r="G42">
        <v>110.32</v>
      </c>
      <c r="H42">
        <v>3.89818</v>
      </c>
      <c r="I42">
        <v>7.9735500000000004</v>
      </c>
      <c r="J42">
        <v>67.405519999999996</v>
      </c>
      <c r="K42">
        <v>2.5661999999999998</v>
      </c>
      <c r="L42">
        <v>6.5560299999999998</v>
      </c>
      <c r="M42">
        <v>10.973560000000001</v>
      </c>
      <c r="N42" s="98"/>
      <c r="O42" s="99"/>
      <c r="P42" s="99"/>
      <c r="Q42" s="100"/>
    </row>
    <row r="43" spans="1:17" x14ac:dyDescent="0.25">
      <c r="A43" s="97" t="s">
        <v>33</v>
      </c>
      <c r="B43" s="97" t="s">
        <v>111</v>
      </c>
      <c r="C43" s="5" t="s">
        <v>112</v>
      </c>
      <c r="D43">
        <v>1.0469999999999999</v>
      </c>
      <c r="E43">
        <v>2.91</v>
      </c>
      <c r="F43">
        <v>9.2100000000000009</v>
      </c>
      <c r="G43">
        <v>111.22</v>
      </c>
      <c r="H43">
        <v>3.04677</v>
      </c>
      <c r="I43">
        <v>9.6428700000000003</v>
      </c>
      <c r="J43">
        <v>116.44734</v>
      </c>
      <c r="K43">
        <v>2.60703</v>
      </c>
      <c r="L43">
        <v>9.0356100000000001</v>
      </c>
      <c r="M43">
        <v>23.337630000000001</v>
      </c>
      <c r="N43" s="98">
        <f>(D44-D43)/D43</f>
        <v>-0.36676217765042973</v>
      </c>
      <c r="O43" s="99">
        <f>(K44-K43)/K43</f>
        <v>-0.34133093980506551</v>
      </c>
      <c r="P43" s="99">
        <f>(L44-L43)/L43</f>
        <v>-0.52452131068073993</v>
      </c>
      <c r="Q43" s="100">
        <f>(M44-M43)/M43</f>
        <v>-0.50880744959963808</v>
      </c>
    </row>
    <row r="44" spans="1:17" x14ac:dyDescent="0.25">
      <c r="A44" s="97"/>
      <c r="B44" s="97"/>
      <c r="C44" s="5" t="s">
        <v>113</v>
      </c>
      <c r="D44">
        <v>0.66300000000000003</v>
      </c>
      <c r="E44">
        <v>3.01</v>
      </c>
      <c r="F44">
        <v>7.06</v>
      </c>
      <c r="G44">
        <v>106.23</v>
      </c>
      <c r="H44">
        <v>1.99563</v>
      </c>
      <c r="I44">
        <v>4.6807800000000004</v>
      </c>
      <c r="J44">
        <v>70.430490000000006</v>
      </c>
      <c r="K44">
        <v>1.7171700000000001</v>
      </c>
      <c r="L44">
        <v>4.2962400000000001</v>
      </c>
      <c r="M44">
        <v>11.46327</v>
      </c>
      <c r="N44" s="98"/>
      <c r="O44" s="99"/>
      <c r="P44" s="99"/>
      <c r="Q44" s="100"/>
    </row>
    <row r="45" spans="1:17" x14ac:dyDescent="0.25">
      <c r="A45" s="97"/>
      <c r="B45" s="97" t="s">
        <v>114</v>
      </c>
      <c r="C45" s="5" t="s">
        <v>112</v>
      </c>
      <c r="D45">
        <v>1.0469999999999999</v>
      </c>
      <c r="E45">
        <v>2.9</v>
      </c>
      <c r="F45">
        <v>9.24</v>
      </c>
      <c r="G45">
        <v>111.55</v>
      </c>
      <c r="H45">
        <v>3.0363000000000002</v>
      </c>
      <c r="I45">
        <v>9.6742799999999995</v>
      </c>
      <c r="J45">
        <v>116.79285</v>
      </c>
      <c r="K45">
        <v>2.5965600000000002</v>
      </c>
      <c r="L45">
        <v>9.0670199999999994</v>
      </c>
      <c r="M45">
        <v>23.683140000000002</v>
      </c>
      <c r="N45" s="98">
        <f>(D46-D45)/D45</f>
        <v>-0.4670487106017191</v>
      </c>
      <c r="O45" s="99">
        <f>(K46-K45)/K45</f>
        <v>-0.44985673352435535</v>
      </c>
      <c r="P45" s="99">
        <f>(L46-L45)/L45</f>
        <v>-0.57720838820251852</v>
      </c>
      <c r="Q45" s="100">
        <f>(M46-M45)/M45</f>
        <v>-0.55516709355262861</v>
      </c>
    </row>
    <row r="46" spans="1:17" x14ac:dyDescent="0.25">
      <c r="A46" s="97"/>
      <c r="B46" s="97"/>
      <c r="C46" s="5" t="s">
        <v>113</v>
      </c>
      <c r="D46">
        <v>0.55800000000000005</v>
      </c>
      <c r="E46">
        <v>2.98</v>
      </c>
      <c r="F46">
        <v>7.45</v>
      </c>
      <c r="G46">
        <v>107.82</v>
      </c>
      <c r="H46">
        <v>1.6628400000000001</v>
      </c>
      <c r="I46">
        <v>4.1571000000000007</v>
      </c>
      <c r="J46">
        <v>60.163559999999997</v>
      </c>
      <c r="K46">
        <v>1.42848</v>
      </c>
      <c r="L46">
        <v>3.833460000000001</v>
      </c>
      <c r="M46">
        <v>10.53504</v>
      </c>
      <c r="N46" s="98"/>
      <c r="O46" s="99"/>
      <c r="P46" s="99"/>
      <c r="Q46" s="100"/>
    </row>
    <row r="47" spans="1:17" x14ac:dyDescent="0.25">
      <c r="A47" s="97" t="s">
        <v>37</v>
      </c>
      <c r="B47" s="97" t="s">
        <v>111</v>
      </c>
      <c r="C47" s="5" t="s">
        <v>112</v>
      </c>
      <c r="D47">
        <v>12.635999999999999</v>
      </c>
      <c r="E47">
        <v>2.29</v>
      </c>
      <c r="F47">
        <v>21.3</v>
      </c>
      <c r="G47">
        <v>142.6</v>
      </c>
      <c r="H47">
        <v>28.936440000000001</v>
      </c>
      <c r="I47">
        <v>269.14679999999998</v>
      </c>
      <c r="J47">
        <v>1801.8936000000001</v>
      </c>
      <c r="K47">
        <v>23.62932</v>
      </c>
      <c r="L47">
        <v>261.81792000000002</v>
      </c>
      <c r="M47">
        <v>647.72135999999989</v>
      </c>
      <c r="N47" s="98">
        <f>(D48-D47)/D47</f>
        <v>-0.87575182019626463</v>
      </c>
      <c r="O47" s="99">
        <f>(K48-K47)/K47</f>
        <v>-0.87110081881323709</v>
      </c>
      <c r="P47" s="99">
        <f>(L48-L47)/L47</f>
        <v>-0.92174523424523425</v>
      </c>
      <c r="Q47" s="100">
        <f>(M48-M47)/M47</f>
        <v>-0.9294650403377156</v>
      </c>
    </row>
    <row r="48" spans="1:17" x14ac:dyDescent="0.25">
      <c r="A48" s="97"/>
      <c r="B48" s="97"/>
      <c r="C48" s="5" t="s">
        <v>113</v>
      </c>
      <c r="D48">
        <v>1.57</v>
      </c>
      <c r="E48">
        <v>2.36</v>
      </c>
      <c r="F48">
        <v>13.63</v>
      </c>
      <c r="G48">
        <v>120.43</v>
      </c>
      <c r="H48">
        <v>3.7052</v>
      </c>
      <c r="I48">
        <v>21.399100000000001</v>
      </c>
      <c r="J48">
        <v>189.07509999999999</v>
      </c>
      <c r="K48">
        <v>3.0457999999999998</v>
      </c>
      <c r="L48">
        <v>20.488499999999998</v>
      </c>
      <c r="M48">
        <v>45.686999999999998</v>
      </c>
      <c r="N48" s="98"/>
      <c r="O48" s="99"/>
      <c r="P48" s="99"/>
      <c r="Q48" s="100"/>
    </row>
    <row r="49" spans="1:17" x14ac:dyDescent="0.25">
      <c r="A49" s="97"/>
      <c r="B49" s="97" t="s">
        <v>114</v>
      </c>
      <c r="C49" s="5" t="s">
        <v>112</v>
      </c>
      <c r="D49">
        <v>17.779</v>
      </c>
      <c r="E49">
        <v>2.2799999999999998</v>
      </c>
      <c r="F49">
        <v>20.37</v>
      </c>
      <c r="G49">
        <v>140.44999999999999</v>
      </c>
      <c r="H49">
        <v>40.536119999999997</v>
      </c>
      <c r="I49">
        <v>362.15823</v>
      </c>
      <c r="J49">
        <v>2497.0605500000001</v>
      </c>
      <c r="K49">
        <v>33.068939999999998</v>
      </c>
      <c r="L49">
        <v>351.84640999999999</v>
      </c>
      <c r="M49">
        <v>873.12668999999994</v>
      </c>
      <c r="N49" s="98">
        <f>(D50-D49)/D49</f>
        <v>-0.91129984813544063</v>
      </c>
      <c r="O49" s="99">
        <f>(K50-K49)/K49</f>
        <v>-0.90748478784019082</v>
      </c>
      <c r="P49" s="99">
        <f>(L50-L49)/L49</f>
        <v>-0.92945222888589374</v>
      </c>
      <c r="Q49" s="100">
        <f>(M50-M49)/M49</f>
        <v>-0.94050533491308119</v>
      </c>
    </row>
    <row r="50" spans="1:17" x14ac:dyDescent="0.25">
      <c r="A50" s="97"/>
      <c r="B50" s="97"/>
      <c r="C50" s="5" t="s">
        <v>113</v>
      </c>
      <c r="D50">
        <v>1.577</v>
      </c>
      <c r="E50">
        <v>2.36</v>
      </c>
      <c r="F50">
        <v>16.32</v>
      </c>
      <c r="G50">
        <v>124.27</v>
      </c>
      <c r="H50">
        <v>3.7217199999999999</v>
      </c>
      <c r="I50">
        <v>25.736640000000001</v>
      </c>
      <c r="J50">
        <v>195.97379000000001</v>
      </c>
      <c r="K50">
        <v>3.05938</v>
      </c>
      <c r="L50">
        <v>24.82198</v>
      </c>
      <c r="M50">
        <v>51.946379999999998</v>
      </c>
      <c r="N50" s="98"/>
      <c r="O50" s="99"/>
      <c r="P50" s="99"/>
      <c r="Q50" s="100"/>
    </row>
    <row r="51" spans="1:17" x14ac:dyDescent="0.25">
      <c r="A51" s="97" t="s">
        <v>39</v>
      </c>
      <c r="B51" s="97" t="s">
        <v>111</v>
      </c>
      <c r="C51" s="5" t="s">
        <v>112</v>
      </c>
      <c r="D51">
        <v>8.9009999999999998</v>
      </c>
      <c r="E51">
        <v>3.52</v>
      </c>
      <c r="F51">
        <v>24.2</v>
      </c>
      <c r="G51">
        <v>145.29</v>
      </c>
      <c r="H51">
        <v>31.331520000000001</v>
      </c>
      <c r="I51">
        <v>215.4042</v>
      </c>
      <c r="J51">
        <v>1293.2262900000001</v>
      </c>
      <c r="K51">
        <v>27.5931</v>
      </c>
      <c r="L51">
        <v>210.24162000000001</v>
      </c>
      <c r="M51">
        <v>436.23800999999997</v>
      </c>
      <c r="N51" s="98">
        <f>(D52-D51)/D51</f>
        <v>-0.88237276710481971</v>
      </c>
      <c r="O51" s="99">
        <f>(K52-K51)/K51</f>
        <v>-0.87933722561075045</v>
      </c>
      <c r="P51" s="99">
        <f>(L52-L51)/L51</f>
        <v>-0.9300312183667534</v>
      </c>
      <c r="Q51" s="100">
        <f>(M52-M51)/M51</f>
        <v>-0.94141438981898895</v>
      </c>
    </row>
    <row r="52" spans="1:17" x14ac:dyDescent="0.25">
      <c r="A52" s="97"/>
      <c r="B52" s="97"/>
      <c r="C52" s="5" t="s">
        <v>113</v>
      </c>
      <c r="D52">
        <v>1.0469999999999999</v>
      </c>
      <c r="E52">
        <v>3.6</v>
      </c>
      <c r="F52">
        <v>14.63</v>
      </c>
      <c r="G52">
        <v>120.7</v>
      </c>
      <c r="H52">
        <v>3.7692000000000001</v>
      </c>
      <c r="I52">
        <v>15.31761</v>
      </c>
      <c r="J52">
        <v>126.3729</v>
      </c>
      <c r="K52">
        <v>3.3294600000000001</v>
      </c>
      <c r="L52">
        <v>14.71035</v>
      </c>
      <c r="M52">
        <v>25.557269999999999</v>
      </c>
      <c r="N52" s="98"/>
      <c r="O52" s="99"/>
      <c r="P52" s="99"/>
      <c r="Q52" s="100"/>
    </row>
    <row r="53" spans="1:17" x14ac:dyDescent="0.25">
      <c r="A53" s="97"/>
      <c r="B53" s="97" t="s">
        <v>114</v>
      </c>
      <c r="C53" s="5" t="s">
        <v>112</v>
      </c>
      <c r="D53">
        <v>3.1589999999999998</v>
      </c>
      <c r="E53">
        <v>3.48</v>
      </c>
      <c r="F53">
        <v>23.14</v>
      </c>
      <c r="G53">
        <v>137.59</v>
      </c>
      <c r="H53">
        <v>10.993320000000001</v>
      </c>
      <c r="I53">
        <v>73.099260000000001</v>
      </c>
      <c r="J53">
        <v>434.64681000000002</v>
      </c>
      <c r="K53">
        <v>9.6665399999999995</v>
      </c>
      <c r="L53">
        <v>71.267039999999994</v>
      </c>
      <c r="M53">
        <v>130.49829</v>
      </c>
      <c r="N53" s="98">
        <f>(D54-D53)/D53</f>
        <v>-0.50110794555238991</v>
      </c>
      <c r="O53" s="99">
        <f>(K54-K53)/K53</f>
        <v>-0.50110794555238991</v>
      </c>
      <c r="P53" s="99">
        <f>(L54-L53)/L53</f>
        <v>-0.68863474616035691</v>
      </c>
      <c r="Q53" s="100">
        <f>(M54-M53)/M53</f>
        <v>-0.69155887023500462</v>
      </c>
    </row>
    <row r="54" spans="1:17" x14ac:dyDescent="0.25">
      <c r="A54" s="97"/>
      <c r="B54" s="97"/>
      <c r="C54" s="5" t="s">
        <v>113</v>
      </c>
      <c r="D54">
        <v>1.5760000000000001</v>
      </c>
      <c r="E54">
        <v>3.48</v>
      </c>
      <c r="F54">
        <v>14.66</v>
      </c>
      <c r="G54">
        <v>121.82</v>
      </c>
      <c r="H54">
        <v>5.4844799999999996</v>
      </c>
      <c r="I54">
        <v>23.10416</v>
      </c>
      <c r="J54">
        <v>191.98831999999999</v>
      </c>
      <c r="K54">
        <v>4.8225600000000002</v>
      </c>
      <c r="L54">
        <v>22.190079999999998</v>
      </c>
      <c r="M54">
        <v>40.251040000000003</v>
      </c>
      <c r="N54" s="98"/>
      <c r="O54" s="99"/>
      <c r="P54" s="99"/>
      <c r="Q54" s="100"/>
    </row>
    <row r="55" spans="1:17" x14ac:dyDescent="0.25">
      <c r="A55" s="97" t="s">
        <v>49</v>
      </c>
      <c r="B55" s="97" t="s">
        <v>111</v>
      </c>
      <c r="C55" s="5" t="s">
        <v>112</v>
      </c>
      <c r="D55">
        <v>18.850000000000001</v>
      </c>
      <c r="E55">
        <v>7.07</v>
      </c>
      <c r="F55">
        <v>28.41</v>
      </c>
      <c r="G55">
        <v>139.52000000000001</v>
      </c>
      <c r="H55">
        <v>133.26949999999999</v>
      </c>
      <c r="I55">
        <v>535.52850000000001</v>
      </c>
      <c r="J55">
        <v>2629.9520000000002</v>
      </c>
      <c r="K55">
        <v>111.215</v>
      </c>
      <c r="L55">
        <v>524.59550000000002</v>
      </c>
      <c r="M55">
        <v>895.94050000000004</v>
      </c>
      <c r="N55" s="98">
        <f>(D56-D55)/D55</f>
        <v>-0.74907161803713529</v>
      </c>
      <c r="O55" s="99">
        <f>(K56-K55)/K55</f>
        <v>-0.8383851099222227</v>
      </c>
      <c r="P55" s="99">
        <f>(L56-L55)/L55</f>
        <v>-0.80416225453706713</v>
      </c>
      <c r="Q55" s="100">
        <f>(M56-M55)/M55</f>
        <v>-0.789775548711103</v>
      </c>
    </row>
    <row r="56" spans="1:17" x14ac:dyDescent="0.25">
      <c r="A56" s="97"/>
      <c r="B56" s="97"/>
      <c r="C56" s="5" t="s">
        <v>113</v>
      </c>
      <c r="D56">
        <v>4.7300000000000004</v>
      </c>
      <c r="E56">
        <v>4.97</v>
      </c>
      <c r="F56">
        <v>22.3</v>
      </c>
      <c r="G56">
        <v>131.81</v>
      </c>
      <c r="H56">
        <v>23.508099999999999</v>
      </c>
      <c r="I56">
        <v>105.479</v>
      </c>
      <c r="J56">
        <v>623.46130000000005</v>
      </c>
      <c r="K56">
        <v>17.974</v>
      </c>
      <c r="L56">
        <v>102.73560000000001</v>
      </c>
      <c r="M56">
        <v>188.3486</v>
      </c>
      <c r="N56" s="98"/>
      <c r="O56" s="99"/>
      <c r="P56" s="99"/>
      <c r="Q56" s="100"/>
    </row>
    <row r="57" spans="1:17" x14ac:dyDescent="0.25">
      <c r="A57" s="97"/>
      <c r="B57" s="97" t="s">
        <v>114</v>
      </c>
      <c r="C57" s="5" t="s">
        <v>112</v>
      </c>
      <c r="D57">
        <v>15.246</v>
      </c>
      <c r="E57">
        <v>4.87</v>
      </c>
      <c r="F57">
        <v>24.57</v>
      </c>
      <c r="G57">
        <v>138.85</v>
      </c>
      <c r="H57">
        <v>74.248019999999997</v>
      </c>
      <c r="I57">
        <v>374.59422000000001</v>
      </c>
      <c r="J57">
        <v>2116.9070999999999</v>
      </c>
      <c r="K57">
        <v>56.410200000000003</v>
      </c>
      <c r="L57">
        <v>365.75153999999998</v>
      </c>
      <c r="M57">
        <v>714.42755999999997</v>
      </c>
      <c r="N57" s="98">
        <f>(D58-D57)/D57</f>
        <v>-0.75869080414534962</v>
      </c>
      <c r="O57" s="99">
        <f>(K58-K57)/K57</f>
        <v>-0.75608205608205603</v>
      </c>
      <c r="P57" s="99">
        <f>(L58-L57)/L57</f>
        <v>-0.78846467741461868</v>
      </c>
      <c r="Q57" s="100">
        <f>(M58-M57)/M57</f>
        <v>-0.7953557950647927</v>
      </c>
    </row>
    <row r="58" spans="1:17" x14ac:dyDescent="0.25">
      <c r="A58" s="97"/>
      <c r="B58" s="97"/>
      <c r="C58" s="5" t="s">
        <v>113</v>
      </c>
      <c r="D58">
        <v>3.6789999999999998</v>
      </c>
      <c r="E58">
        <v>4.91</v>
      </c>
      <c r="F58">
        <v>21.61</v>
      </c>
      <c r="G58">
        <v>131.72999999999999</v>
      </c>
      <c r="H58">
        <v>18.063890000000001</v>
      </c>
      <c r="I58">
        <v>79.503189999999989</v>
      </c>
      <c r="J58">
        <v>484.63466999999991</v>
      </c>
      <c r="K58">
        <v>13.759460000000001</v>
      </c>
      <c r="L58">
        <v>77.369370000000004</v>
      </c>
      <c r="M58">
        <v>146.20346000000001</v>
      </c>
      <c r="N58" s="98"/>
      <c r="O58" s="99"/>
      <c r="P58" s="99"/>
      <c r="Q58" s="100"/>
    </row>
    <row r="59" spans="1:17" x14ac:dyDescent="0.25">
      <c r="A59" s="97" t="s">
        <v>51</v>
      </c>
      <c r="B59" s="97" t="s">
        <v>111</v>
      </c>
      <c r="C59" s="5" t="s">
        <v>112</v>
      </c>
      <c r="D59">
        <v>18.326000000000001</v>
      </c>
      <c r="E59">
        <v>4.6900000000000004</v>
      </c>
      <c r="F59">
        <v>22.97</v>
      </c>
      <c r="G59">
        <v>140.91</v>
      </c>
      <c r="H59">
        <v>85.948940000000007</v>
      </c>
      <c r="I59">
        <v>420.94821999999999</v>
      </c>
      <c r="J59">
        <v>2582.31666</v>
      </c>
      <c r="K59">
        <v>78.252019999999987</v>
      </c>
      <c r="L59">
        <v>410.31914</v>
      </c>
      <c r="M59">
        <v>921.61454000000003</v>
      </c>
      <c r="N59" s="98">
        <f>(D60-D59)/D59</f>
        <v>-0.71330350321946967</v>
      </c>
      <c r="O59" s="99">
        <f>(K60-K59)/K59</f>
        <v>-0.74620310121067801</v>
      </c>
      <c r="P59" s="99">
        <f>(L60-L59)/L59</f>
        <v>-0.7135595965618371</v>
      </c>
      <c r="Q59" s="100">
        <f>(M60-M59)/M59</f>
        <v>-0.74653954569770564</v>
      </c>
    </row>
    <row r="60" spans="1:17" x14ac:dyDescent="0.25">
      <c r="A60" s="97"/>
      <c r="B60" s="97"/>
      <c r="C60" s="5" t="s">
        <v>113</v>
      </c>
      <c r="D60">
        <v>5.2539999999999996</v>
      </c>
      <c r="E60">
        <v>4.2</v>
      </c>
      <c r="F60">
        <v>22.95</v>
      </c>
      <c r="G60">
        <v>135.08000000000001</v>
      </c>
      <c r="H60">
        <v>22.066800000000001</v>
      </c>
      <c r="I60">
        <v>120.5793</v>
      </c>
      <c r="J60">
        <v>709.71032000000002</v>
      </c>
      <c r="K60">
        <v>19.860119999999998</v>
      </c>
      <c r="L60">
        <v>117.53198</v>
      </c>
      <c r="M60">
        <v>233.59284</v>
      </c>
      <c r="N60" s="98"/>
      <c r="O60" s="99"/>
      <c r="P60" s="99"/>
      <c r="Q60" s="100"/>
    </row>
    <row r="61" spans="1:17" x14ac:dyDescent="0.25">
      <c r="A61" s="97"/>
      <c r="B61" s="97" t="s">
        <v>114</v>
      </c>
      <c r="C61" s="5" t="s">
        <v>112</v>
      </c>
      <c r="D61">
        <v>18.927</v>
      </c>
      <c r="E61">
        <v>3.67</v>
      </c>
      <c r="F61">
        <v>25.45</v>
      </c>
      <c r="G61">
        <v>139.47</v>
      </c>
      <c r="H61">
        <v>69.462090000000003</v>
      </c>
      <c r="I61">
        <v>481.69215000000003</v>
      </c>
      <c r="J61">
        <v>2639.7486899999999</v>
      </c>
      <c r="K61">
        <v>61.512749999999997</v>
      </c>
      <c r="L61">
        <v>470.71449000000001</v>
      </c>
      <c r="M61">
        <v>924.58394999999996</v>
      </c>
      <c r="N61" s="98">
        <f>(D62-D61)/D61</f>
        <v>-0.94351983938289219</v>
      </c>
      <c r="O61" s="99">
        <f>(K62-K61)/K61</f>
        <v>-0.93934899675270578</v>
      </c>
      <c r="P61" s="99">
        <f>(L62-L61)/L61</f>
        <v>-0.96109750095009827</v>
      </c>
      <c r="Q61" s="100">
        <f>(M62-M61)/M61</f>
        <v>-0.9726675333267466</v>
      </c>
    </row>
    <row r="62" spans="1:17" x14ac:dyDescent="0.25">
      <c r="A62" s="97"/>
      <c r="B62" s="97"/>
      <c r="C62" s="5" t="s">
        <v>113</v>
      </c>
      <c r="D62">
        <v>1.069</v>
      </c>
      <c r="E62">
        <v>3.91</v>
      </c>
      <c r="F62">
        <v>17.71</v>
      </c>
      <c r="G62">
        <v>114.26</v>
      </c>
      <c r="H62">
        <v>4.1797899999999997</v>
      </c>
      <c r="I62">
        <v>18.931989999999999</v>
      </c>
      <c r="J62">
        <v>122.14394</v>
      </c>
      <c r="K62">
        <v>3.73081</v>
      </c>
      <c r="L62">
        <v>18.311969999999999</v>
      </c>
      <c r="M62">
        <v>25.271159999999998</v>
      </c>
      <c r="N62" s="98"/>
      <c r="O62" s="99"/>
      <c r="P62" s="99"/>
      <c r="Q62" s="100"/>
    </row>
    <row r="63" spans="1:17" x14ac:dyDescent="0.25">
      <c r="A63" s="97" t="s">
        <v>55</v>
      </c>
      <c r="B63" s="97" t="s">
        <v>111</v>
      </c>
      <c r="C63" s="5" t="s">
        <v>112</v>
      </c>
      <c r="D63">
        <v>6.9630000000000001</v>
      </c>
      <c r="E63">
        <v>7.81</v>
      </c>
      <c r="F63">
        <v>31.74</v>
      </c>
      <c r="G63">
        <v>139.16</v>
      </c>
      <c r="H63">
        <v>54.381030000000003</v>
      </c>
      <c r="I63">
        <v>221.00561999999999</v>
      </c>
      <c r="J63">
        <v>968.97108000000003</v>
      </c>
      <c r="K63">
        <v>26.877179999999999</v>
      </c>
      <c r="L63">
        <v>184.58913000000001</v>
      </c>
      <c r="M63">
        <v>359.08190999999999</v>
      </c>
      <c r="N63" s="98">
        <f>(D64-D63)/D63</f>
        <v>-0.77452247594427681</v>
      </c>
      <c r="O63" s="99">
        <f>(K64-K63)/K63</f>
        <v>-0.75407762272678902</v>
      </c>
      <c r="P63" s="99">
        <f>(L64-L63)/L63</f>
        <v>-0.87769268970496805</v>
      </c>
      <c r="Q63" s="100">
        <f>(M64-M63)/M63</f>
        <v>-0.88326061872623995</v>
      </c>
    </row>
    <row r="64" spans="1:17" x14ac:dyDescent="0.25">
      <c r="A64" s="97"/>
      <c r="B64" s="97"/>
      <c r="C64" s="5" t="s">
        <v>113</v>
      </c>
      <c r="D64">
        <v>1.57</v>
      </c>
      <c r="E64">
        <v>8.16</v>
      </c>
      <c r="F64">
        <v>19.61</v>
      </c>
      <c r="G64">
        <v>114.29</v>
      </c>
      <c r="H64">
        <v>12.811199999999999</v>
      </c>
      <c r="I64">
        <v>30.787700000000001</v>
      </c>
      <c r="J64">
        <v>179.43530000000001</v>
      </c>
      <c r="K64">
        <v>6.6097000000000001</v>
      </c>
      <c r="L64">
        <v>22.576599999999999</v>
      </c>
      <c r="M64">
        <v>41.918999999999997</v>
      </c>
      <c r="N64" s="98"/>
      <c r="O64" s="99"/>
      <c r="P64" s="99"/>
      <c r="Q64" s="100"/>
    </row>
    <row r="65" spans="1:17" x14ac:dyDescent="0.25">
      <c r="A65" s="97"/>
      <c r="B65" s="97" t="s">
        <v>114</v>
      </c>
      <c r="C65" s="5" t="s">
        <v>112</v>
      </c>
      <c r="D65">
        <v>15.218</v>
      </c>
      <c r="E65">
        <v>8.5500000000000007</v>
      </c>
      <c r="F65">
        <v>30.34</v>
      </c>
      <c r="G65">
        <v>138.91</v>
      </c>
      <c r="H65">
        <v>130.1139</v>
      </c>
      <c r="I65">
        <v>461.71411999999998</v>
      </c>
      <c r="J65">
        <v>2113.9323800000002</v>
      </c>
      <c r="K65">
        <v>70.002799999999993</v>
      </c>
      <c r="L65">
        <v>382.12398000000002</v>
      </c>
      <c r="M65">
        <v>781.13994000000002</v>
      </c>
      <c r="N65" s="98">
        <f>(D66-D65)/D65</f>
        <v>-0.90557234853463009</v>
      </c>
      <c r="O65" s="99">
        <f>(K66-K65)/K65</f>
        <v>-0.90085096596136149</v>
      </c>
      <c r="P65" s="99">
        <f>(L66-L65)/L65</f>
        <v>-0.94513343548866002</v>
      </c>
      <c r="Q65" s="100">
        <f>(M66-M65)/M65</f>
        <v>-0.95053264079673094</v>
      </c>
    </row>
    <row r="66" spans="1:17" x14ac:dyDescent="0.25">
      <c r="A66" s="97"/>
      <c r="B66" s="97"/>
      <c r="C66" s="5" t="s">
        <v>113</v>
      </c>
      <c r="D66">
        <v>1.4370000000000001</v>
      </c>
      <c r="E66">
        <v>8.7799999999999994</v>
      </c>
      <c r="F66">
        <v>19.82</v>
      </c>
      <c r="G66">
        <v>114.47</v>
      </c>
      <c r="H66">
        <v>12.616860000000001</v>
      </c>
      <c r="I66">
        <v>28.481339999999999</v>
      </c>
      <c r="J66">
        <v>164.49339000000001</v>
      </c>
      <c r="K66">
        <v>6.9407100000000002</v>
      </c>
      <c r="L66">
        <v>20.96583</v>
      </c>
      <c r="M66">
        <v>38.640929999999997</v>
      </c>
      <c r="N66" s="98"/>
      <c r="O66" s="99"/>
      <c r="P66" s="99"/>
      <c r="Q66" s="100"/>
    </row>
    <row r="67" spans="1:17" x14ac:dyDescent="0.25">
      <c r="A67" s="97" t="s">
        <v>57</v>
      </c>
      <c r="B67" s="97" t="s">
        <v>111</v>
      </c>
      <c r="C67" s="5" t="s">
        <v>112</v>
      </c>
      <c r="D67">
        <v>1.0469999999999999</v>
      </c>
      <c r="E67">
        <v>6.23</v>
      </c>
      <c r="F67">
        <v>11.69</v>
      </c>
      <c r="G67">
        <v>102.47</v>
      </c>
      <c r="H67">
        <v>6.5228099999999998</v>
      </c>
      <c r="I67">
        <v>12.23943</v>
      </c>
      <c r="J67">
        <v>107.28609</v>
      </c>
      <c r="K67">
        <v>4.2403499999999994</v>
      </c>
      <c r="L67">
        <v>9.1926599999999983</v>
      </c>
      <c r="M67">
        <v>19.725480000000001</v>
      </c>
      <c r="N67" s="98">
        <f>(D68-D67)/D67</f>
        <v>-0.49952244508118426</v>
      </c>
      <c r="O67" s="99">
        <f>(K68-K67)/K67</f>
        <v>-0.48345773344181492</v>
      </c>
      <c r="P67" s="99">
        <f>(L68-L67)/L67</f>
        <v>-0.49268220515063088</v>
      </c>
      <c r="Q67" s="100">
        <f>(M68-M67)/M67</f>
        <v>-0.5228993160115748</v>
      </c>
    </row>
    <row r="68" spans="1:17" x14ac:dyDescent="0.25">
      <c r="A68" s="97"/>
      <c r="B68" s="97"/>
      <c r="C68" s="5" t="s">
        <v>113</v>
      </c>
      <c r="D68">
        <v>0.52400000000000002</v>
      </c>
      <c r="E68">
        <v>6.36</v>
      </c>
      <c r="F68">
        <v>11.81</v>
      </c>
      <c r="G68">
        <v>101.59</v>
      </c>
      <c r="H68">
        <v>3.33264</v>
      </c>
      <c r="I68">
        <v>6.1884400000000008</v>
      </c>
      <c r="J68">
        <v>53.233160000000012</v>
      </c>
      <c r="K68">
        <v>2.1903199999999998</v>
      </c>
      <c r="L68">
        <v>4.6636000000000006</v>
      </c>
      <c r="M68">
        <v>9.4110400000000016</v>
      </c>
      <c r="N68" s="98"/>
      <c r="O68" s="99"/>
      <c r="P68" s="99"/>
      <c r="Q68" s="100"/>
    </row>
    <row r="69" spans="1:17" x14ac:dyDescent="0.25">
      <c r="A69" s="97"/>
      <c r="B69" s="97" t="s">
        <v>114</v>
      </c>
      <c r="C69" s="5" t="s">
        <v>112</v>
      </c>
      <c r="D69">
        <v>1.0469999999999999</v>
      </c>
      <c r="E69">
        <v>6.25</v>
      </c>
      <c r="F69">
        <v>11.68</v>
      </c>
      <c r="G69">
        <v>102.82</v>
      </c>
      <c r="H69">
        <v>6.5437499999999993</v>
      </c>
      <c r="I69">
        <v>12.228960000000001</v>
      </c>
      <c r="J69">
        <v>107.65254</v>
      </c>
      <c r="K69">
        <v>4.2612899999999998</v>
      </c>
      <c r="L69">
        <v>9.1821899999999985</v>
      </c>
      <c r="M69">
        <v>20.091930000000001</v>
      </c>
      <c r="N69" s="98">
        <f>(D70-D69)/D69</f>
        <v>-0.49952244508118426</v>
      </c>
      <c r="O69" s="99">
        <f>(K70-K69)/K69</f>
        <v>-0.484766350095863</v>
      </c>
      <c r="P69" s="99">
        <f>(L70-L69)/L69</f>
        <v>-0.49153306564120314</v>
      </c>
      <c r="Q69" s="100">
        <f>(M70-M69)/M69</f>
        <v>-0.51151930153051506</v>
      </c>
    </row>
    <row r="70" spans="1:17" x14ac:dyDescent="0.25">
      <c r="A70" s="97"/>
      <c r="B70" s="97"/>
      <c r="C70" s="5" t="s">
        <v>113</v>
      </c>
      <c r="D70">
        <v>0.52400000000000002</v>
      </c>
      <c r="E70">
        <v>6.37</v>
      </c>
      <c r="F70">
        <v>11.82</v>
      </c>
      <c r="G70">
        <v>102.36</v>
      </c>
      <c r="H70">
        <v>3.3378800000000002</v>
      </c>
      <c r="I70">
        <v>6.1936800000000014</v>
      </c>
      <c r="J70">
        <v>53.63664</v>
      </c>
      <c r="K70">
        <v>2.19556</v>
      </c>
      <c r="L70">
        <v>4.6688400000000003</v>
      </c>
      <c r="M70">
        <v>9.8145199999999999</v>
      </c>
      <c r="N70" s="98"/>
      <c r="O70" s="99"/>
      <c r="P70" s="99"/>
      <c r="Q70" s="100"/>
    </row>
    <row r="71" spans="1:17" x14ac:dyDescent="0.25">
      <c r="A71" s="97" t="s">
        <v>61</v>
      </c>
      <c r="B71" s="97" t="s">
        <v>111</v>
      </c>
      <c r="C71" s="5" t="s">
        <v>112</v>
      </c>
      <c r="D71">
        <v>16.093</v>
      </c>
      <c r="E71">
        <v>7.22</v>
      </c>
      <c r="F71">
        <v>33.619999999999997</v>
      </c>
      <c r="G71">
        <v>154.34</v>
      </c>
      <c r="H71">
        <v>116.19146000000001</v>
      </c>
      <c r="I71">
        <v>541.04665999999997</v>
      </c>
      <c r="J71">
        <v>2483.7936199999999</v>
      </c>
      <c r="K71">
        <v>81.108720000000005</v>
      </c>
      <c r="L71">
        <v>494.21602999999999</v>
      </c>
      <c r="M71">
        <v>1039.28594</v>
      </c>
      <c r="N71" s="98">
        <f>(D72-D71)/D71</f>
        <v>-0.23401478903871248</v>
      </c>
      <c r="O71" s="99">
        <f>(K72-K71)/K71</f>
        <v>5.1709853145259818E-2</v>
      </c>
      <c r="P71" s="99">
        <f>(L72-L71)/L71</f>
        <v>-0.21755271677448421</v>
      </c>
      <c r="Q71" s="100">
        <f>(M72-M71)/M71</f>
        <v>-0.21266493800541553</v>
      </c>
    </row>
    <row r="72" spans="1:17" x14ac:dyDescent="0.25">
      <c r="A72" s="97"/>
      <c r="B72" s="97"/>
      <c r="C72" s="5" t="s">
        <v>113</v>
      </c>
      <c r="D72">
        <v>12.327</v>
      </c>
      <c r="E72">
        <v>9.1</v>
      </c>
      <c r="F72">
        <v>34.28</v>
      </c>
      <c r="G72">
        <v>156.13999999999999</v>
      </c>
      <c r="H72">
        <v>112.17570000000001</v>
      </c>
      <c r="I72">
        <v>422.56956000000002</v>
      </c>
      <c r="J72">
        <v>1924.7377799999999</v>
      </c>
      <c r="K72">
        <v>85.302840000000003</v>
      </c>
      <c r="L72">
        <v>386.69799</v>
      </c>
      <c r="M72">
        <v>818.26625999999999</v>
      </c>
      <c r="N72" s="98"/>
      <c r="O72" s="99"/>
      <c r="P72" s="99"/>
      <c r="Q72" s="100"/>
    </row>
    <row r="73" spans="1:17" x14ac:dyDescent="0.25">
      <c r="A73" s="97"/>
      <c r="B73" s="97" t="s">
        <v>114</v>
      </c>
      <c r="C73" s="5" t="s">
        <v>112</v>
      </c>
      <c r="D73">
        <v>23.326000000000001</v>
      </c>
      <c r="E73">
        <v>8.94</v>
      </c>
      <c r="F73">
        <v>36.46</v>
      </c>
      <c r="G73">
        <v>155.66</v>
      </c>
      <c r="H73">
        <v>208.53443999999999</v>
      </c>
      <c r="I73">
        <v>850.46596</v>
      </c>
      <c r="J73">
        <v>3630.9251599999998</v>
      </c>
      <c r="K73">
        <v>157.68376000000001</v>
      </c>
      <c r="L73">
        <v>782.58729999999991</v>
      </c>
      <c r="M73">
        <v>1536.9501399999999</v>
      </c>
      <c r="N73" s="98">
        <f>(D74-D73)/D73</f>
        <v>-0.23141558775615192</v>
      </c>
      <c r="O73" s="99">
        <f>(K74-K73)/K73</f>
        <v>-0.23937430208412078</v>
      </c>
      <c r="P73" s="99">
        <f>(L74-L73)/L73</f>
        <v>-0.24676436737473234</v>
      </c>
      <c r="Q73" s="100">
        <f>(M74-M73)/M73</f>
        <v>-0.23409845943343352</v>
      </c>
    </row>
    <row r="74" spans="1:17" x14ac:dyDescent="0.25">
      <c r="A74" s="97"/>
      <c r="B74" s="97"/>
      <c r="C74" s="5" t="s">
        <v>113</v>
      </c>
      <c r="D74">
        <v>17.928000000000001</v>
      </c>
      <c r="E74">
        <v>8.8699999999999992</v>
      </c>
      <c r="F74">
        <v>35.79</v>
      </c>
      <c r="G74">
        <v>155.41999999999999</v>
      </c>
      <c r="H74">
        <v>159.02135999999999</v>
      </c>
      <c r="I74">
        <v>641.64312000000007</v>
      </c>
      <c r="J74">
        <v>2786.36976</v>
      </c>
      <c r="K74">
        <v>119.93832</v>
      </c>
      <c r="L74">
        <v>589.47264000000007</v>
      </c>
      <c r="M74">
        <v>1177.15248</v>
      </c>
      <c r="N74" s="98"/>
      <c r="O74" s="99"/>
      <c r="P74" s="99"/>
      <c r="Q74" s="100"/>
    </row>
    <row r="75" spans="1:17" x14ac:dyDescent="0.25">
      <c r="A75" s="97" t="s">
        <v>63</v>
      </c>
      <c r="B75" s="97" t="s">
        <v>111</v>
      </c>
      <c r="C75" s="5" t="s">
        <v>112</v>
      </c>
      <c r="D75">
        <v>1.0469999999999999</v>
      </c>
      <c r="E75">
        <v>2.33</v>
      </c>
      <c r="F75">
        <v>8.48</v>
      </c>
      <c r="G75">
        <v>105.33</v>
      </c>
      <c r="H75">
        <v>2.4395099999999998</v>
      </c>
      <c r="I75">
        <v>8.8785600000000002</v>
      </c>
      <c r="J75">
        <v>110.28051000000001</v>
      </c>
      <c r="K75">
        <v>1.99977</v>
      </c>
      <c r="L75">
        <v>8.2713000000000001</v>
      </c>
      <c r="M75">
        <v>16.218029999999999</v>
      </c>
      <c r="N75" s="98">
        <f>(D76-D75)/D75</f>
        <v>-0.49952244508118426</v>
      </c>
      <c r="O75" s="99">
        <f>(K76-K75)/K75</f>
        <v>-0.48642093840791695</v>
      </c>
      <c r="P75" s="99">
        <f>(L76-L75)/L75</f>
        <v>-0.55590535949608888</v>
      </c>
      <c r="Q75" s="100">
        <f>(M76-M75)/M75</f>
        <v>-0.63134610060531393</v>
      </c>
    </row>
    <row r="76" spans="1:17" x14ac:dyDescent="0.25">
      <c r="A76" s="97"/>
      <c r="B76" s="97"/>
      <c r="C76" s="5" t="s">
        <v>113</v>
      </c>
      <c r="D76">
        <v>0.52400000000000002</v>
      </c>
      <c r="E76">
        <v>2.38</v>
      </c>
      <c r="F76">
        <v>7.59</v>
      </c>
      <c r="G76">
        <v>101.24</v>
      </c>
      <c r="H76">
        <v>1.24712</v>
      </c>
      <c r="I76">
        <v>3.97716</v>
      </c>
      <c r="J76">
        <v>53.049759999999999</v>
      </c>
      <c r="K76">
        <v>1.02704</v>
      </c>
      <c r="L76">
        <v>3.6732399999999998</v>
      </c>
      <c r="M76">
        <v>5.9788399999999999</v>
      </c>
      <c r="N76" s="98"/>
      <c r="O76" s="99"/>
      <c r="P76" s="99"/>
      <c r="Q76" s="100"/>
    </row>
    <row r="77" spans="1:17" x14ac:dyDescent="0.25">
      <c r="A77" s="97"/>
      <c r="B77" s="97" t="s">
        <v>114</v>
      </c>
      <c r="C77" s="5" t="s">
        <v>112</v>
      </c>
      <c r="D77">
        <v>1.0469999999999999</v>
      </c>
      <c r="E77">
        <v>2.35</v>
      </c>
      <c r="F77">
        <v>8.0500000000000007</v>
      </c>
      <c r="G77">
        <v>102.93</v>
      </c>
      <c r="H77">
        <v>2.4604499999999998</v>
      </c>
      <c r="I77">
        <v>8.42835</v>
      </c>
      <c r="J77">
        <v>107.76770999999999</v>
      </c>
      <c r="K77">
        <v>2.0207099999999998</v>
      </c>
      <c r="L77">
        <v>7.821089999999999</v>
      </c>
      <c r="M77">
        <v>13.7157</v>
      </c>
      <c r="N77" s="98">
        <f>(D78-D77)/D77</f>
        <v>-0.49952244508118426</v>
      </c>
      <c r="O77" s="99">
        <f>(K78-K77)/K77</f>
        <v>-0.4917430012223426</v>
      </c>
      <c r="P77" s="99">
        <f>(L78-L77)/L77</f>
        <v>-0.53570154543676141</v>
      </c>
      <c r="Q77" s="100">
        <f>(M78-M77)/M77</f>
        <v>-0.53199617956064948</v>
      </c>
    </row>
    <row r="78" spans="1:17" x14ac:dyDescent="0.25">
      <c r="A78" s="97"/>
      <c r="B78" s="97"/>
      <c r="C78" s="5" t="s">
        <v>113</v>
      </c>
      <c r="D78">
        <v>0.52400000000000002</v>
      </c>
      <c r="E78">
        <v>2.38</v>
      </c>
      <c r="F78">
        <v>7.51</v>
      </c>
      <c r="G78">
        <v>102.08</v>
      </c>
      <c r="H78">
        <v>1.24712</v>
      </c>
      <c r="I78">
        <v>3.9352399999999998</v>
      </c>
      <c r="J78">
        <v>53.489919999999998</v>
      </c>
      <c r="K78">
        <v>1.02704</v>
      </c>
      <c r="L78">
        <v>3.6313200000000001</v>
      </c>
      <c r="M78">
        <v>6.4189999999999996</v>
      </c>
      <c r="N78" s="98"/>
      <c r="O78" s="99"/>
      <c r="P78" s="99"/>
      <c r="Q78" s="100"/>
    </row>
    <row r="79" spans="1:17" x14ac:dyDescent="0.25">
      <c r="A79" s="97" t="s">
        <v>65</v>
      </c>
      <c r="B79" s="97" t="s">
        <v>111</v>
      </c>
      <c r="C79" s="5" t="s">
        <v>112</v>
      </c>
      <c r="D79">
        <v>1.0469999999999999</v>
      </c>
      <c r="E79">
        <v>2.62</v>
      </c>
      <c r="F79">
        <v>10.09</v>
      </c>
      <c r="G79">
        <v>111.54</v>
      </c>
      <c r="H79">
        <v>2.7431399999999999</v>
      </c>
      <c r="I79">
        <v>10.56423</v>
      </c>
      <c r="J79">
        <v>116.78238</v>
      </c>
      <c r="K79">
        <v>2.2929300000000001</v>
      </c>
      <c r="L79">
        <v>9.9569699999999983</v>
      </c>
      <c r="M79">
        <v>22.269690000000001</v>
      </c>
      <c r="N79" s="98">
        <f>(D80-D79)/D79</f>
        <v>0</v>
      </c>
      <c r="O79" s="99">
        <f>(K80-K79)/K79</f>
        <v>4.5662100456619944E-3</v>
      </c>
      <c r="P79" s="99">
        <f>(L80-L79)/L79</f>
        <v>-0.10935856992639308</v>
      </c>
      <c r="Q79" s="100">
        <f>(M80-M79)/M79</f>
        <v>-0.19511048425011757</v>
      </c>
    </row>
    <row r="80" spans="1:17" x14ac:dyDescent="0.25">
      <c r="A80" s="97"/>
      <c r="B80" s="97"/>
      <c r="C80" s="5" t="s">
        <v>113</v>
      </c>
      <c r="D80">
        <v>1.0469999999999999</v>
      </c>
      <c r="E80">
        <v>2.62</v>
      </c>
      <c r="F80">
        <v>9.0500000000000007</v>
      </c>
      <c r="G80">
        <v>107.39</v>
      </c>
      <c r="H80">
        <v>2.7431399999999999</v>
      </c>
      <c r="I80">
        <v>9.4753500000000006</v>
      </c>
      <c r="J80">
        <v>112.43733</v>
      </c>
      <c r="K80">
        <v>2.3033999999999999</v>
      </c>
      <c r="L80">
        <v>8.8680900000000005</v>
      </c>
      <c r="M80">
        <v>17.92464</v>
      </c>
      <c r="N80" s="98"/>
      <c r="O80" s="99"/>
      <c r="P80" s="99"/>
      <c r="Q80" s="100"/>
    </row>
    <row r="81" spans="1:17" x14ac:dyDescent="0.25">
      <c r="A81" s="97"/>
      <c r="B81" s="97" t="s">
        <v>114</v>
      </c>
      <c r="C81" s="5" t="s">
        <v>112</v>
      </c>
      <c r="D81">
        <v>1.0469999999999999</v>
      </c>
      <c r="E81">
        <v>2.62</v>
      </c>
      <c r="F81">
        <v>9.6300000000000008</v>
      </c>
      <c r="G81">
        <v>111.24</v>
      </c>
      <c r="H81">
        <v>2.7431399999999999</v>
      </c>
      <c r="I81">
        <v>10.082610000000001</v>
      </c>
      <c r="J81">
        <v>116.46827999999999</v>
      </c>
      <c r="K81">
        <v>2.3033999999999999</v>
      </c>
      <c r="L81">
        <v>9.4753500000000006</v>
      </c>
      <c r="M81">
        <v>21.955590000000001</v>
      </c>
      <c r="N81" s="98">
        <f>(D82-D81)/D81</f>
        <v>0</v>
      </c>
      <c r="O81" s="99">
        <f>(K82-K81)/K81</f>
        <v>0</v>
      </c>
      <c r="P81" s="99">
        <f>(L82-L81)/L81</f>
        <v>-6.7403314917127186E-2</v>
      </c>
      <c r="Q81" s="100">
        <f>(M82-M81)/M81</f>
        <v>-0.1516452074391989</v>
      </c>
    </row>
    <row r="82" spans="1:17" x14ac:dyDescent="0.25">
      <c r="A82" s="97"/>
      <c r="B82" s="97"/>
      <c r="C82" s="5" t="s">
        <v>113</v>
      </c>
      <c r="D82">
        <v>1.0469999999999999</v>
      </c>
      <c r="E82">
        <v>2.62</v>
      </c>
      <c r="F82">
        <v>9.02</v>
      </c>
      <c r="G82">
        <v>108.06</v>
      </c>
      <c r="H82">
        <v>2.7431399999999999</v>
      </c>
      <c r="I82">
        <v>9.4439399999999996</v>
      </c>
      <c r="J82">
        <v>113.13882</v>
      </c>
      <c r="K82">
        <v>2.3033999999999999</v>
      </c>
      <c r="L82">
        <v>8.8366799999999994</v>
      </c>
      <c r="M82">
        <v>18.62613</v>
      </c>
      <c r="N82" s="98"/>
      <c r="O82" s="99"/>
      <c r="P82" s="99"/>
      <c r="Q82" s="100"/>
    </row>
    <row r="83" spans="1:17" x14ac:dyDescent="0.25">
      <c r="A83" s="97" t="s">
        <v>71</v>
      </c>
      <c r="B83" s="97" t="s">
        <v>111</v>
      </c>
      <c r="C83" s="5" t="s">
        <v>112</v>
      </c>
      <c r="D83">
        <v>4.1879999999999997</v>
      </c>
      <c r="E83">
        <v>2.42</v>
      </c>
      <c r="F83">
        <v>13.98</v>
      </c>
      <c r="G83">
        <v>133.38</v>
      </c>
      <c r="H83">
        <v>10.13496</v>
      </c>
      <c r="I83">
        <v>58.54824</v>
      </c>
      <c r="J83">
        <v>558.59543999999994</v>
      </c>
      <c r="K83">
        <v>8.3759999999999994</v>
      </c>
      <c r="L83">
        <v>56.119199999999999</v>
      </c>
      <c r="M83">
        <v>181.29852</v>
      </c>
      <c r="N83" s="98">
        <f>(D84-D83)/D83</f>
        <v>-0.87511938872970385</v>
      </c>
      <c r="O83" s="99">
        <f>(K84-K83)/K83</f>
        <v>-0.87324617956064943</v>
      </c>
      <c r="P83" s="99">
        <f>(L84-L83)/L83</f>
        <v>-0.93364552595190242</v>
      </c>
      <c r="Q83" s="100">
        <f>(M84-M83)/M83</f>
        <v>-0.96316180628501546</v>
      </c>
    </row>
    <row r="84" spans="1:17" x14ac:dyDescent="0.25">
      <c r="A84" s="97"/>
      <c r="B84" s="97"/>
      <c r="C84" s="5" t="s">
        <v>113</v>
      </c>
      <c r="D84">
        <v>0.52300000000000002</v>
      </c>
      <c r="E84">
        <v>2.4500000000000002</v>
      </c>
      <c r="F84">
        <v>7.7</v>
      </c>
      <c r="G84">
        <v>102.86</v>
      </c>
      <c r="H84">
        <v>1.28135</v>
      </c>
      <c r="I84">
        <v>4.0270999999999999</v>
      </c>
      <c r="J84">
        <v>53.795780000000001</v>
      </c>
      <c r="K84">
        <v>1.06169</v>
      </c>
      <c r="L84">
        <v>3.72376</v>
      </c>
      <c r="M84">
        <v>6.6787099999999997</v>
      </c>
      <c r="N84" s="98"/>
      <c r="O84" s="99"/>
      <c r="P84" s="99"/>
      <c r="Q84" s="100"/>
    </row>
    <row r="85" spans="1:17" x14ac:dyDescent="0.25">
      <c r="A85" s="97"/>
      <c r="B85" s="97" t="s">
        <v>114</v>
      </c>
      <c r="C85" s="5" t="s">
        <v>112</v>
      </c>
      <c r="D85">
        <v>4.2060000000000004</v>
      </c>
      <c r="E85">
        <v>2.4300000000000002</v>
      </c>
      <c r="F85">
        <v>13.03</v>
      </c>
      <c r="G85">
        <v>131.75</v>
      </c>
      <c r="H85">
        <v>10.22058</v>
      </c>
      <c r="I85">
        <v>54.804180000000002</v>
      </c>
      <c r="J85">
        <v>554.14050000000009</v>
      </c>
      <c r="K85">
        <v>8.4540600000000001</v>
      </c>
      <c r="L85">
        <v>52.364699999999999</v>
      </c>
      <c r="M85">
        <v>175.22196</v>
      </c>
      <c r="N85" s="98">
        <f>(D86-D85)/D85</f>
        <v>-0.87565382786495483</v>
      </c>
      <c r="O85" s="99">
        <f>(K86-K85)/K85</f>
        <v>-0.87441655252032746</v>
      </c>
      <c r="P85" s="99">
        <f>(L86-L85)/L85</f>
        <v>-0.92938735445825149</v>
      </c>
      <c r="Q85" s="100">
        <f>(M86-M85)/M85</f>
        <v>-0.95785482595902938</v>
      </c>
    </row>
    <row r="86" spans="1:17" x14ac:dyDescent="0.25">
      <c r="A86" s="97"/>
      <c r="B86" s="97"/>
      <c r="C86" s="5" t="s">
        <v>113</v>
      </c>
      <c r="D86">
        <v>0.52300000000000002</v>
      </c>
      <c r="E86">
        <v>2.4500000000000002</v>
      </c>
      <c r="F86">
        <v>7.65</v>
      </c>
      <c r="G86">
        <v>104.21</v>
      </c>
      <c r="H86">
        <v>1.28135</v>
      </c>
      <c r="I86">
        <v>4.0009499999999996</v>
      </c>
      <c r="J86">
        <v>54.501829999999998</v>
      </c>
      <c r="K86">
        <v>1.06169</v>
      </c>
      <c r="L86">
        <v>3.697610000000001</v>
      </c>
      <c r="M86">
        <v>7.38476</v>
      </c>
      <c r="N86" s="98"/>
      <c r="O86" s="99"/>
      <c r="P86" s="99"/>
      <c r="Q86" s="100"/>
    </row>
    <row r="87" spans="1:17" x14ac:dyDescent="0.25">
      <c r="A87" s="97" t="s">
        <v>79</v>
      </c>
      <c r="B87" s="97" t="s">
        <v>111</v>
      </c>
      <c r="C87" s="5" t="s">
        <v>112</v>
      </c>
      <c r="D87">
        <v>11.519</v>
      </c>
      <c r="E87">
        <v>1.42</v>
      </c>
      <c r="F87">
        <v>17.68</v>
      </c>
      <c r="G87">
        <v>141.79</v>
      </c>
      <c r="H87">
        <v>16.35698</v>
      </c>
      <c r="I87">
        <v>203.65592000000001</v>
      </c>
      <c r="J87">
        <v>1633.27901</v>
      </c>
      <c r="K87">
        <v>11.519</v>
      </c>
      <c r="L87">
        <v>196.97489999999999</v>
      </c>
      <c r="M87">
        <v>585.39558</v>
      </c>
      <c r="N87" s="98">
        <f>(D88-D87)/D87</f>
        <v>-0.54544665335532605</v>
      </c>
      <c r="O87" s="99">
        <f>(K88-K87)/K87</f>
        <v>-0.54090111988887923</v>
      </c>
      <c r="P87" s="99">
        <f>(L88-L87)/L87</f>
        <v>-0.57016797571670297</v>
      </c>
      <c r="Q87" s="100">
        <f>(M88-M87)/M87</f>
        <v>-0.58328137701347182</v>
      </c>
    </row>
    <row r="88" spans="1:17" x14ac:dyDescent="0.25">
      <c r="A88" s="97"/>
      <c r="B88" s="97"/>
      <c r="C88" s="5" t="s">
        <v>113</v>
      </c>
      <c r="D88">
        <v>5.2359999999999998</v>
      </c>
      <c r="E88">
        <v>1.43</v>
      </c>
      <c r="F88">
        <v>16.75</v>
      </c>
      <c r="G88">
        <v>137.56</v>
      </c>
      <c r="H88">
        <v>7.4874799999999997</v>
      </c>
      <c r="I88">
        <v>87.703000000000003</v>
      </c>
      <c r="J88">
        <v>720.26415999999995</v>
      </c>
      <c r="K88">
        <v>5.2883599999999999</v>
      </c>
      <c r="L88">
        <v>84.666120000000006</v>
      </c>
      <c r="M88">
        <v>243.94524000000001</v>
      </c>
      <c r="N88" s="98"/>
      <c r="O88" s="99"/>
      <c r="P88" s="99"/>
      <c r="Q88" s="100"/>
    </row>
    <row r="89" spans="1:17" x14ac:dyDescent="0.25">
      <c r="A89" s="97"/>
      <c r="B89" s="97" t="s">
        <v>114</v>
      </c>
      <c r="C89" s="5" t="s">
        <v>112</v>
      </c>
      <c r="D89">
        <v>10.515000000000001</v>
      </c>
      <c r="E89">
        <v>1.44</v>
      </c>
      <c r="F89">
        <v>16.27</v>
      </c>
      <c r="G89">
        <v>138.08000000000001</v>
      </c>
      <c r="H89">
        <v>15.1416</v>
      </c>
      <c r="I89">
        <v>171.07905</v>
      </c>
      <c r="J89">
        <v>1451.9112</v>
      </c>
      <c r="K89">
        <v>10.725300000000001</v>
      </c>
      <c r="L89">
        <v>164.98034999999999</v>
      </c>
      <c r="M89">
        <v>495.36165</v>
      </c>
      <c r="N89" s="98">
        <f>(D90-D89)/D89</f>
        <v>-0.85002377555872566</v>
      </c>
      <c r="O89" s="99">
        <f>(K90-K89)/K89</f>
        <v>-0.84120164470923886</v>
      </c>
      <c r="P89" s="99">
        <f>(L90-L89)/L89</f>
        <v>-0.87956020216953101</v>
      </c>
      <c r="Q89" s="100">
        <f>(M90-M89)/M89</f>
        <v>-0.89554829284826543</v>
      </c>
    </row>
    <row r="90" spans="1:17" x14ac:dyDescent="0.25">
      <c r="A90" s="97"/>
      <c r="B90" s="97"/>
      <c r="C90" s="5" t="s">
        <v>113</v>
      </c>
      <c r="D90">
        <v>1.577</v>
      </c>
      <c r="E90">
        <v>1.5</v>
      </c>
      <c r="F90">
        <v>13.18</v>
      </c>
      <c r="G90">
        <v>123.78</v>
      </c>
      <c r="H90">
        <v>2.3654999999999999</v>
      </c>
      <c r="I90">
        <v>20.784859999999998</v>
      </c>
      <c r="J90">
        <v>195.20106000000001</v>
      </c>
      <c r="K90">
        <v>1.70316</v>
      </c>
      <c r="L90">
        <v>19.870200000000001</v>
      </c>
      <c r="M90">
        <v>51.741370000000003</v>
      </c>
      <c r="N90" s="98"/>
      <c r="O90" s="99"/>
      <c r="P90" s="99"/>
      <c r="Q90" s="100"/>
    </row>
    <row r="91" spans="1:17" x14ac:dyDescent="0.25">
      <c r="A91" s="97" t="s">
        <v>87</v>
      </c>
      <c r="B91" s="97" t="s">
        <v>111</v>
      </c>
      <c r="C91" s="5" t="s">
        <v>112</v>
      </c>
      <c r="D91">
        <v>0.52300000000000002</v>
      </c>
      <c r="E91">
        <v>3.09</v>
      </c>
      <c r="F91">
        <v>3.15</v>
      </c>
      <c r="G91">
        <v>104.41</v>
      </c>
      <c r="H91">
        <v>1.6160699999999999</v>
      </c>
      <c r="I91">
        <v>1.6474500000000001</v>
      </c>
      <c r="J91">
        <v>54.606430000000003</v>
      </c>
      <c r="K91">
        <v>1.3964099999999999</v>
      </c>
      <c r="L91">
        <v>1.3441099999999999</v>
      </c>
      <c r="M91">
        <v>6.2550800000000004</v>
      </c>
      <c r="N91" s="98">
        <f>(D92-D91)/D91</f>
        <v>0</v>
      </c>
      <c r="O91" s="99">
        <f>(K92-K91)/K91</f>
        <v>-3.745318352059815E-3</v>
      </c>
      <c r="P91" s="99">
        <f>(L92-L91)/L91</f>
        <v>-1.1673151750972749E-2</v>
      </c>
      <c r="Q91" s="100">
        <f>(M92-M91)/M91</f>
        <v>-0.14548494983277596</v>
      </c>
    </row>
    <row r="92" spans="1:17" x14ac:dyDescent="0.25">
      <c r="A92" s="97"/>
      <c r="B92" s="97"/>
      <c r="C92" s="5" t="s">
        <v>113</v>
      </c>
      <c r="D92">
        <v>0.52300000000000002</v>
      </c>
      <c r="E92">
        <v>3.08</v>
      </c>
      <c r="F92">
        <v>3.12</v>
      </c>
      <c r="G92">
        <v>102.67</v>
      </c>
      <c r="H92">
        <v>1.61084</v>
      </c>
      <c r="I92">
        <v>1.6317600000000001</v>
      </c>
      <c r="J92">
        <v>53.69641</v>
      </c>
      <c r="K92">
        <v>1.3911800000000001</v>
      </c>
      <c r="L92">
        <v>1.3284199999999999</v>
      </c>
      <c r="M92">
        <v>5.3450600000000001</v>
      </c>
      <c r="N92" s="98"/>
      <c r="O92" s="99"/>
      <c r="P92" s="99"/>
      <c r="Q92" s="100"/>
    </row>
    <row r="93" spans="1:17" x14ac:dyDescent="0.25">
      <c r="A93" s="97"/>
      <c r="B93" s="97" t="s">
        <v>114</v>
      </c>
      <c r="C93" s="5" t="s">
        <v>112</v>
      </c>
      <c r="D93">
        <v>0.52400000000000002</v>
      </c>
      <c r="E93">
        <v>3.07</v>
      </c>
      <c r="F93">
        <v>3.1</v>
      </c>
      <c r="G93">
        <v>102.57</v>
      </c>
      <c r="H93">
        <v>1.6086800000000001</v>
      </c>
      <c r="I93">
        <v>1.6244000000000001</v>
      </c>
      <c r="J93">
        <v>53.746679999999998</v>
      </c>
      <c r="K93">
        <v>1.3886000000000001</v>
      </c>
      <c r="L93">
        <v>1.3204800000000001</v>
      </c>
      <c r="M93">
        <v>5.30288</v>
      </c>
      <c r="N93" s="98">
        <f>(D94-D93)/D93</f>
        <v>0</v>
      </c>
      <c r="O93" s="99">
        <f>(K94-K93)/K93</f>
        <v>1.13207547169811E-2</v>
      </c>
      <c r="P93" s="99">
        <f>(L94-L93)/L93</f>
        <v>4.7619047619047485E-2</v>
      </c>
      <c r="Q93" s="100">
        <f>(M94-M93)/M93</f>
        <v>0.16205533596837937</v>
      </c>
    </row>
    <row r="94" spans="1:17" x14ac:dyDescent="0.25">
      <c r="A94" s="97"/>
      <c r="B94" s="97"/>
      <c r="C94" s="5" t="s">
        <v>113</v>
      </c>
      <c r="D94">
        <v>0.52400000000000002</v>
      </c>
      <c r="E94">
        <v>3.1</v>
      </c>
      <c r="F94">
        <v>3.22</v>
      </c>
      <c r="G94">
        <v>104.22</v>
      </c>
      <c r="H94">
        <v>1.6244000000000001</v>
      </c>
      <c r="I94">
        <v>1.6872799999999999</v>
      </c>
      <c r="J94">
        <v>54.611280000000001</v>
      </c>
      <c r="K94">
        <v>1.40432</v>
      </c>
      <c r="L94">
        <v>1.3833599999999999</v>
      </c>
      <c r="M94">
        <v>6.1622399999999997</v>
      </c>
      <c r="N94" s="98"/>
      <c r="O94" s="99"/>
      <c r="P94" s="99"/>
      <c r="Q94" s="100"/>
    </row>
    <row r="95" spans="1:17" x14ac:dyDescent="0.25">
      <c r="A95" s="97" t="s">
        <v>91</v>
      </c>
      <c r="B95" s="97" t="s">
        <v>111</v>
      </c>
      <c r="C95" s="5" t="s">
        <v>112</v>
      </c>
      <c r="D95">
        <v>8.3770000000000007</v>
      </c>
      <c r="E95">
        <v>7.2</v>
      </c>
      <c r="F95">
        <v>21.3</v>
      </c>
      <c r="G95">
        <v>137.55000000000001</v>
      </c>
      <c r="H95">
        <v>60.314400000000013</v>
      </c>
      <c r="I95">
        <v>178.43010000000001</v>
      </c>
      <c r="J95">
        <v>1152.2563500000001</v>
      </c>
      <c r="K95">
        <v>44.146790000000003</v>
      </c>
      <c r="L95">
        <v>173.57144</v>
      </c>
      <c r="M95">
        <v>391.37344000000002</v>
      </c>
      <c r="N95" s="98">
        <f>(D96-D95)/D95</f>
        <v>-0.93756714814372688</v>
      </c>
      <c r="O95" s="99">
        <f>(K96-K95)/K95</f>
        <v>-0.90486986709565986</v>
      </c>
      <c r="P95" s="99">
        <f>(L96-L95)/L95</f>
        <v>-0.98107730165746165</v>
      </c>
      <c r="Q95" s="100">
        <f>(M96-M95)/M95</f>
        <v>-0.98284165629634956</v>
      </c>
    </row>
    <row r="96" spans="1:17" x14ac:dyDescent="0.25">
      <c r="A96" s="97"/>
      <c r="B96" s="97"/>
      <c r="C96" s="5" t="s">
        <v>113</v>
      </c>
      <c r="D96">
        <v>0.52300000000000002</v>
      </c>
      <c r="E96">
        <v>9.9600000000000009</v>
      </c>
      <c r="F96">
        <v>6.86</v>
      </c>
      <c r="G96">
        <v>103.67</v>
      </c>
      <c r="H96">
        <v>5.209080000000001</v>
      </c>
      <c r="I96">
        <v>3.58778</v>
      </c>
      <c r="J96">
        <v>54.219410000000003</v>
      </c>
      <c r="K96">
        <v>4.1996899999999986</v>
      </c>
      <c r="L96">
        <v>3.28444</v>
      </c>
      <c r="M96">
        <v>6.7153200000000002</v>
      </c>
      <c r="N96" s="98"/>
      <c r="O96" s="99"/>
      <c r="P96" s="99"/>
      <c r="Q96" s="100"/>
    </row>
    <row r="97" spans="1:17" x14ac:dyDescent="0.25">
      <c r="A97" s="97"/>
      <c r="B97" s="97" t="s">
        <v>114</v>
      </c>
      <c r="C97" s="5" t="s">
        <v>112</v>
      </c>
      <c r="D97">
        <v>4.1879999999999997</v>
      </c>
      <c r="E97">
        <v>7.01</v>
      </c>
      <c r="F97">
        <v>18.52</v>
      </c>
      <c r="G97">
        <v>130.29</v>
      </c>
      <c r="H97">
        <v>29.357880000000002</v>
      </c>
      <c r="I97">
        <v>77.561759999999992</v>
      </c>
      <c r="J97">
        <v>545.65451999999993</v>
      </c>
      <c r="K97">
        <v>21.275040000000001</v>
      </c>
      <c r="L97">
        <v>75.132720000000006</v>
      </c>
      <c r="M97">
        <v>165.25847999999999</v>
      </c>
      <c r="N97" s="98">
        <f>(D98-D97)/D97</f>
        <v>-0.6404011461318051</v>
      </c>
      <c r="O97" s="99">
        <f>(K98-K97)/K97</f>
        <v>-0.53634399747309525</v>
      </c>
      <c r="P97" s="99">
        <f>(L98-L97)/L97</f>
        <v>-0.73801800334128731</v>
      </c>
      <c r="Q97" s="100">
        <f>(M98-M97)/M97</f>
        <v>-0.77664044834492008</v>
      </c>
    </row>
    <row r="98" spans="1:17" x14ac:dyDescent="0.25">
      <c r="A98" s="97"/>
      <c r="B98" s="97"/>
      <c r="C98" s="5" t="s">
        <v>113</v>
      </c>
      <c r="D98">
        <v>1.506</v>
      </c>
      <c r="E98">
        <v>8.48</v>
      </c>
      <c r="F98">
        <v>13.65</v>
      </c>
      <c r="G98">
        <v>115.34</v>
      </c>
      <c r="H98">
        <v>12.77088</v>
      </c>
      <c r="I98">
        <v>20.556899999999999</v>
      </c>
      <c r="J98">
        <v>173.70204000000001</v>
      </c>
      <c r="K98">
        <v>9.8643000000000001</v>
      </c>
      <c r="L98">
        <v>19.683420000000002</v>
      </c>
      <c r="M98">
        <v>36.912059999999997</v>
      </c>
      <c r="N98" s="98"/>
      <c r="O98" s="99"/>
      <c r="P98" s="99"/>
      <c r="Q98" s="100"/>
    </row>
    <row r="99" spans="1:17" x14ac:dyDescent="0.25">
      <c r="A99" s="97" t="s">
        <v>93</v>
      </c>
      <c r="B99" s="97" t="s">
        <v>111</v>
      </c>
      <c r="C99" s="5" t="s">
        <v>112</v>
      </c>
      <c r="D99">
        <v>433.04700000000003</v>
      </c>
      <c r="E99">
        <v>2.25</v>
      </c>
      <c r="F99">
        <v>14.25</v>
      </c>
      <c r="G99">
        <v>139.47</v>
      </c>
      <c r="H99">
        <v>974.35575000000006</v>
      </c>
      <c r="I99">
        <v>6170.91975</v>
      </c>
      <c r="J99">
        <v>60397.065089999996</v>
      </c>
      <c r="K99">
        <v>792.47601000000009</v>
      </c>
      <c r="L99">
        <v>5919.7524900000008</v>
      </c>
      <c r="M99">
        <v>21712.976579999999</v>
      </c>
      <c r="N99" s="98">
        <f>(D100-D99)/D99</f>
        <v>-0.99878535124362944</v>
      </c>
      <c r="O99" s="99">
        <f>(K100-K99)/K99</f>
        <v>-0.99867251502036003</v>
      </c>
      <c r="P99" s="99">
        <f>(L100-L99)/L99</f>
        <v>-0.99938068018786375</v>
      </c>
      <c r="Q99" s="100">
        <f>(M100-M99)/M99</f>
        <v>-0.99976017106725035</v>
      </c>
    </row>
    <row r="100" spans="1:17" x14ac:dyDescent="0.25">
      <c r="A100" s="97"/>
      <c r="B100" s="97"/>
      <c r="C100" s="5" t="s">
        <v>113</v>
      </c>
      <c r="D100">
        <v>0.52600000000000002</v>
      </c>
      <c r="E100">
        <v>2.42</v>
      </c>
      <c r="F100">
        <v>7.55</v>
      </c>
      <c r="G100">
        <v>99.23</v>
      </c>
      <c r="H100">
        <v>1.2729200000000001</v>
      </c>
      <c r="I100">
        <v>3.9712999999999998</v>
      </c>
      <c r="J100">
        <v>52.194980000000001</v>
      </c>
      <c r="K100">
        <v>1.052</v>
      </c>
      <c r="L100">
        <v>3.66622</v>
      </c>
      <c r="M100">
        <v>5.2074000000000007</v>
      </c>
      <c r="N100" s="98"/>
      <c r="O100" s="99"/>
      <c r="P100" s="99"/>
      <c r="Q100" s="100"/>
    </row>
    <row r="101" spans="1:17" x14ac:dyDescent="0.25">
      <c r="A101" s="97"/>
      <c r="B101" s="97" t="s">
        <v>114</v>
      </c>
      <c r="C101" s="5" t="s">
        <v>112</v>
      </c>
      <c r="D101">
        <v>209.54300000000001</v>
      </c>
      <c r="E101">
        <v>2.4500000000000002</v>
      </c>
      <c r="F101">
        <v>14.75</v>
      </c>
      <c r="G101">
        <v>140.59</v>
      </c>
      <c r="H101">
        <v>513.38035000000002</v>
      </c>
      <c r="I101">
        <v>3090.7592500000001</v>
      </c>
      <c r="J101">
        <v>29459.650369999999</v>
      </c>
      <c r="K101">
        <v>425.37229000000002</v>
      </c>
      <c r="L101">
        <v>2969.2243100000001</v>
      </c>
      <c r="M101">
        <v>10741.17418</v>
      </c>
      <c r="N101" s="98">
        <f>(D102-D101)/D101</f>
        <v>-0.99748977536830141</v>
      </c>
      <c r="O101" s="99">
        <f>(K102-K101)/K101</f>
        <v>-0.99740321589824288</v>
      </c>
      <c r="P101" s="99">
        <f>(L102-L101)/L101</f>
        <v>-0.99873868741159533</v>
      </c>
      <c r="Q101" s="100">
        <f>(M102-M101)/M101</f>
        <v>-0.9994814030657494</v>
      </c>
    </row>
    <row r="102" spans="1:17" x14ac:dyDescent="0.25">
      <c r="A102" s="97"/>
      <c r="B102" s="97"/>
      <c r="C102" s="5" t="s">
        <v>113</v>
      </c>
      <c r="D102">
        <v>0.52600000000000002</v>
      </c>
      <c r="E102">
        <v>2.52</v>
      </c>
      <c r="F102">
        <v>7.7</v>
      </c>
      <c r="G102">
        <v>99.92</v>
      </c>
      <c r="H102">
        <v>1.32552</v>
      </c>
      <c r="I102">
        <v>4.0502000000000002</v>
      </c>
      <c r="J102">
        <v>52.557920000000003</v>
      </c>
      <c r="K102">
        <v>1.1046</v>
      </c>
      <c r="L102">
        <v>3.74512</v>
      </c>
      <c r="M102">
        <v>5.5703399999999998</v>
      </c>
      <c r="N102" s="98"/>
      <c r="O102" s="99"/>
      <c r="P102" s="99"/>
      <c r="Q102" s="100"/>
    </row>
    <row r="103" spans="1:17" x14ac:dyDescent="0.25">
      <c r="A103" s="97" t="s">
        <v>95</v>
      </c>
      <c r="B103" s="97" t="s">
        <v>111</v>
      </c>
      <c r="C103" s="5" t="s">
        <v>112</v>
      </c>
      <c r="D103">
        <v>546.57600000000002</v>
      </c>
      <c r="E103">
        <v>3.81</v>
      </c>
      <c r="F103">
        <v>26.09</v>
      </c>
      <c r="G103">
        <v>143.31</v>
      </c>
      <c r="H103">
        <v>2082.4545600000001</v>
      </c>
      <c r="I103">
        <v>14260.16784</v>
      </c>
      <c r="J103">
        <v>78329.806559999997</v>
      </c>
      <c r="K103">
        <v>1852.89264</v>
      </c>
      <c r="L103">
        <v>14178.18144</v>
      </c>
      <c r="M103">
        <v>29761.063200000001</v>
      </c>
      <c r="N103" s="98">
        <f>(D104-D103)/D103</f>
        <v>-0.61128187113960364</v>
      </c>
      <c r="O103" s="99">
        <f>(K104-K103)/K103</f>
        <v>-0.61586851572792689</v>
      </c>
      <c r="P103" s="99">
        <f>(L104-L103)/L103</f>
        <v>-0.60423879016179383</v>
      </c>
      <c r="Q103" s="100">
        <f>(M104-M103)/M103</f>
        <v>-0.60414287887403151</v>
      </c>
    </row>
    <row r="104" spans="1:17" x14ac:dyDescent="0.25">
      <c r="A104" s="97"/>
      <c r="B104" s="97"/>
      <c r="C104" s="5" t="s">
        <v>113</v>
      </c>
      <c r="D104">
        <v>212.464</v>
      </c>
      <c r="E104">
        <v>3.77</v>
      </c>
      <c r="F104">
        <v>26.56</v>
      </c>
      <c r="G104">
        <v>144.31</v>
      </c>
      <c r="H104">
        <v>800.98928000000001</v>
      </c>
      <c r="I104">
        <v>5643.0438399999994</v>
      </c>
      <c r="J104">
        <v>30660.679840000001</v>
      </c>
      <c r="K104">
        <v>711.75440000000003</v>
      </c>
      <c r="L104">
        <v>5611.1742400000003</v>
      </c>
      <c r="M104">
        <v>11781.1288</v>
      </c>
      <c r="N104" s="98"/>
      <c r="O104" s="99"/>
      <c r="P104" s="99"/>
      <c r="Q104" s="100"/>
    </row>
    <row r="105" spans="1:17" x14ac:dyDescent="0.25">
      <c r="A105" s="97"/>
      <c r="B105" s="97" t="s">
        <v>114</v>
      </c>
      <c r="C105" s="5" t="s">
        <v>112</v>
      </c>
      <c r="D105">
        <v>523.52599999999995</v>
      </c>
      <c r="E105">
        <v>3.73</v>
      </c>
      <c r="F105">
        <v>26.11</v>
      </c>
      <c r="G105">
        <v>143.31</v>
      </c>
      <c r="H105">
        <v>1952.75198</v>
      </c>
      <c r="I105">
        <v>13669.263859999999</v>
      </c>
      <c r="J105">
        <v>75026.51105999999</v>
      </c>
      <c r="K105">
        <v>1732.8710599999999</v>
      </c>
      <c r="L105">
        <v>13590.73496</v>
      </c>
      <c r="M105">
        <v>28505.990699999998</v>
      </c>
      <c r="N105" s="98">
        <f>(D106-D105)/D105</f>
        <v>-0.61478704018520569</v>
      </c>
      <c r="O105" s="99">
        <f>(K106-K105)/K105</f>
        <v>-0.62060596707062554</v>
      </c>
      <c r="P105" s="99">
        <f>(L106-L105)/L105</f>
        <v>-0.61122574933946028</v>
      </c>
      <c r="Q105" s="100">
        <f>(M106-M105)/M105</f>
        <v>-0.61301838564060152</v>
      </c>
    </row>
    <row r="106" spans="1:17" x14ac:dyDescent="0.25">
      <c r="A106" s="97"/>
      <c r="B106" s="97"/>
      <c r="C106" s="5" t="s">
        <v>113</v>
      </c>
      <c r="D106">
        <v>201.66900000000001</v>
      </c>
      <c r="E106">
        <v>3.68</v>
      </c>
      <c r="F106">
        <v>26.35</v>
      </c>
      <c r="G106">
        <v>143.56</v>
      </c>
      <c r="H106">
        <v>742.14192000000003</v>
      </c>
      <c r="I106">
        <v>5313.9781500000008</v>
      </c>
      <c r="J106">
        <v>28951.601640000001</v>
      </c>
      <c r="K106">
        <v>657.44093999999996</v>
      </c>
      <c r="L106">
        <v>5283.7278000000006</v>
      </c>
      <c r="M106">
        <v>11031.2943</v>
      </c>
      <c r="N106" s="101"/>
      <c r="O106" s="102"/>
      <c r="P106" s="102"/>
      <c r="Q106" s="103"/>
    </row>
  </sheetData>
  <mergeCells count="294">
    <mergeCell ref="K1:M1"/>
    <mergeCell ref="N1:Q1"/>
    <mergeCell ref="A3:A6"/>
    <mergeCell ref="B3:B4"/>
    <mergeCell ref="N3:N4"/>
    <mergeCell ref="O3:O4"/>
    <mergeCell ref="P3:P4"/>
    <mergeCell ref="Q3:Q4"/>
    <mergeCell ref="B5:B6"/>
    <mergeCell ref="N5:N6"/>
    <mergeCell ref="A1:A2"/>
    <mergeCell ref="B1:B2"/>
    <mergeCell ref="C1:C2"/>
    <mergeCell ref="D1:D2"/>
    <mergeCell ref="E1:G1"/>
    <mergeCell ref="H1:J1"/>
    <mergeCell ref="O5:O6"/>
    <mergeCell ref="P5:P6"/>
    <mergeCell ref="Q5:Q6"/>
    <mergeCell ref="A7:A10"/>
    <mergeCell ref="B7:B8"/>
    <mergeCell ref="N7:N8"/>
    <mergeCell ref="O7:O8"/>
    <mergeCell ref="P7:P8"/>
    <mergeCell ref="Q7:Q8"/>
    <mergeCell ref="B9:B10"/>
    <mergeCell ref="A15:A18"/>
    <mergeCell ref="B15:B16"/>
    <mergeCell ref="N15:N16"/>
    <mergeCell ref="O15:O16"/>
    <mergeCell ref="P15:P16"/>
    <mergeCell ref="N9:N10"/>
    <mergeCell ref="O9:O10"/>
    <mergeCell ref="P9:P10"/>
    <mergeCell ref="Q9:Q10"/>
    <mergeCell ref="A11:A14"/>
    <mergeCell ref="B11:B12"/>
    <mergeCell ref="N11:N12"/>
    <mergeCell ref="O11:O12"/>
    <mergeCell ref="P11:P12"/>
    <mergeCell ref="Q11:Q12"/>
    <mergeCell ref="Q15:Q16"/>
    <mergeCell ref="B17:B18"/>
    <mergeCell ref="N17:N18"/>
    <mergeCell ref="O17:O18"/>
    <mergeCell ref="P17:P18"/>
    <mergeCell ref="Q17:Q18"/>
    <mergeCell ref="B13:B14"/>
    <mergeCell ref="N13:N14"/>
    <mergeCell ref="O13:O14"/>
    <mergeCell ref="P13:P14"/>
    <mergeCell ref="Q13:Q14"/>
    <mergeCell ref="Q21:Q22"/>
    <mergeCell ref="A23:A26"/>
    <mergeCell ref="B23:B24"/>
    <mergeCell ref="N23:N24"/>
    <mergeCell ref="O23:O24"/>
    <mergeCell ref="P23:P24"/>
    <mergeCell ref="Q23:Q24"/>
    <mergeCell ref="B25:B26"/>
    <mergeCell ref="N25:N26"/>
    <mergeCell ref="O25:O26"/>
    <mergeCell ref="A19:A22"/>
    <mergeCell ref="B19:B20"/>
    <mergeCell ref="N19:N20"/>
    <mergeCell ref="O19:O20"/>
    <mergeCell ref="P19:P20"/>
    <mergeCell ref="Q19:Q20"/>
    <mergeCell ref="B21:B22"/>
    <mergeCell ref="N21:N22"/>
    <mergeCell ref="O21:O22"/>
    <mergeCell ref="P21:P22"/>
    <mergeCell ref="P25:P26"/>
    <mergeCell ref="Q25:Q26"/>
    <mergeCell ref="A27:A30"/>
    <mergeCell ref="B27:B28"/>
    <mergeCell ref="N27:N28"/>
    <mergeCell ref="O27:O28"/>
    <mergeCell ref="P27:P28"/>
    <mergeCell ref="Q27:Q28"/>
    <mergeCell ref="B29:B30"/>
    <mergeCell ref="N29:N30"/>
    <mergeCell ref="O29:O30"/>
    <mergeCell ref="P29:P30"/>
    <mergeCell ref="Q29:Q30"/>
    <mergeCell ref="A31:A34"/>
    <mergeCell ref="B31:B32"/>
    <mergeCell ref="N31:N32"/>
    <mergeCell ref="O31:O32"/>
    <mergeCell ref="P31:P32"/>
    <mergeCell ref="Q31:Q32"/>
    <mergeCell ref="B33:B34"/>
    <mergeCell ref="A39:A42"/>
    <mergeCell ref="B39:B40"/>
    <mergeCell ref="N39:N40"/>
    <mergeCell ref="O39:O40"/>
    <mergeCell ref="P39:P40"/>
    <mergeCell ref="N33:N34"/>
    <mergeCell ref="O33:O34"/>
    <mergeCell ref="P33:P34"/>
    <mergeCell ref="Q33:Q34"/>
    <mergeCell ref="A35:A38"/>
    <mergeCell ref="B35:B36"/>
    <mergeCell ref="N35:N36"/>
    <mergeCell ref="O35:O36"/>
    <mergeCell ref="P35:P36"/>
    <mergeCell ref="Q35:Q36"/>
    <mergeCell ref="Q39:Q40"/>
    <mergeCell ref="B41:B42"/>
    <mergeCell ref="N41:N42"/>
    <mergeCell ref="O41:O42"/>
    <mergeCell ref="P41:P42"/>
    <mergeCell ref="Q41:Q42"/>
    <mergeCell ref="B37:B38"/>
    <mergeCell ref="N37:N38"/>
    <mergeCell ref="O37:O38"/>
    <mergeCell ref="P37:P38"/>
    <mergeCell ref="Q37:Q38"/>
    <mergeCell ref="Q45:Q46"/>
    <mergeCell ref="A47:A50"/>
    <mergeCell ref="B47:B48"/>
    <mergeCell ref="N47:N48"/>
    <mergeCell ref="O47:O48"/>
    <mergeCell ref="P47:P48"/>
    <mergeCell ref="Q47:Q48"/>
    <mergeCell ref="B49:B50"/>
    <mergeCell ref="N49:N50"/>
    <mergeCell ref="O49:O50"/>
    <mergeCell ref="A43:A46"/>
    <mergeCell ref="B43:B44"/>
    <mergeCell ref="N43:N44"/>
    <mergeCell ref="O43:O44"/>
    <mergeCell ref="P43:P44"/>
    <mergeCell ref="Q43:Q44"/>
    <mergeCell ref="B45:B46"/>
    <mergeCell ref="N45:N46"/>
    <mergeCell ref="O45:O46"/>
    <mergeCell ref="P45:P46"/>
    <mergeCell ref="P49:P50"/>
    <mergeCell ref="Q49:Q50"/>
    <mergeCell ref="A51:A54"/>
    <mergeCell ref="B51:B52"/>
    <mergeCell ref="N51:N52"/>
    <mergeCell ref="O51:O52"/>
    <mergeCell ref="P51:P52"/>
    <mergeCell ref="Q51:Q52"/>
    <mergeCell ref="B53:B54"/>
    <mergeCell ref="N53:N54"/>
    <mergeCell ref="O53:O54"/>
    <mergeCell ref="P53:P54"/>
    <mergeCell ref="Q53:Q54"/>
    <mergeCell ref="A55:A58"/>
    <mergeCell ref="B55:B56"/>
    <mergeCell ref="N55:N56"/>
    <mergeCell ref="O55:O56"/>
    <mergeCell ref="P55:P56"/>
    <mergeCell ref="Q55:Q56"/>
    <mergeCell ref="B57:B58"/>
    <mergeCell ref="A63:A66"/>
    <mergeCell ref="B63:B64"/>
    <mergeCell ref="N63:N64"/>
    <mergeCell ref="O63:O64"/>
    <mergeCell ref="P63:P64"/>
    <mergeCell ref="N57:N58"/>
    <mergeCell ref="O57:O58"/>
    <mergeCell ref="P57:P58"/>
    <mergeCell ref="Q57:Q58"/>
    <mergeCell ref="A59:A62"/>
    <mergeCell ref="B59:B60"/>
    <mergeCell ref="N59:N60"/>
    <mergeCell ref="O59:O60"/>
    <mergeCell ref="P59:P60"/>
    <mergeCell ref="Q59:Q60"/>
    <mergeCell ref="Q63:Q64"/>
    <mergeCell ref="B65:B66"/>
    <mergeCell ref="N65:N66"/>
    <mergeCell ref="O65:O66"/>
    <mergeCell ref="P65:P66"/>
    <mergeCell ref="Q65:Q66"/>
    <mergeCell ref="B61:B62"/>
    <mergeCell ref="N61:N62"/>
    <mergeCell ref="O61:O62"/>
    <mergeCell ref="P61:P62"/>
    <mergeCell ref="Q61:Q62"/>
    <mergeCell ref="Q69:Q70"/>
    <mergeCell ref="A71:A74"/>
    <mergeCell ref="B71:B72"/>
    <mergeCell ref="N71:N72"/>
    <mergeCell ref="O71:O72"/>
    <mergeCell ref="P71:P72"/>
    <mergeCell ref="Q71:Q72"/>
    <mergeCell ref="B73:B74"/>
    <mergeCell ref="N73:N74"/>
    <mergeCell ref="O73:O74"/>
    <mergeCell ref="A67:A70"/>
    <mergeCell ref="B67:B68"/>
    <mergeCell ref="N67:N68"/>
    <mergeCell ref="O67:O68"/>
    <mergeCell ref="P67:P68"/>
    <mergeCell ref="Q67:Q68"/>
    <mergeCell ref="B69:B70"/>
    <mergeCell ref="N69:N70"/>
    <mergeCell ref="O69:O70"/>
    <mergeCell ref="P69:P70"/>
    <mergeCell ref="P73:P74"/>
    <mergeCell ref="Q73:Q74"/>
    <mergeCell ref="A75:A78"/>
    <mergeCell ref="B75:B76"/>
    <mergeCell ref="N75:N76"/>
    <mergeCell ref="O75:O76"/>
    <mergeCell ref="P75:P76"/>
    <mergeCell ref="Q75:Q76"/>
    <mergeCell ref="B77:B78"/>
    <mergeCell ref="N77:N78"/>
    <mergeCell ref="O77:O78"/>
    <mergeCell ref="P77:P78"/>
    <mergeCell ref="Q77:Q78"/>
    <mergeCell ref="A79:A82"/>
    <mergeCell ref="B79:B80"/>
    <mergeCell ref="N79:N80"/>
    <mergeCell ref="O79:O80"/>
    <mergeCell ref="P79:P80"/>
    <mergeCell ref="Q79:Q80"/>
    <mergeCell ref="B81:B82"/>
    <mergeCell ref="A87:A90"/>
    <mergeCell ref="B87:B88"/>
    <mergeCell ref="N87:N88"/>
    <mergeCell ref="O87:O88"/>
    <mergeCell ref="P87:P88"/>
    <mergeCell ref="N81:N82"/>
    <mergeCell ref="O81:O82"/>
    <mergeCell ref="P81:P82"/>
    <mergeCell ref="Q81:Q82"/>
    <mergeCell ref="A83:A86"/>
    <mergeCell ref="B83:B84"/>
    <mergeCell ref="N83:N84"/>
    <mergeCell ref="O83:O84"/>
    <mergeCell ref="P83:P84"/>
    <mergeCell ref="Q83:Q84"/>
    <mergeCell ref="Q87:Q88"/>
    <mergeCell ref="B89:B90"/>
    <mergeCell ref="N89:N90"/>
    <mergeCell ref="O89:O90"/>
    <mergeCell ref="P89:P90"/>
    <mergeCell ref="Q89:Q90"/>
    <mergeCell ref="B85:B86"/>
    <mergeCell ref="N85:N86"/>
    <mergeCell ref="O85:O86"/>
    <mergeCell ref="P85:P86"/>
    <mergeCell ref="Q85:Q86"/>
    <mergeCell ref="Q93:Q94"/>
    <mergeCell ref="A95:A98"/>
    <mergeCell ref="B95:B96"/>
    <mergeCell ref="N95:N96"/>
    <mergeCell ref="O95:O96"/>
    <mergeCell ref="P95:P96"/>
    <mergeCell ref="Q95:Q96"/>
    <mergeCell ref="B97:B98"/>
    <mergeCell ref="N97:N98"/>
    <mergeCell ref="O97:O98"/>
    <mergeCell ref="A91:A94"/>
    <mergeCell ref="B91:B92"/>
    <mergeCell ref="N91:N92"/>
    <mergeCell ref="O91:O92"/>
    <mergeCell ref="P91:P92"/>
    <mergeCell ref="Q91:Q92"/>
    <mergeCell ref="B93:B94"/>
    <mergeCell ref="N93:N94"/>
    <mergeCell ref="O93:O94"/>
    <mergeCell ref="P93:P94"/>
    <mergeCell ref="P97:P98"/>
    <mergeCell ref="Q97:Q98"/>
    <mergeCell ref="A99:A102"/>
    <mergeCell ref="B99:B100"/>
    <mergeCell ref="N99:N100"/>
    <mergeCell ref="O99:O100"/>
    <mergeCell ref="P99:P100"/>
    <mergeCell ref="Q99:Q100"/>
    <mergeCell ref="B101:B102"/>
    <mergeCell ref="N101:N102"/>
    <mergeCell ref="N105:N106"/>
    <mergeCell ref="O105:O106"/>
    <mergeCell ref="P105:P106"/>
    <mergeCell ref="Q105:Q106"/>
    <mergeCell ref="O101:O102"/>
    <mergeCell ref="P101:P102"/>
    <mergeCell ref="Q101:Q102"/>
    <mergeCell ref="A103:A106"/>
    <mergeCell ref="B103:B104"/>
    <mergeCell ref="N103:N104"/>
    <mergeCell ref="O103:O104"/>
    <mergeCell ref="P103:P104"/>
    <mergeCell ref="Q103:Q104"/>
    <mergeCell ref="B105:B106"/>
  </mergeCells>
  <conditionalFormatting sqref="N3:Q106">
    <cfRule type="colorScale" priority="1">
      <colorScale>
        <cfvo type="num" val="-1"/>
        <cfvo type="num" val="0"/>
        <cfvo type="num" val="1"/>
        <color rgb="FF92D050"/>
        <color rgb="FFFFC000"/>
        <color rgb="FFFF0000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BF48-E99A-4C28-B214-DDA17DC15C29}">
  <dimension ref="B2:AD48"/>
  <sheetViews>
    <sheetView zoomScaleNormal="100" workbookViewId="0">
      <selection activeCell="A12" sqref="A12:XFD12"/>
    </sheetView>
  </sheetViews>
  <sheetFormatPr baseColWidth="10" defaultRowHeight="15" x14ac:dyDescent="0.25"/>
  <cols>
    <col min="3" max="4" width="20.42578125" bestFit="1" customWidth="1"/>
    <col min="6" max="6" width="7.7109375" bestFit="1" customWidth="1"/>
    <col min="7" max="7" width="34" bestFit="1" customWidth="1"/>
    <col min="8" max="9" width="20.42578125" bestFit="1" customWidth="1"/>
    <col min="11" max="11" width="10.5703125" bestFit="1" customWidth="1"/>
    <col min="12" max="12" width="33.5703125" bestFit="1" customWidth="1"/>
    <col min="14" max="15" width="20.42578125" bestFit="1" customWidth="1"/>
    <col min="17" max="17" width="7.7109375" bestFit="1" customWidth="1"/>
    <col min="18" max="18" width="33.5703125" bestFit="1" customWidth="1"/>
    <col min="19" max="20" width="20.42578125" bestFit="1" customWidth="1"/>
    <col min="22" max="22" width="10.5703125" bestFit="1" customWidth="1"/>
    <col min="23" max="23" width="34" bestFit="1" customWidth="1"/>
    <col min="24" max="24" width="18.28515625" bestFit="1" customWidth="1"/>
    <col min="26" max="26" width="12.5703125" bestFit="1" customWidth="1"/>
    <col min="27" max="27" width="44.5703125" bestFit="1" customWidth="1"/>
    <col min="29" max="29" width="12.5703125" bestFit="1" customWidth="1"/>
    <col min="30" max="30" width="41.28515625" bestFit="1" customWidth="1"/>
  </cols>
  <sheetData>
    <row r="2" spans="2:30" x14ac:dyDescent="0.25">
      <c r="B2" s="49"/>
      <c r="C2" s="105" t="s">
        <v>149</v>
      </c>
      <c r="D2" s="105"/>
      <c r="E2" s="105"/>
      <c r="F2" s="105"/>
      <c r="G2" s="105"/>
      <c r="H2" s="105"/>
      <c r="I2" s="105"/>
      <c r="J2" s="105"/>
      <c r="K2" s="105"/>
      <c r="L2" s="105"/>
      <c r="N2" s="108" t="s">
        <v>150</v>
      </c>
      <c r="O2" s="109"/>
      <c r="P2" s="109"/>
      <c r="Q2" s="109"/>
      <c r="R2" s="109"/>
      <c r="S2" s="109"/>
      <c r="T2" s="109"/>
      <c r="U2" s="109"/>
      <c r="V2" s="109"/>
      <c r="W2" s="110"/>
    </row>
    <row r="3" spans="2:30" ht="15.75" x14ac:dyDescent="0.25">
      <c r="B3" s="49"/>
      <c r="C3" s="108" t="s">
        <v>100</v>
      </c>
      <c r="D3" s="109"/>
      <c r="E3" s="109"/>
      <c r="F3" s="109"/>
      <c r="G3" s="110"/>
      <c r="H3" s="105" t="s">
        <v>211</v>
      </c>
      <c r="I3" s="105"/>
      <c r="J3" s="105"/>
      <c r="K3" s="105"/>
      <c r="L3" s="105"/>
      <c r="N3" s="108" t="s">
        <v>100</v>
      </c>
      <c r="O3" s="109"/>
      <c r="P3" s="109"/>
      <c r="Q3" s="109"/>
      <c r="R3" s="109"/>
      <c r="S3" s="109" t="s">
        <v>211</v>
      </c>
      <c r="T3" s="109"/>
      <c r="U3" s="109"/>
      <c r="V3" s="51"/>
      <c r="W3" s="52"/>
      <c r="Z3" s="117" t="s">
        <v>211</v>
      </c>
      <c r="AA3" s="118"/>
      <c r="AC3" s="117" t="s">
        <v>211</v>
      </c>
      <c r="AD3" s="118"/>
    </row>
    <row r="4" spans="2:30" x14ac:dyDescent="0.25">
      <c r="B4" s="50" t="s">
        <v>97</v>
      </c>
      <c r="C4" s="40" t="s">
        <v>149</v>
      </c>
      <c r="D4" s="40" t="s">
        <v>150</v>
      </c>
      <c r="E4" s="40" t="s">
        <v>153</v>
      </c>
      <c r="F4" s="15" t="s">
        <v>214</v>
      </c>
      <c r="G4" s="15" t="s">
        <v>177</v>
      </c>
      <c r="H4" s="40" t="s">
        <v>149</v>
      </c>
      <c r="I4" s="40" t="s">
        <v>150</v>
      </c>
      <c r="J4" s="40" t="s">
        <v>153</v>
      </c>
      <c r="K4" s="40" t="s">
        <v>214</v>
      </c>
      <c r="L4" s="40" t="s">
        <v>177</v>
      </c>
      <c r="M4" s="50" t="s">
        <v>97</v>
      </c>
      <c r="N4" s="40" t="s">
        <v>149</v>
      </c>
      <c r="O4" s="40" t="s">
        <v>150</v>
      </c>
      <c r="P4" s="40" t="s">
        <v>153</v>
      </c>
      <c r="Q4" s="15" t="s">
        <v>214</v>
      </c>
      <c r="R4" s="40" t="s">
        <v>177</v>
      </c>
      <c r="S4" s="40" t="s">
        <v>149</v>
      </c>
      <c r="T4" s="40" t="s">
        <v>150</v>
      </c>
      <c r="U4" s="40" t="s">
        <v>153</v>
      </c>
      <c r="V4" s="15" t="s">
        <v>214</v>
      </c>
      <c r="W4" s="40" t="s">
        <v>177</v>
      </c>
      <c r="X4" s="74" t="s">
        <v>178</v>
      </c>
      <c r="Z4" s="108" t="s">
        <v>149</v>
      </c>
      <c r="AA4" s="110"/>
      <c r="AB4" s="53"/>
      <c r="AC4" s="108" t="s">
        <v>150</v>
      </c>
      <c r="AD4" s="110"/>
    </row>
    <row r="5" spans="2:30" x14ac:dyDescent="0.25">
      <c r="B5" s="77" t="s">
        <v>156</v>
      </c>
      <c r="C5" s="75" cm="1">
        <f t="array" aca="1" ref="C5" ca="1">INDIRECT("'C Impact of Technique'!D" &amp; 3 + (ROW(A1)-1)*4)</f>
        <v>4.7110000000000003</v>
      </c>
      <c r="D5" s="75" cm="1">
        <f t="array" aca="1" ref="D5" ca="1">INDIRECT("'C Impact of Technique'!D" &amp; 4 + (ROW(A1)-1)*4)</f>
        <v>3.6640000000000001</v>
      </c>
      <c r="E5" s="75" cm="1">
        <f t="array" aca="1" ref="E5" ca="1">INDIRECT("'C Impact of Technique'!N" &amp; 3 + (ROW(A1)-1)*4)*100</f>
        <v>-22.224580768414352</v>
      </c>
      <c r="F5" s="78">
        <v>2.8719490663203402E-11</v>
      </c>
      <c r="G5" s="4" t="s">
        <v>186</v>
      </c>
      <c r="H5" s="75" cm="1">
        <f t="array" aca="1" ref="H5" ca="1">INDIRECT("'C Impact of Technique'!M" &amp; 3 + (ROW(A1)-1)*4)</f>
        <v>214.35050000000001</v>
      </c>
      <c r="I5" s="75" cm="1">
        <f t="array" aca="1" ref="I5" ca="1">INDIRECT("'C Impact of Technique'!M" &amp; 4 + (ROW(A1)-1)*4)</f>
        <v>140.77088000000001</v>
      </c>
      <c r="J5" s="75" cm="1">
        <f t="array" aca="1" ref="J5" ca="1">INDIRECT("'C Impact of Technique'!Q" &amp; 3 + (ROW(A1)-1)*4)*100</f>
        <v>-34.326777870823719</v>
      </c>
      <c r="K5" s="75">
        <v>2.8719490663203402E-11</v>
      </c>
      <c r="L5" s="75" t="s">
        <v>186</v>
      </c>
      <c r="M5" s="79" t="s">
        <v>156</v>
      </c>
      <c r="N5" s="75" cm="1">
        <f t="array" aca="1" ref="N5" ca="1">INDIRECT("'C Impact of Technique'!D" &amp; 5 + (ROW(A1)-1)*4)</f>
        <v>3.141</v>
      </c>
      <c r="O5" s="75" cm="1">
        <f t="array" aca="1" ref="O5" ca="1">INDIRECT("'C Impact of Technique'!D" &amp; 6 + (ROW(A1)-1)*4)</f>
        <v>1.048</v>
      </c>
      <c r="P5" s="75" cm="1">
        <f t="array" aca="1" ref="P5" ca="1">INDIRECT("'C Impact of Technique'!N" &amp; 5 + (ROW(A1)-1)*4)*100</f>
        <v>-66.634829672078951</v>
      </c>
      <c r="Q5" s="75">
        <v>2.8719490663203402E-11</v>
      </c>
      <c r="R5" s="75" t="s">
        <v>186</v>
      </c>
      <c r="S5" s="75" cm="1">
        <f t="array" aca="1" ref="S5" ca="1">INDIRECT("'C Impact of Technique'!M" &amp; 5 + (ROW(A1)-1)*4)</f>
        <v>121.71375</v>
      </c>
      <c r="T5" s="75" cm="1">
        <f t="array" aca="1" ref="T5" ca="1">INDIRECT("'C Impact of Technique'!M" &amp; 6 + (ROW(A1)-1)*4)</f>
        <v>23.003599999999999</v>
      </c>
      <c r="U5" s="75" cm="1">
        <f t="array" aca="1" ref="U5" ca="1">INDIRECT("'C Impact of Technique'!Q" &amp; 5 + (ROW(A1)-1)*4)*100</f>
        <v>-81.100245452958262</v>
      </c>
      <c r="V5" s="75">
        <v>2.8719490663203402E-11</v>
      </c>
      <c r="W5" s="75" t="s">
        <v>186</v>
      </c>
      <c r="X5" s="75">
        <f ca="1">AVERAGE(J5,U5)</f>
        <v>-57.71351166189099</v>
      </c>
      <c r="Z5" s="15" t="s">
        <v>155</v>
      </c>
      <c r="AA5" s="15" t="s">
        <v>154</v>
      </c>
      <c r="AB5" s="53"/>
      <c r="AC5" s="15" t="s">
        <v>155</v>
      </c>
      <c r="AD5" s="15" t="s">
        <v>154</v>
      </c>
    </row>
    <row r="6" spans="2:30" x14ac:dyDescent="0.25">
      <c r="B6" s="77" t="s">
        <v>157</v>
      </c>
      <c r="C6" s="75" cm="1">
        <f t="array" aca="1" ref="C6" ca="1">INDIRECT("'C Impact of Technique'!D" &amp; 3 + (ROW(A2)-1)*4)</f>
        <v>409.55500000000001</v>
      </c>
      <c r="D6" s="75" cm="1">
        <f t="array" aca="1" ref="D6" ca="1">INDIRECT("'C Impact of Technique'!D" &amp; 4 + (ROW(A2)-1)*4)</f>
        <v>530.04200000000003</v>
      </c>
      <c r="E6" s="75" cm="1">
        <f t="array" aca="1" ref="E6" ca="1">INDIRECT("'C Impact of Technique'!N" &amp; 3 + (ROW(A2)-1)*4)*100</f>
        <v>29.419003552636404</v>
      </c>
      <c r="F6" s="78">
        <v>2.8719490663203402E-11</v>
      </c>
      <c r="G6" s="4" t="s">
        <v>186</v>
      </c>
      <c r="H6" s="75" cm="1">
        <f t="array" aca="1" ref="H6" ca="1">INDIRECT("'C Impact of Technique'!M" &amp; 3 + (ROW(A2)-1)*4)</f>
        <v>22783.54465</v>
      </c>
      <c r="I6" s="75" cm="1">
        <f t="array" aca="1" ref="I6" ca="1">INDIRECT("'C Impact of Technique'!M" &amp; 4 + (ROW(A2)-1)*4)</f>
        <v>27747.698700000001</v>
      </c>
      <c r="J6" s="75" cm="1">
        <f t="array" aca="1" ref="J6" ca="1">INDIRECT("'C Impact of Technique'!Q" &amp; 3 + (ROW(A2)-1)*4)*100</f>
        <v>21.78833068453201</v>
      </c>
      <c r="K6" s="75">
        <v>2.8719490663203402E-11</v>
      </c>
      <c r="L6" s="75" t="s">
        <v>186</v>
      </c>
      <c r="M6" s="79" t="s">
        <v>157</v>
      </c>
      <c r="N6" s="75" cm="1">
        <f t="array" aca="1" ref="N6" ca="1">INDIRECT("'C Impact of Technique'!D" &amp; 5 + (ROW(A2)-1)*4)</f>
        <v>0.52600000000000002</v>
      </c>
      <c r="O6" s="75" cm="1">
        <f t="array" aca="1" ref="O6" ca="1">INDIRECT("'C Impact of Technique'!D" &amp; 6 + (ROW(A2)-1)*4)</f>
        <v>0.52600000000000002</v>
      </c>
      <c r="P6" s="75" cm="1">
        <f t="array" aca="1" ref="P6" ca="1">INDIRECT("'C Impact of Technique'!N" &amp; 5 + (ROW(A2)-1)*4)*100</f>
        <v>0</v>
      </c>
      <c r="Q6" s="75">
        <v>0.84758748025933195</v>
      </c>
      <c r="R6" s="75" t="s">
        <v>186</v>
      </c>
      <c r="S6" s="75" cm="1">
        <f t="array" aca="1" ref="S6" ca="1">INDIRECT("'C Impact of Technique'!M" &amp; 5 + (ROW(A2)-1)*4)</f>
        <v>6.3856400000000004</v>
      </c>
      <c r="T6" s="75" cm="1">
        <f t="array" aca="1" ref="T6" ca="1">INDIRECT("'C Impact of Technique'!M" &amp; 6 + (ROW(A2)-1)*4)</f>
        <v>5.4809200000000002</v>
      </c>
      <c r="U6" s="75" cm="1">
        <f t="array" aca="1" ref="U6" ca="1">INDIRECT("'C Impact of Technique'!Q" &amp; 5 + (ROW(A2)-1)*4)*100</f>
        <v>-14.168039538714993</v>
      </c>
      <c r="V6" s="75">
        <v>2.8913253050786149E-3</v>
      </c>
      <c r="W6" s="75" t="s">
        <v>186</v>
      </c>
      <c r="X6" s="75">
        <f t="shared" ref="X6:X30" ca="1" si="0">AVERAGE(J6,U6)</f>
        <v>3.8101455729085085</v>
      </c>
      <c r="Z6" s="54" t="s">
        <v>161</v>
      </c>
      <c r="AA6" s="29" t="str" cm="1">
        <f t="array" aca="1" ref="AA6" ca="1">_xlfn.TEXTJOIN(", ", TRUE, IF(J5:J30 &lt;= -75, B5:B30, ""))</f>
        <v>T10</v>
      </c>
      <c r="AC6" s="54" t="s">
        <v>161</v>
      </c>
      <c r="AD6" s="29" t="str" cm="1">
        <f t="array" aca="1" ref="AD6" ca="1">_xlfn.TEXTJOIN(", ", TRUE, IF(U5:U30 &lt;= -75, M5:M30, ""))</f>
        <v>T4, T8, T10, T26, T40</v>
      </c>
    </row>
    <row r="7" spans="2:30" x14ac:dyDescent="0.25">
      <c r="B7" s="77" t="s">
        <v>158</v>
      </c>
      <c r="C7" s="75" cm="1">
        <f t="array" aca="1" ref="C7" ca="1">INDIRECT("'C Impact of Technique'!D" &amp; 3 + (ROW(A3)-1)*4)</f>
        <v>2.0939999999999999</v>
      </c>
      <c r="D7" s="75" cm="1">
        <f t="array" aca="1" ref="D7" ca="1">INDIRECT("'C Impact of Technique'!D" &amp; 4 + (ROW(A3)-1)*4)</f>
        <v>1.0469999999999999</v>
      </c>
      <c r="E7" s="75" cm="1">
        <f t="array" aca="1" ref="E7" ca="1">INDIRECT("'C Impact of Technique'!N" &amp; 3 + (ROW(A3)-1)*4)*100</f>
        <v>-50</v>
      </c>
      <c r="F7" s="78">
        <v>2.8719490663203402E-11</v>
      </c>
      <c r="G7" s="4" t="s">
        <v>186</v>
      </c>
      <c r="H7" s="75" cm="1">
        <f t="array" aca="1" ref="H7" ca="1">INDIRECT("'C Impact of Technique'!M" &amp; 3 + (ROW(A3)-1)*4)</f>
        <v>57.187139999999992</v>
      </c>
      <c r="I7" s="75" cm="1">
        <f t="array" aca="1" ref="I7" ca="1">INDIRECT("'C Impact of Technique'!M" &amp; 4 + (ROW(A3)-1)*4)</f>
        <v>26.19594</v>
      </c>
      <c r="J7" s="75" cm="1">
        <f t="array" aca="1" ref="J7" ca="1">INDIRECT("'C Impact of Technique'!Q" &amp; 3 + (ROW(A3)-1)*4)*100</f>
        <v>-54.192603441962639</v>
      </c>
      <c r="K7" s="75">
        <v>2.8719490663203402E-11</v>
      </c>
      <c r="L7" s="75" t="s">
        <v>186</v>
      </c>
      <c r="M7" s="79" t="s">
        <v>158</v>
      </c>
      <c r="N7" s="75" cm="1">
        <f t="array" aca="1" ref="N7" ca="1">INDIRECT("'C Impact of Technique'!D" &amp; 5 + (ROW(A3)-1)*4)</f>
        <v>2.0939999999999999</v>
      </c>
      <c r="O7" s="75" cm="1">
        <f t="array" aca="1" ref="O7" ca="1">INDIRECT("'C Impact of Technique'!D" &amp; 6 + (ROW(A3)-1)*4)</f>
        <v>1.0469999999999999</v>
      </c>
      <c r="P7" s="75" cm="1">
        <f t="array" aca="1" ref="P7" ca="1">INDIRECT("'C Impact of Technique'!N" &amp; 5 + (ROW(A3)-1)*4)*100</f>
        <v>-50</v>
      </c>
      <c r="Q7" s="75">
        <v>2.8719490663203402E-11</v>
      </c>
      <c r="R7" s="75" t="s">
        <v>186</v>
      </c>
      <c r="S7" s="75" cm="1">
        <f t="array" aca="1" ref="S7" ca="1">INDIRECT("'C Impact of Technique'!M" &amp; 5 + (ROW(A3)-1)*4)</f>
        <v>58.820459999999997</v>
      </c>
      <c r="T7" s="75" cm="1">
        <f t="array" aca="1" ref="T7" ca="1">INDIRECT("'C Impact of Technique'!M" &amp; 6 + (ROW(A3)-1)*4)</f>
        <v>26.635680000000001</v>
      </c>
      <c r="U7" s="75" cm="1">
        <f t="array" aca="1" ref="U7" ca="1">INDIRECT("'C Impact of Technique'!Q" &amp; 5 + (ROW(A3)-1)*4)*100</f>
        <v>-54.716981132075468</v>
      </c>
      <c r="V7" s="75">
        <v>2.8719490663203402E-11</v>
      </c>
      <c r="W7" s="75" t="s">
        <v>186</v>
      </c>
      <c r="X7" s="75">
        <f t="shared" ca="1" si="0"/>
        <v>-54.454792287019053</v>
      </c>
      <c r="Z7" s="55" t="s">
        <v>162</v>
      </c>
      <c r="AA7" s="29" t="str" cm="1">
        <f t="array" aca="1" ref="AA7" ca="1">_xlfn.TEXTJOIN(", ", TRUE, IF((J5:J30 &gt; -75) * (J5:J30 &lt;= -25), B5:B30, ""))</f>
        <v>T4, T7, T20, T49, T50</v>
      </c>
      <c r="AC7" s="55" t="s">
        <v>162</v>
      </c>
      <c r="AD7" s="29" t="str" cm="1">
        <f t="array" aca="1" ref="AD7" ca="1">_xlfn.TEXTJOIN(", ", TRUE, IF((U5:U30 &gt; -75) * (U5:U30 &lt;= -25), M5:M30, ""))</f>
        <v>T7, T11</v>
      </c>
    </row>
    <row r="8" spans="2:30" x14ac:dyDescent="0.25">
      <c r="B8" s="77" t="s">
        <v>160</v>
      </c>
      <c r="C8" s="75" cm="1">
        <f t="array" aca="1" ref="C8" ca="1">INDIRECT("'C Impact of Technique'!D" &amp; 3 + (ROW(A4)-1)*4)</f>
        <v>4.7119999999999997</v>
      </c>
      <c r="D8" s="75" cm="1">
        <f t="array" aca="1" ref="D8" ca="1">INDIRECT("'C Impact of Technique'!D" &amp; 4 + (ROW(A4)-1)*4)</f>
        <v>5.2919999999999998</v>
      </c>
      <c r="E8" s="75" cm="1">
        <f t="array" aca="1" ref="E8" ca="1">INDIRECT("'C Impact of Technique'!N" &amp; 3 + (ROW(A4)-1)*4)*100</f>
        <v>12.308998302207133</v>
      </c>
      <c r="F8" s="78">
        <v>2.8719490663203402E-11</v>
      </c>
      <c r="G8" s="4" t="s">
        <v>186</v>
      </c>
      <c r="H8" s="75" cm="1">
        <f t="array" aca="1" ref="H8" ca="1">INDIRECT("'C Impact of Technique'!M" &amp; 3 + (ROW(A4)-1)*4)</f>
        <v>228.43776</v>
      </c>
      <c r="I8" s="75" cm="1">
        <f t="array" aca="1" ref="I8" ca="1">INDIRECT("'C Impact of Technique'!M" &amp; 4 + (ROW(A4)-1)*4)</f>
        <v>268.25148000000002</v>
      </c>
      <c r="J8" s="75" cm="1">
        <f t="array" aca="1" ref="J8" ca="1">INDIRECT("'C Impact of Technique'!Q" &amp; 3 + (ROW(A4)-1)*4)*100</f>
        <v>17.42869480071947</v>
      </c>
      <c r="K8" s="75">
        <v>2.8719490663203402E-11</v>
      </c>
      <c r="L8" s="75" t="s">
        <v>186</v>
      </c>
      <c r="M8" s="79" t="s">
        <v>160</v>
      </c>
      <c r="N8" s="75" cm="1">
        <f t="array" aca="1" ref="N8" ca="1">INDIRECT("'C Impact of Technique'!D" &amp; 5 + (ROW(A4)-1)*4)</f>
        <v>22.956</v>
      </c>
      <c r="O8" s="75" cm="1">
        <f t="array" aca="1" ref="O8" ca="1">INDIRECT("'C Impact of Technique'!D" &amp; 6 + (ROW(A4)-1)*4)</f>
        <v>4.3449999999999998</v>
      </c>
      <c r="P8" s="75" cm="1">
        <f t="array" aca="1" ref="P8" ca="1">INDIRECT("'C Impact of Technique'!N" &amp; 5 + (ROW(A4)-1)*4)*100</f>
        <v>-81.07248649590521</v>
      </c>
      <c r="Q8" s="75">
        <v>2.8719490663203402E-11</v>
      </c>
      <c r="R8" s="75" t="s">
        <v>186</v>
      </c>
      <c r="S8" s="75" cm="1">
        <f t="array" aca="1" ref="S8" ca="1">INDIRECT("'C Impact of Technique'!M" &amp; 5 + (ROW(A4)-1)*4)</f>
        <v>1061.0263199999999</v>
      </c>
      <c r="T8" s="75" cm="1">
        <f t="array" aca="1" ref="T8" ca="1">INDIRECT("'C Impact of Technique'!M" &amp; 6 + (ROW(A4)-1)*4)</f>
        <v>206.08335</v>
      </c>
      <c r="U8" s="75" cm="1">
        <f t="array" aca="1" ref="U8" ca="1">INDIRECT("'C Impact of Technique'!Q" &amp; 5 + (ROW(A4)-1)*4)*100</f>
        <v>-80.576980408930851</v>
      </c>
      <c r="V8" s="75">
        <v>2.8719490663203402E-11</v>
      </c>
      <c r="W8" s="75" t="s">
        <v>186</v>
      </c>
      <c r="X8" s="75">
        <f t="shared" ca="1" si="0"/>
        <v>-31.574142804105691</v>
      </c>
      <c r="Z8" s="56" t="s">
        <v>167</v>
      </c>
      <c r="AA8" s="29" t="str" cm="1">
        <f t="array" aca="1" ref="AA8" ca="1">_xlfn.TEXTJOIN(", ", TRUE, IF((J5:J30 &gt; -25) * (J5:J30 &lt;= -3), B5:B30, ""))</f>
        <v>T9, T11, T12, T16, T25, T32, T36, T40, T44, T51</v>
      </c>
      <c r="AC8" s="56" t="s">
        <v>167</v>
      </c>
      <c r="AD8" s="29" t="str" cm="1">
        <f t="array" aca="1" ref="AD8" ca="1">_xlfn.TEXTJOIN(", ", TRUE, IF((U5:U30 &gt; -25) * (U5:U30 &lt;= -3), M5:M30, ""))</f>
        <v>T5, T9, T13, T17, T25, T28, T51</v>
      </c>
    </row>
    <row r="9" spans="2:30" x14ac:dyDescent="0.25">
      <c r="B9" s="77" t="s">
        <v>159</v>
      </c>
      <c r="C9" s="75" cm="1">
        <f t="array" aca="1" ref="C9" ca="1">INDIRECT("'C Impact of Technique'!D" &amp; 3 + (ROW(A5)-1)*4)</f>
        <v>0.54100000000000004</v>
      </c>
      <c r="D9" s="75" cm="1">
        <f t="array" aca="1" ref="D9" ca="1">INDIRECT("'C Impact of Technique'!D" &amp; 4 + (ROW(A5)-1)*4)</f>
        <v>0.54100000000000004</v>
      </c>
      <c r="E9" s="75" cm="1">
        <f t="array" aca="1" ref="E9" ca="1">INDIRECT("'C Impact of Technique'!N" &amp; 3 + (ROW(A5)-1)*4)*100</f>
        <v>0</v>
      </c>
      <c r="F9" s="78">
        <v>0.6952153990669101</v>
      </c>
      <c r="G9" s="4" t="s">
        <v>216</v>
      </c>
      <c r="H9" s="75" cm="1">
        <f t="array" aca="1" ref="H9" ca="1">INDIRECT("'C Impact of Technique'!M" &amp; 3 + (ROW(A5)-1)*4)</f>
        <v>8.0122100000000014</v>
      </c>
      <c r="I9" s="75" cm="1">
        <f t="array" aca="1" ref="I9" ca="1">INDIRECT("'C Impact of Technique'!M" &amp; 4 + (ROW(A5)-1)*4)</f>
        <v>7.3035000000000014</v>
      </c>
      <c r="J9" s="75" cm="1">
        <f t="array" aca="1" ref="J9" ca="1">INDIRECT("'C Impact of Technique'!Q" &amp; 3 + (ROW(A5)-1)*4)*100</f>
        <v>-8.8453747467927055</v>
      </c>
      <c r="K9" s="75">
        <v>0.11707984600504451</v>
      </c>
      <c r="L9" s="75" t="s">
        <v>216</v>
      </c>
      <c r="M9" s="79" t="s">
        <v>159</v>
      </c>
      <c r="N9" s="75" cm="1">
        <f t="array" aca="1" ref="N9" ca="1">INDIRECT("'C Impact of Technique'!D" &amp; 5 + (ROW(A5)-1)*4)</f>
        <v>0.52300000000000002</v>
      </c>
      <c r="O9" s="75" cm="1">
        <f t="array" aca="1" ref="O9" ca="1">INDIRECT("'C Impact of Technique'!D" &amp; 6 + (ROW(A5)-1)*4)</f>
        <v>0.54100000000000004</v>
      </c>
      <c r="P9" s="75" cm="1">
        <f t="array" aca="1" ref="P9" ca="1">INDIRECT("'C Impact of Technique'!N" &amp; 5 + (ROW(A5)-1)*4)*100</f>
        <v>3.4416826003824119</v>
      </c>
      <c r="Q9" s="75">
        <v>0.95873149081344367</v>
      </c>
      <c r="R9" s="75" t="s">
        <v>216</v>
      </c>
      <c r="S9" s="75" cm="1">
        <f t="array" aca="1" ref="S9" ca="1">INDIRECT("'C Impact of Technique'!M" &amp; 5 + (ROW(A5)-1)*4)</f>
        <v>7.0866500000000006</v>
      </c>
      <c r="T9" s="75" cm="1">
        <f t="array" aca="1" ref="T9" ca="1">INDIRECT("'C Impact of Technique'!M" &amp; 6 + (ROW(A5)-1)*4)</f>
        <v>6.8166000000000002</v>
      </c>
      <c r="U9" s="75" cm="1">
        <f t="array" aca="1" ref="U9" ca="1">INDIRECT("'C Impact of Technique'!Q" &amp; 5 + (ROW(A5)-1)*4)*100</f>
        <v>-3.8106862904193144</v>
      </c>
      <c r="V9" s="75">
        <v>5.8436846828420659E-2</v>
      </c>
      <c r="W9" s="75" t="s">
        <v>216</v>
      </c>
      <c r="X9" s="75">
        <f t="shared" ca="1" si="0"/>
        <v>-6.3280305186060097</v>
      </c>
      <c r="Z9" s="57" t="s">
        <v>163</v>
      </c>
      <c r="AA9" s="29" t="str" cm="1">
        <f t="array" aca="1" ref="AA9" ca="1">_xlfn.TEXTJOIN(", ", TRUE, IF((J5:J30 &gt; -3) * (J5:J30 &lt; 3), B5:B30, ""))</f>
        <v>T13, T17, T26, T29, T33</v>
      </c>
      <c r="AC9" s="57" t="s">
        <v>163</v>
      </c>
      <c r="AD9" s="29" t="str" cm="1">
        <f t="array" aca="1" ref="AD9" ca="1">_xlfn.TEXTJOIN(", ", TRUE, IF((U5:U30 &gt; -3) * (U5:U30 &lt; 3), M5:M30, ""))</f>
        <v/>
      </c>
    </row>
    <row r="10" spans="2:30" x14ac:dyDescent="0.25">
      <c r="B10" s="77" t="s">
        <v>19</v>
      </c>
      <c r="C10" s="75" cm="1">
        <f t="array" aca="1" ref="C10" ca="1">INDIRECT("'C Impact of Technique'!D" &amp; 3 + (ROW(A6)-1)*4)</f>
        <v>82.099000000000004</v>
      </c>
      <c r="D10" s="75" cm="1">
        <f t="array" aca="1" ref="D10" ca="1">INDIRECT("'C Impact of Technique'!D" &amp; 4 + (ROW(A6)-1)*4)</f>
        <v>1.052</v>
      </c>
      <c r="E10" s="75" cm="1">
        <f t="array" aca="1" ref="E10" ca="1">INDIRECT("'C Impact of Technique'!N" &amp; 3 + (ROW(A6)-1)*4)*100</f>
        <v>-98.718620202438515</v>
      </c>
      <c r="F10" s="78">
        <v>2.8719490663203402E-11</v>
      </c>
      <c r="G10" s="4" t="s">
        <v>186</v>
      </c>
      <c r="H10" s="75" cm="1">
        <f t="array" aca="1" ref="H10" ca="1">INDIRECT("'C Impact of Technique'!M" &amp; 3 + (ROW(A6)-1)*4)</f>
        <v>4994.9031600000008</v>
      </c>
      <c r="I10" s="75" cm="1">
        <f t="array" aca="1" ref="I10" ca="1">INDIRECT("'C Impact of Technique'!M" &amp; 4 + (ROW(A6)-1)*4)</f>
        <v>15.369719999999999</v>
      </c>
      <c r="J10" s="75" cm="1">
        <f t="array" aca="1" ref="J10" ca="1">INDIRECT("'C Impact of Technique'!Q" &amp; 3 + (ROW(A6)-1)*4)*100</f>
        <v>-99.692291932242398</v>
      </c>
      <c r="K10" s="75">
        <v>2.8719490663203402E-11</v>
      </c>
      <c r="L10" s="75" t="s">
        <v>186</v>
      </c>
      <c r="M10" s="79" t="s">
        <v>19</v>
      </c>
      <c r="N10" s="75" cm="1">
        <f t="array" aca="1" ref="N10" ca="1">INDIRECT("'C Impact of Technique'!D" &amp; 5 + (ROW(A6)-1)*4)</f>
        <v>81.534000000000006</v>
      </c>
      <c r="O10" s="75" cm="1">
        <f t="array" aca="1" ref="O10" ca="1">INDIRECT("'C Impact of Technique'!D" &amp; 6 + (ROW(A6)-1)*4)</f>
        <v>0.52600000000000002</v>
      </c>
      <c r="P10" s="75" cm="1">
        <f t="array" aca="1" ref="P10" ca="1">INDIRECT("'C Impact of Technique'!N" &amp; 5 + (ROW(A6)-1)*4)*100</f>
        <v>-99.354870360831072</v>
      </c>
      <c r="Q10" s="75">
        <v>2.8719490663203402E-11</v>
      </c>
      <c r="R10" s="75" t="s">
        <v>186</v>
      </c>
      <c r="S10" s="75" cm="1">
        <f t="array" aca="1" ref="S10" ca="1">INDIRECT("'C Impact of Technique'!M" &amp; 5 + (ROW(A6)-1)*4)</f>
        <v>4852.9036800000003</v>
      </c>
      <c r="T10" s="75" cm="1">
        <f t="array" aca="1" ref="T10" ca="1">INDIRECT("'C Impact of Technique'!M" &amp; 6 + (ROW(A6)-1)*4)</f>
        <v>6.2331000000000003</v>
      </c>
      <c r="U10" s="75" cm="1">
        <f t="array" aca="1" ref="U10" ca="1">INDIRECT("'C Impact of Technique'!Q" &amp; 5 + (ROW(A6)-1)*4)*100</f>
        <v>-99.871559371234</v>
      </c>
      <c r="V10" s="75">
        <v>2.8719490663203402E-11</v>
      </c>
      <c r="W10" s="75" t="s">
        <v>186</v>
      </c>
      <c r="X10" s="75">
        <f t="shared" ca="1" si="0"/>
        <v>-99.781925651738192</v>
      </c>
      <c r="Z10" s="58" t="s">
        <v>164</v>
      </c>
      <c r="AA10" s="29" t="str" cm="1">
        <f t="array" aca="1" ref="AA10" ca="1">_xlfn.TEXTJOIN(", ", TRUE, IF((J5:J30 &gt;= 3) * (J5:J30 &lt; 25), B5:B30, ""))</f>
        <v>T5, T8</v>
      </c>
      <c r="AC10" s="58" t="s">
        <v>164</v>
      </c>
      <c r="AD10" s="29" t="str" cm="1">
        <f t="array" aca="1" ref="AD10" ca="1">_xlfn.TEXTJOIN(", ", TRUE, IF((U5:U30 &gt;= 3) * (U5:U30 &lt; 25), M5:M30, ""))</f>
        <v>T12, T16, T19, T29, T32, T33, T36, T44, T50</v>
      </c>
    </row>
    <row r="11" spans="2:30" x14ac:dyDescent="0.25">
      <c r="B11" s="77" t="s">
        <v>21</v>
      </c>
      <c r="C11" s="75" cm="1">
        <f t="array" aca="1" ref="C11" ca="1">INDIRECT("'C Impact of Technique'!D" &amp; 3 + (ROW(A7)-1)*4)</f>
        <v>2.0939999999999999</v>
      </c>
      <c r="D11" s="75" cm="1">
        <f t="array" aca="1" ref="D11" ca="1">INDIRECT("'C Impact of Technique'!D" &amp; 4 + (ROW(A7)-1)*4)</f>
        <v>2.0939999999999999</v>
      </c>
      <c r="E11" s="75" cm="1">
        <f t="array" aca="1" ref="E11" ca="1">INDIRECT("'C Impact of Technique'!N" &amp; 3 + (ROW(A7)-1)*4)*100</f>
        <v>0</v>
      </c>
      <c r="F11" s="78">
        <v>0.18332122622250846</v>
      </c>
      <c r="G11" s="4" t="s">
        <v>216</v>
      </c>
      <c r="H11" s="75" cm="1">
        <f t="array" aca="1" ref="H11" ca="1">INDIRECT("'C Impact of Technique'!M" &amp; 3 + (ROW(A7)-1)*4)</f>
        <v>75.258359999999996</v>
      </c>
      <c r="I11" s="75" cm="1">
        <f t="array" aca="1" ref="I11" ca="1">INDIRECT("'C Impact of Technique'!M" &amp; 4 + (ROW(A7)-1)*4)</f>
        <v>66.882359999999991</v>
      </c>
      <c r="J11" s="75" cm="1">
        <f t="array" aca="1" ref="J11" ca="1">INDIRECT("'C Impact of Technique'!Q" &amp; 3 + (ROW(A7)-1)*4)*100</f>
        <v>-11.129660545353373</v>
      </c>
      <c r="K11" s="75">
        <v>4.7340206841989269E-11</v>
      </c>
      <c r="L11" s="75" t="s">
        <v>186</v>
      </c>
      <c r="M11" s="79" t="s">
        <v>21</v>
      </c>
      <c r="N11" s="75" cm="1">
        <f t="array" aca="1" ref="N11" ca="1">INDIRECT("'C Impact of Technique'!D" &amp; 5 + (ROW(A7)-1)*4)</f>
        <v>1.0469999999999999</v>
      </c>
      <c r="O11" s="75" cm="1">
        <f t="array" aca="1" ref="O11" ca="1">INDIRECT("'C Impact of Technique'!D" &amp; 6 + (ROW(A7)-1)*4)</f>
        <v>1.0469999999999999</v>
      </c>
      <c r="P11" s="75" cm="1">
        <f t="array" aca="1" ref="P11" ca="1">INDIRECT("'C Impact of Technique'!N" &amp; 5 + (ROW(A7)-1)*4)*100</f>
        <v>0</v>
      </c>
      <c r="Q11" s="75">
        <v>0.62040372062775251</v>
      </c>
      <c r="R11" s="75" t="s">
        <v>216</v>
      </c>
      <c r="S11" s="75" cm="1">
        <f t="array" aca="1" ref="S11" ca="1">INDIRECT("'C Impact of Technique'!M" &amp; 5 + (ROW(A7)-1)*4)</f>
        <v>27.127770000000002</v>
      </c>
      <c r="T11" s="75" cm="1">
        <f t="array" aca="1" ref="T11" ca="1">INDIRECT("'C Impact of Technique'!M" &amp; 6 + (ROW(A7)-1)*4)</f>
        <v>18.60519</v>
      </c>
      <c r="U11" s="75" cm="1">
        <f t="array" aca="1" ref="U11" ca="1">INDIRECT("'C Impact of Technique'!Q" &amp; 5 + (ROW(A7)-1)*4)*100</f>
        <v>-31.416441528367429</v>
      </c>
      <c r="V11" s="75">
        <v>2.8719490663203402E-11</v>
      </c>
      <c r="W11" s="75" t="s">
        <v>186</v>
      </c>
      <c r="X11" s="75">
        <f t="shared" ca="1" si="0"/>
        <v>-21.273051036860402</v>
      </c>
      <c r="Z11" s="59" t="s">
        <v>165</v>
      </c>
      <c r="AA11" s="29" t="str" cm="1">
        <f t="array" aca="1" ref="AA11" ca="1">_xlfn.TEXTJOIN(", ", TRUE, IF((J5:J30 &gt;= 25) * (J5:J30 &lt; 75), B5:B30, ""))</f>
        <v>T19, T31</v>
      </c>
      <c r="AC11" s="59" t="s">
        <v>165</v>
      </c>
      <c r="AD11" s="29" t="str" cm="1">
        <f t="array" aca="1" ref="AD11" ca="1">_xlfn.TEXTJOIN(", ", TRUE, IF((U5:U30 &gt;= 25) * (U5:U30 &lt; 75), M5:M30, ""))</f>
        <v>T20, T31</v>
      </c>
    </row>
    <row r="12" spans="2:30" x14ac:dyDescent="0.25">
      <c r="B12" s="77" t="s">
        <v>23</v>
      </c>
      <c r="C12" s="75" cm="1">
        <f t="array" aca="1" ref="C12" ca="1">INDIRECT("'C Impact of Technique'!D" &amp; 3 + (ROW(A8)-1)*4)</f>
        <v>1.0469999999999999</v>
      </c>
      <c r="D12" s="75" cm="1">
        <f t="array" aca="1" ref="D12" ca="1">INDIRECT("'C Impact of Technique'!D" &amp; 4 + (ROW(A8)-1)*4)</f>
        <v>1.0469999999999999</v>
      </c>
      <c r="E12" s="75" cm="1">
        <f t="array" aca="1" ref="E12" ca="1">INDIRECT("'C Impact of Technique'!N" &amp; 3 + (ROW(A8)-1)*4)*100</f>
        <v>0</v>
      </c>
      <c r="F12" s="78">
        <v>0.84180145015812757</v>
      </c>
      <c r="G12" s="4" t="s">
        <v>216</v>
      </c>
      <c r="H12" s="75" cm="1">
        <f t="array" aca="1" ref="H12" ca="1">INDIRECT("'C Impact of Technique'!M" &amp; 3 + (ROW(A8)-1)*4)</f>
        <v>24.803429999999999</v>
      </c>
      <c r="I12" s="75" cm="1">
        <f t="array" aca="1" ref="I12" ca="1">INDIRECT("'C Impact of Technique'!M" &amp; 4 + (ROW(A8)-1)*4)</f>
        <v>19.516079999999999</v>
      </c>
      <c r="J12" s="75" cm="1">
        <f t="array" aca="1" ref="J12" ca="1">INDIRECT("'C Impact of Technique'!Q" &amp; 3 + (ROW(A8)-1)*4)*100</f>
        <v>-21.317011397214014</v>
      </c>
      <c r="K12" s="75">
        <v>4.2855392840606714E-11</v>
      </c>
      <c r="L12" s="75" t="s">
        <v>186</v>
      </c>
      <c r="M12" s="79" t="s">
        <v>23</v>
      </c>
      <c r="N12" s="75" cm="1">
        <f t="array" aca="1" ref="N12" ca="1">INDIRECT("'C Impact of Technique'!D" &amp; 5 + (ROW(A8)-1)*4)</f>
        <v>0.54100000000000004</v>
      </c>
      <c r="O12" s="75" cm="1">
        <f t="array" aca="1" ref="O12" ca="1">INDIRECT("'C Impact of Technique'!D" &amp; 6 + (ROW(A8)-1)*4)</f>
        <v>0.61099999999999999</v>
      </c>
      <c r="P12" s="75" cm="1">
        <f t="array" aca="1" ref="P12" ca="1">INDIRECT("'C Impact of Technique'!N" &amp; 5 + (ROW(A8)-1)*4)*100</f>
        <v>12.939001848428825</v>
      </c>
      <c r="Q12" s="75">
        <v>8.9091634427719835E-2</v>
      </c>
      <c r="R12" s="75" t="s">
        <v>216</v>
      </c>
      <c r="S12" s="75" cm="1">
        <f t="array" aca="1" ref="S12" ca="1">INDIRECT("'C Impact of Technique'!M" &amp; 5 + (ROW(A8)-1)*4)</f>
        <v>8.04467</v>
      </c>
      <c r="T12" s="75" cm="1">
        <f t="array" aca="1" ref="T12" ca="1">INDIRECT("'C Impact of Technique'!M" &amp; 6 + (ROW(A8)-1)*4)</f>
        <v>9.0183599999999995</v>
      </c>
      <c r="U12" s="75" cm="1">
        <f t="array" aca="1" ref="U12" ca="1">INDIRECT("'C Impact of Technique'!Q" &amp; 5 + (ROW(A8)-1)*4)*100</f>
        <v>12.103541848205078</v>
      </c>
      <c r="V12" s="75">
        <v>0.23109674669077096</v>
      </c>
      <c r="W12" s="75" t="s">
        <v>186</v>
      </c>
      <c r="X12" s="75">
        <f t="shared" ca="1" si="0"/>
        <v>-4.606734774504468</v>
      </c>
      <c r="Z12" s="60" t="s">
        <v>166</v>
      </c>
      <c r="AA12" s="38" t="str" cm="1">
        <f t="array" aca="1" ref="AA12" ca="1">_xlfn.TEXTJOIN(", ", TRUE, IF(J5:J30 &gt;= 75, B5:B30, ""))</f>
        <v>T28</v>
      </c>
      <c r="AC12" s="60" t="s">
        <v>166</v>
      </c>
      <c r="AD12" s="38" t="str" cm="1">
        <f t="array" aca="1" ref="AD12" ca="1">_xlfn.TEXTJOIN(", ", TRUE, IF(U5:U30 &gt;= 75, M5:M30, ""))</f>
        <v>T49</v>
      </c>
    </row>
    <row r="13" spans="2:30" x14ac:dyDescent="0.25">
      <c r="B13" s="77" t="s">
        <v>25</v>
      </c>
      <c r="C13" s="75" cm="1">
        <f t="array" aca="1" ref="C13" ca="1">INDIRECT("'C Impact of Technique'!D" &amp; 3 + (ROW(A9)-1)*4)</f>
        <v>8.3770000000000007</v>
      </c>
      <c r="D13" s="75" cm="1">
        <f t="array" aca="1" ref="D13" ca="1">INDIRECT("'C Impact of Technique'!D" &amp; 4 + (ROW(A9)-1)*4)</f>
        <v>8.4030000000000005</v>
      </c>
      <c r="E13" s="75" cm="1">
        <f t="array" aca="1" ref="E13" ca="1">INDIRECT("'C Impact of Technique'!N" &amp; 3 + (ROW(A9)-1)*4)*100</f>
        <v>0.31037364211531332</v>
      </c>
      <c r="F13" s="78">
        <v>3.0102616021326626E-7</v>
      </c>
      <c r="G13" s="4" t="s">
        <v>186</v>
      </c>
      <c r="H13" s="75" cm="1">
        <f t="array" aca="1" ref="H13" ca="1">INDIRECT("'C Impact of Technique'!M" &amp; 3 + (ROW(A9)-1)*4)</f>
        <v>412.90233000000001</v>
      </c>
      <c r="I13" s="75" cm="1">
        <f t="array" aca="1" ref="I13" ca="1">INDIRECT("'C Impact of Technique'!M" &amp; 4 + (ROW(A9)-1)*4)</f>
        <v>407.71355999999997</v>
      </c>
      <c r="J13" s="75" cm="1">
        <f t="array" aca="1" ref="J13" ca="1">INDIRECT("'C Impact of Technique'!Q" &amp; 3 + (ROW(A9)-1)*4)*100</f>
        <v>-1.2566579607337245</v>
      </c>
      <c r="K13" s="75">
        <v>2.2798081049578773E-2</v>
      </c>
      <c r="L13" s="75" t="s">
        <v>185</v>
      </c>
      <c r="M13" s="79" t="s">
        <v>25</v>
      </c>
      <c r="N13" s="75" cm="1">
        <f t="array" aca="1" ref="N13" ca="1">INDIRECT("'C Impact of Technique'!D" &amp; 5 + (ROW(A9)-1)*4)</f>
        <v>5.968</v>
      </c>
      <c r="O13" s="75" cm="1">
        <f t="array" aca="1" ref="O13" ca="1">INDIRECT("'C Impact of Technique'!D" &amp; 6 + (ROW(A9)-1)*4)</f>
        <v>5.7469999999999999</v>
      </c>
      <c r="P13" s="75" cm="1">
        <f t="array" aca="1" ref="P13" ca="1">INDIRECT("'C Impact of Technique'!N" &amp; 5 + (ROW(A9)-1)*4)*100</f>
        <v>-3.7030831099195729</v>
      </c>
      <c r="Q13" s="75">
        <v>0.42466220465089188</v>
      </c>
      <c r="R13" s="75" t="s">
        <v>186</v>
      </c>
      <c r="S13" s="75" cm="1">
        <f t="array" aca="1" ref="S13" ca="1">INDIRECT("'C Impact of Technique'!M" &amp; 5 + (ROW(A9)-1)*4)</f>
        <v>287.29951999999997</v>
      </c>
      <c r="T13" s="75" cm="1">
        <f t="array" aca="1" ref="T13" ca="1">INDIRECT("'C Impact of Technique'!M" &amp; 6 + (ROW(A9)-1)*4)</f>
        <v>251.31630999999999</v>
      </c>
      <c r="U13" s="75" cm="1">
        <f t="array" aca="1" ref="U13" ca="1">INDIRECT("'C Impact of Technique'!Q" &amp; 5 + (ROW(A9)-1)*4)*100</f>
        <v>-12.524632829181193</v>
      </c>
      <c r="V13" s="75">
        <v>2.8719490663203402E-11</v>
      </c>
      <c r="W13" s="75" t="s">
        <v>186</v>
      </c>
      <c r="X13" s="75">
        <f t="shared" ca="1" si="0"/>
        <v>-6.8906453949574589</v>
      </c>
    </row>
    <row r="14" spans="2:30" x14ac:dyDescent="0.25">
      <c r="B14" s="77" t="s">
        <v>31</v>
      </c>
      <c r="C14" s="75" cm="1">
        <f t="array" aca="1" ref="C14" ca="1">INDIRECT("'C Impact of Technique'!D" &amp; 3 + (ROW(A10)-1)*4)</f>
        <v>1.0469999999999999</v>
      </c>
      <c r="D14" s="75" cm="1">
        <f t="array" aca="1" ref="D14" ca="1">INDIRECT("'C Impact of Technique'!D" &amp; 4 + (ROW(A10)-1)*4)</f>
        <v>1.0469999999999999</v>
      </c>
      <c r="E14" s="75" cm="1">
        <f t="array" aca="1" ref="E14" ca="1">INDIRECT("'C Impact of Technique'!N" &amp; 3 + (ROW(A10)-1)*4)*100</f>
        <v>0</v>
      </c>
      <c r="F14" s="78">
        <v>0.27718918977304763</v>
      </c>
      <c r="G14" s="4" t="s">
        <v>216</v>
      </c>
      <c r="H14" s="75" cm="1">
        <f t="array" aca="1" ref="H14" ca="1">INDIRECT("'C Impact of Technique'!M" &amp; 3 + (ROW(A10)-1)*4)</f>
        <v>23.264340000000001</v>
      </c>
      <c r="I14" s="75" cm="1">
        <f t="array" aca="1" ref="I14" ca="1">INDIRECT("'C Impact of Technique'!M" &amp; 4 + (ROW(A10)-1)*4)</f>
        <v>21.735720000000001</v>
      </c>
      <c r="J14" s="75" cm="1">
        <f t="array" aca="1" ref="J14" ca="1">INDIRECT("'C Impact of Technique'!Q" &amp; 3 + (ROW(A10)-1)*4)*100</f>
        <v>-6.5706570657065715</v>
      </c>
      <c r="K14" s="75">
        <v>1.5968867051760131E-3</v>
      </c>
      <c r="L14" s="75" t="s">
        <v>215</v>
      </c>
      <c r="M14" s="79" t="s">
        <v>31</v>
      </c>
      <c r="N14" s="75" cm="1">
        <f t="array" aca="1" ref="N14" ca="1">INDIRECT("'C Impact of Technique'!D" &amp; 5 + (ROW(A10)-1)*4)</f>
        <v>0.57599999999999996</v>
      </c>
      <c r="O14" s="75" cm="1">
        <f t="array" aca="1" ref="O14" ca="1">INDIRECT("'C Impact of Technique'!D" &amp; 6 + (ROW(A10)-1)*4)</f>
        <v>0.61099999999999999</v>
      </c>
      <c r="P14" s="75" cm="1">
        <f t="array" aca="1" ref="P14" ca="1">INDIRECT("'C Impact of Technique'!N" &amp; 5 + (ROW(A10)-1)*4)*100</f>
        <v>6.0763888888888946</v>
      </c>
      <c r="Q14" s="75">
        <v>0.82449575165477107</v>
      </c>
      <c r="R14" s="75" t="s">
        <v>216</v>
      </c>
      <c r="S14" s="75" cm="1">
        <f t="array" aca="1" ref="S14" ca="1">INDIRECT("'C Impact of Technique'!M" &amp; 5 + (ROW(A10)-1)*4)</f>
        <v>9.4118399999999998</v>
      </c>
      <c r="T14" s="75" cm="1">
        <f t="array" aca="1" ref="T14" ca="1">INDIRECT("'C Impact of Technique'!M" &amp; 6 + (ROW(A10)-1)*4)</f>
        <v>10.973560000000001</v>
      </c>
      <c r="U14" s="75" cm="1">
        <f t="array" aca="1" ref="U14" ca="1">INDIRECT("'C Impact of Technique'!Q" &amp; 5 + (ROW(A10)-1)*4)*100</f>
        <v>16.593142254861974</v>
      </c>
      <c r="V14" s="75">
        <v>1.4059055114728864E-3</v>
      </c>
      <c r="W14" s="75" t="s">
        <v>186</v>
      </c>
      <c r="X14" s="75">
        <f t="shared" ca="1" si="0"/>
        <v>5.011242594577701</v>
      </c>
    </row>
    <row r="15" spans="2:30" x14ac:dyDescent="0.25">
      <c r="B15" s="77" t="s">
        <v>33</v>
      </c>
      <c r="C15" s="75" cm="1">
        <f t="array" aca="1" ref="C15" ca="1">INDIRECT("'C Impact of Technique'!D" &amp; 3 + (ROW(A11)-1)*4)</f>
        <v>1.0469999999999999</v>
      </c>
      <c r="D15" s="75" cm="1">
        <f t="array" aca="1" ref="D15" ca="1">INDIRECT("'C Impact of Technique'!D" &amp; 4 + (ROW(A11)-1)*4)</f>
        <v>1.0469999999999999</v>
      </c>
      <c r="E15" s="75" cm="1">
        <f t="array" aca="1" ref="E15" ca="1">INDIRECT("'C Impact of Technique'!N" &amp; 3 + (ROW(A11)-1)*4)*100</f>
        <v>0</v>
      </c>
      <c r="F15" s="78">
        <v>0.75058723152230655</v>
      </c>
      <c r="G15" s="4" t="s">
        <v>216</v>
      </c>
      <c r="H15" s="75" cm="1">
        <f t="array" aca="1" ref="H15" ca="1">INDIRECT("'C Impact of Technique'!M" &amp; 3 + (ROW(A11)-1)*4)</f>
        <v>23.337630000000001</v>
      </c>
      <c r="I15" s="75" cm="1">
        <f t="array" aca="1" ref="I15" ca="1">INDIRECT("'C Impact of Technique'!M" &amp; 4 + (ROW(A11)-1)*4)</f>
        <v>23.683140000000002</v>
      </c>
      <c r="J15" s="75" cm="1">
        <f t="array" aca="1" ref="J15" ca="1">INDIRECT("'C Impact of Technique'!Q" &amp; 3 + (ROW(A11)-1)*4)*100</f>
        <v>1.4804845222072716</v>
      </c>
      <c r="K15" s="75">
        <v>0.58436242209071043</v>
      </c>
      <c r="L15" s="75" t="s">
        <v>216</v>
      </c>
      <c r="M15" s="79" t="s">
        <v>33</v>
      </c>
      <c r="N15" s="75" cm="1">
        <f t="array" aca="1" ref="N15" ca="1">INDIRECT("'C Impact of Technique'!D" &amp; 5 + (ROW(A11)-1)*4)</f>
        <v>0.66300000000000003</v>
      </c>
      <c r="O15" s="75" cm="1">
        <f t="array" aca="1" ref="O15" ca="1">INDIRECT("'C Impact of Technique'!D" &amp; 6 + (ROW(A11)-1)*4)</f>
        <v>0.55800000000000005</v>
      </c>
      <c r="P15" s="75" cm="1">
        <f t="array" aca="1" ref="P15" ca="1">INDIRECT("'C Impact of Technique'!N" &amp; 5 + (ROW(A11)-1)*4)*100</f>
        <v>-15.837104072398187</v>
      </c>
      <c r="Q15" s="75">
        <v>2.7603250803017784E-2</v>
      </c>
      <c r="R15" s="75" t="s">
        <v>216</v>
      </c>
      <c r="S15" s="75" cm="1">
        <f t="array" aca="1" ref="S15" ca="1">INDIRECT("'C Impact of Technique'!M" &amp; 5 + (ROW(A11)-1)*4)</f>
        <v>11.46327</v>
      </c>
      <c r="T15" s="75" cm="1">
        <f t="array" aca="1" ref="T15" ca="1">INDIRECT("'C Impact of Technique'!M" &amp; 6 + (ROW(A11)-1)*4)</f>
        <v>10.53504</v>
      </c>
      <c r="U15" s="75" cm="1">
        <f t="array" aca="1" ref="U15" ca="1">INDIRECT("'C Impact of Technique'!Q" &amp; 5 + (ROW(A11)-1)*4)*100</f>
        <v>-8.0974276973324297</v>
      </c>
      <c r="V15" s="75">
        <v>0.95284242958019894</v>
      </c>
      <c r="W15" s="75" t="s">
        <v>216</v>
      </c>
      <c r="X15" s="75">
        <f t="shared" ca="1" si="0"/>
        <v>-3.308471587562579</v>
      </c>
    </row>
    <row r="16" spans="2:30" x14ac:dyDescent="0.25">
      <c r="B16" s="77" t="s">
        <v>37</v>
      </c>
      <c r="C16" s="75" cm="1">
        <f t="array" aca="1" ref="C16" ca="1">INDIRECT("'C Impact of Technique'!D" &amp; 3 + (ROW(A12)-1)*4)</f>
        <v>12.635999999999999</v>
      </c>
      <c r="D16" s="75" cm="1">
        <f t="array" aca="1" ref="D16" ca="1">INDIRECT("'C Impact of Technique'!D" &amp; 4 + (ROW(A12)-1)*4)</f>
        <v>17.779</v>
      </c>
      <c r="E16" s="75" cm="1">
        <f t="array" aca="1" ref="E16" ca="1">INDIRECT("'C Impact of Technique'!N" &amp; 3 + (ROW(A12)-1)*4)*100</f>
        <v>40.701171256726823</v>
      </c>
      <c r="F16" s="78">
        <v>2.8719490663203402E-11</v>
      </c>
      <c r="G16" s="4" t="s">
        <v>186</v>
      </c>
      <c r="H16" s="75" cm="1">
        <f t="array" aca="1" ref="H16" ca="1">INDIRECT("'C Impact of Technique'!M" &amp; 3 + (ROW(A12)-1)*4)</f>
        <v>647.72135999999989</v>
      </c>
      <c r="I16" s="75" cm="1">
        <f t="array" aca="1" ref="I16" ca="1">INDIRECT("'C Impact of Technique'!M" &amp; 4 + (ROW(A12)-1)*4)</f>
        <v>873.12668999999994</v>
      </c>
      <c r="J16" s="75" cm="1">
        <f t="array" aca="1" ref="J16" ca="1">INDIRECT("'C Impact of Technique'!Q" &amp; 3 + (ROW(A12)-1)*4)*100</f>
        <v>34.799737035073242</v>
      </c>
      <c r="K16" s="75">
        <v>2.8719490663203402E-11</v>
      </c>
      <c r="L16" s="75" t="s">
        <v>186</v>
      </c>
      <c r="M16" s="79" t="s">
        <v>37</v>
      </c>
      <c r="N16" s="75" cm="1">
        <f t="array" aca="1" ref="N16" ca="1">INDIRECT("'C Impact of Technique'!D" &amp; 5 + (ROW(A12)-1)*4)</f>
        <v>1.57</v>
      </c>
      <c r="O16" s="75" cm="1">
        <f t="array" aca="1" ref="O16" ca="1">INDIRECT("'C Impact of Technique'!D" &amp; 6 + (ROW(A12)-1)*4)</f>
        <v>1.577</v>
      </c>
      <c r="P16" s="75" cm="1">
        <f t="array" aca="1" ref="P16" ca="1">INDIRECT("'C Impact of Technique'!N" &amp; 5 + (ROW(A12)-1)*4)*100</f>
        <v>0.44585987261145826</v>
      </c>
      <c r="Q16" s="75">
        <v>2.8719490663203402E-11</v>
      </c>
      <c r="R16" s="75" t="s">
        <v>186</v>
      </c>
      <c r="S16" s="75" cm="1">
        <f t="array" aca="1" ref="S16" ca="1">INDIRECT("'C Impact of Technique'!M" &amp; 5 + (ROW(A12)-1)*4)</f>
        <v>45.686999999999998</v>
      </c>
      <c r="T16" s="75" cm="1">
        <f t="array" aca="1" ref="T16" ca="1">INDIRECT("'C Impact of Technique'!M" &amp; 6 + (ROW(A12)-1)*4)</f>
        <v>51.946379999999998</v>
      </c>
      <c r="U16" s="75" cm="1">
        <f t="array" aca="1" ref="U16" ca="1">INDIRECT("'C Impact of Technique'!Q" &amp; 5 + (ROW(A12)-1)*4)*100</f>
        <v>13.700571278481846</v>
      </c>
      <c r="V16" s="75">
        <v>1.6616209658834359E-7</v>
      </c>
      <c r="W16" s="75" t="s">
        <v>186</v>
      </c>
      <c r="X16" s="75">
        <f t="shared" ca="1" si="0"/>
        <v>24.250154156777544</v>
      </c>
    </row>
    <row r="17" spans="2:24" x14ac:dyDescent="0.25">
      <c r="B17" s="77" t="s">
        <v>39</v>
      </c>
      <c r="C17" s="75" cm="1">
        <f t="array" aca="1" ref="C17" ca="1">INDIRECT("'C Impact of Technique'!D" &amp; 3 + (ROW(A13)-1)*4)</f>
        <v>8.9009999999999998</v>
      </c>
      <c r="D17" s="75" cm="1">
        <f t="array" aca="1" ref="D17" ca="1">INDIRECT("'C Impact of Technique'!D" &amp; 4 + (ROW(A13)-1)*4)</f>
        <v>3.1589999999999998</v>
      </c>
      <c r="E17" s="75" cm="1">
        <f t="array" aca="1" ref="E17" ca="1">INDIRECT("'C Impact of Technique'!N" &amp; 3 + (ROW(A13)-1)*4)*100</f>
        <v>-64.509605662285139</v>
      </c>
      <c r="F17" s="78">
        <v>2.8719490663203402E-11</v>
      </c>
      <c r="G17" s="4" t="s">
        <v>186</v>
      </c>
      <c r="H17" s="75" cm="1">
        <f t="array" aca="1" ref="H17" ca="1">INDIRECT("'C Impact of Technique'!M" &amp; 3 + (ROW(A13)-1)*4)</f>
        <v>436.23800999999997</v>
      </c>
      <c r="I17" s="75" cm="1">
        <f t="array" aca="1" ref="I17" ca="1">INDIRECT("'C Impact of Technique'!M" &amp; 4 + (ROW(A13)-1)*4)</f>
        <v>130.49829</v>
      </c>
      <c r="J17" s="75" cm="1">
        <f t="array" aca="1" ref="J17" ca="1">INDIRECT("'C Impact of Technique'!Q" &amp; 3 + (ROW(A13)-1)*4)*100</f>
        <v>-70.08552968596203</v>
      </c>
      <c r="K17" s="75">
        <v>2.8719490663203402E-11</v>
      </c>
      <c r="L17" s="75" t="s">
        <v>186</v>
      </c>
      <c r="M17" s="79" t="s">
        <v>39</v>
      </c>
      <c r="N17" s="75" cm="1">
        <f t="array" aca="1" ref="N17" ca="1">INDIRECT("'C Impact of Technique'!D" &amp; 5 + (ROW(A13)-1)*4)</f>
        <v>1.0469999999999999</v>
      </c>
      <c r="O17" s="75" cm="1">
        <f t="array" aca="1" ref="O17" ca="1">INDIRECT("'C Impact of Technique'!D" &amp; 6 + (ROW(A13)-1)*4)</f>
        <v>1.5760000000000001</v>
      </c>
      <c r="P17" s="75" cm="1">
        <f t="array" aca="1" ref="P17" ca="1">INDIRECT("'C Impact of Technique'!N" &amp; 5 + (ROW(A13)-1)*4)*100</f>
        <v>50.525310410697244</v>
      </c>
      <c r="Q17" s="75">
        <v>2.8719490663203402E-11</v>
      </c>
      <c r="R17" s="75" t="s">
        <v>186</v>
      </c>
      <c r="S17" s="75" cm="1">
        <f t="array" aca="1" ref="S17" ca="1">INDIRECT("'C Impact of Technique'!M" &amp; 5 + (ROW(A13)-1)*4)</f>
        <v>25.557269999999999</v>
      </c>
      <c r="T17" s="75" cm="1">
        <f t="array" aca="1" ref="T17" ca="1">INDIRECT("'C Impact of Technique'!M" &amp; 6 + (ROW(A13)-1)*4)</f>
        <v>40.251040000000003</v>
      </c>
      <c r="U17" s="75" cm="1">
        <f t="array" aca="1" ref="U17" ca="1">INDIRECT("'C Impact of Technique'!Q" &amp; 5 + (ROW(A13)-1)*4)*100</f>
        <v>57.49350380537517</v>
      </c>
      <c r="V17" s="75">
        <v>2.8719490663203402E-11</v>
      </c>
      <c r="W17" s="75" t="s">
        <v>186</v>
      </c>
      <c r="X17" s="75">
        <f t="shared" ca="1" si="0"/>
        <v>-6.2960129402934299</v>
      </c>
    </row>
    <row r="18" spans="2:24" x14ac:dyDescent="0.25">
      <c r="B18" s="77" t="s">
        <v>49</v>
      </c>
      <c r="C18" s="75" cm="1">
        <f t="array" aca="1" ref="C18" ca="1">INDIRECT("'C Impact of Technique'!D" &amp; 3 + (ROW(A14)-1)*4)</f>
        <v>18.850000000000001</v>
      </c>
      <c r="D18" s="75" cm="1">
        <f t="array" aca="1" ref="D18" ca="1">INDIRECT("'C Impact of Technique'!D" &amp; 4 + (ROW(A14)-1)*4)</f>
        <v>15.246</v>
      </c>
      <c r="E18" s="75" cm="1">
        <f t="array" aca="1" ref="E18" ca="1">INDIRECT("'C Impact of Technique'!N" &amp; 3 + (ROW(A14)-1)*4)*100</f>
        <v>-19.119363395225466</v>
      </c>
      <c r="F18" s="78">
        <v>2.8719490663203402E-11</v>
      </c>
      <c r="G18" s="4" t="s">
        <v>186</v>
      </c>
      <c r="H18" s="75" cm="1">
        <f t="array" aca="1" ref="H18" ca="1">INDIRECT("'C Impact of Technique'!M" &amp; 3 + (ROW(A14)-1)*4)</f>
        <v>895.94050000000004</v>
      </c>
      <c r="I18" s="75" cm="1">
        <f t="array" aca="1" ref="I18" ca="1">INDIRECT("'C Impact of Technique'!M" &amp; 4 + (ROW(A14)-1)*4)</f>
        <v>714.42755999999997</v>
      </c>
      <c r="J18" s="75" cm="1">
        <f t="array" aca="1" ref="J18" ca="1">INDIRECT("'C Impact of Technique'!Q" &amp; 3 + (ROW(A14)-1)*4)*100</f>
        <v>-20.259485981490965</v>
      </c>
      <c r="K18" s="75">
        <v>2.8719490663203402E-11</v>
      </c>
      <c r="L18" s="75" t="s">
        <v>186</v>
      </c>
      <c r="M18" s="79" t="s">
        <v>49</v>
      </c>
      <c r="N18" s="75" cm="1">
        <f t="array" aca="1" ref="N18" ca="1">INDIRECT("'C Impact of Technique'!D" &amp; 5 + (ROW(A14)-1)*4)</f>
        <v>4.7300000000000004</v>
      </c>
      <c r="O18" s="75" cm="1">
        <f t="array" aca="1" ref="O18" ca="1">INDIRECT("'C Impact of Technique'!D" &amp; 6 + (ROW(A14)-1)*4)</f>
        <v>3.6789999999999998</v>
      </c>
      <c r="P18" s="75" cm="1">
        <f t="array" aca="1" ref="P18" ca="1">INDIRECT("'C Impact of Technique'!N" &amp; 5 + (ROW(A14)-1)*4)*100</f>
        <v>-22.21987315010572</v>
      </c>
      <c r="Q18" s="75">
        <v>2.8719490663203402E-11</v>
      </c>
      <c r="R18" s="75" t="s">
        <v>186</v>
      </c>
      <c r="S18" s="75" cm="1">
        <f t="array" aca="1" ref="S18" ca="1">INDIRECT("'C Impact of Technique'!M" &amp; 5 + (ROW(A14)-1)*4)</f>
        <v>188.3486</v>
      </c>
      <c r="T18" s="75" cm="1">
        <f t="array" aca="1" ref="T18" ca="1">INDIRECT("'C Impact of Technique'!M" &amp; 6 + (ROW(A14)-1)*4)</f>
        <v>146.20346000000001</v>
      </c>
      <c r="U18" s="75" cm="1">
        <f t="array" aca="1" ref="U18" ca="1">INDIRECT("'C Impact of Technique'!Q" &amp; 5 + (ROW(A14)-1)*4)*100</f>
        <v>-22.376136589281785</v>
      </c>
      <c r="V18" s="75">
        <v>2.8719490663203402E-11</v>
      </c>
      <c r="W18" s="75" t="s">
        <v>186</v>
      </c>
      <c r="X18" s="75">
        <f t="shared" ca="1" si="0"/>
        <v>-21.317811285386377</v>
      </c>
    </row>
    <row r="19" spans="2:24" x14ac:dyDescent="0.25">
      <c r="B19" s="77" t="s">
        <v>51</v>
      </c>
      <c r="C19" s="75" cm="1">
        <f t="array" aca="1" ref="C19" ca="1">INDIRECT("'C Impact of Technique'!D" &amp; 3 + (ROW(A15)-1)*4)</f>
        <v>18.326000000000001</v>
      </c>
      <c r="D19" s="75" cm="1">
        <f t="array" aca="1" ref="D19" ca="1">INDIRECT("'C Impact of Technique'!D" &amp; 4 + (ROW(A15)-1)*4)</f>
        <v>18.927</v>
      </c>
      <c r="E19" s="75" cm="1">
        <f t="array" aca="1" ref="E19" ca="1">INDIRECT("'C Impact of Technique'!N" &amp; 3 + (ROW(A15)-1)*4)*100</f>
        <v>3.2794936156280645</v>
      </c>
      <c r="F19" s="78">
        <v>2.8719490663203402E-11</v>
      </c>
      <c r="G19" s="4" t="s">
        <v>186</v>
      </c>
      <c r="H19" s="75" cm="1">
        <f t="array" aca="1" ref="H19" ca="1">INDIRECT("'C Impact of Technique'!M" &amp; 3 + (ROW(A15)-1)*4)</f>
        <v>921.61454000000003</v>
      </c>
      <c r="I19" s="75" cm="1">
        <f t="array" aca="1" ref="I19" ca="1">INDIRECT("'C Impact of Technique'!M" &amp; 4 + (ROW(A15)-1)*4)</f>
        <v>924.58394999999996</v>
      </c>
      <c r="J19" s="75" cm="1">
        <f t="array" aca="1" ref="J19" ca="1">INDIRECT("'C Impact of Technique'!Q" &amp; 3 + (ROW(A15)-1)*4)*100</f>
        <v>0.32219652263731924</v>
      </c>
      <c r="K19" s="75">
        <v>0.59456025654396749</v>
      </c>
      <c r="L19" s="75" t="s">
        <v>216</v>
      </c>
      <c r="M19" s="79" t="s">
        <v>51</v>
      </c>
      <c r="N19" s="75" cm="1">
        <f t="array" aca="1" ref="N19" ca="1">INDIRECT("'C Impact of Technique'!D" &amp; 5 + (ROW(A15)-1)*4)</f>
        <v>5.2539999999999996</v>
      </c>
      <c r="O19" s="75" cm="1">
        <f t="array" aca="1" ref="O19" ca="1">INDIRECT("'C Impact of Technique'!D" &amp; 6 + (ROW(A15)-1)*4)</f>
        <v>1.069</v>
      </c>
      <c r="P19" s="75" cm="1">
        <f t="array" aca="1" ref="P19" ca="1">INDIRECT("'C Impact of Technique'!N" &amp; 5 + (ROW(A15)-1)*4)*100</f>
        <v>-79.653597259231063</v>
      </c>
      <c r="Q19" s="75">
        <v>2.8719490663203402E-11</v>
      </c>
      <c r="R19" s="75" t="s">
        <v>186</v>
      </c>
      <c r="S19" s="75" cm="1">
        <f t="array" aca="1" ref="S19" ca="1">INDIRECT("'C Impact of Technique'!M" &amp; 5 + (ROW(A15)-1)*4)</f>
        <v>233.59284</v>
      </c>
      <c r="T19" s="75" cm="1">
        <f t="array" aca="1" ref="T19" ca="1">INDIRECT("'C Impact of Technique'!M" &amp; 6 + (ROW(A15)-1)*4)</f>
        <v>25.271159999999998</v>
      </c>
      <c r="U19" s="75" cm="1">
        <f t="array" aca="1" ref="U19" ca="1">INDIRECT("'C Impact of Technique'!Q" &amp; 5 + (ROW(A15)-1)*4)*100</f>
        <v>-89.181534844989258</v>
      </c>
      <c r="V19" s="75">
        <v>2.8719490663203402E-11</v>
      </c>
      <c r="W19" s="75" t="s">
        <v>216</v>
      </c>
      <c r="X19" s="75">
        <f t="shared" ca="1" si="0"/>
        <v>-44.429669161175973</v>
      </c>
    </row>
    <row r="20" spans="2:24" x14ac:dyDescent="0.25">
      <c r="B20" s="77" t="s">
        <v>55</v>
      </c>
      <c r="C20" s="75" cm="1">
        <f t="array" aca="1" ref="C20" ca="1">INDIRECT("'C Impact of Technique'!D" &amp; 3 + (ROW(A16)-1)*4)</f>
        <v>6.9630000000000001</v>
      </c>
      <c r="D20" s="75" cm="1">
        <f t="array" aca="1" ref="D20" ca="1">INDIRECT("'C Impact of Technique'!D" &amp; 4 + (ROW(A16)-1)*4)</f>
        <v>15.218</v>
      </c>
      <c r="E20" s="75" cm="1">
        <f t="array" aca="1" ref="E20" ca="1">INDIRECT("'C Impact of Technique'!N" &amp; 3 + (ROW(A16)-1)*4)*100</f>
        <v>118.55522045095503</v>
      </c>
      <c r="F20" s="78">
        <v>2.8719490663203402E-11</v>
      </c>
      <c r="G20" s="4" t="s">
        <v>186</v>
      </c>
      <c r="H20" s="75" cm="1">
        <f t="array" aca="1" ref="H20" ca="1">INDIRECT("'C Impact of Technique'!M" &amp; 3 + (ROW(A16)-1)*4)</f>
        <v>359.08190999999999</v>
      </c>
      <c r="I20" s="75" cm="1">
        <f t="array" aca="1" ref="I20" ca="1">INDIRECT("'C Impact of Technique'!M" &amp; 4 + (ROW(A16)-1)*4)</f>
        <v>781.13994000000002</v>
      </c>
      <c r="J20" s="75" cm="1">
        <f t="array" aca="1" ref="J20" ca="1">INDIRECT("'C Impact of Technique'!Q" &amp; 3 + (ROW(A16)-1)*4)*100</f>
        <v>117.53809318882146</v>
      </c>
      <c r="K20" s="75">
        <v>2.8719490663203402E-11</v>
      </c>
      <c r="L20" s="75" t="s">
        <v>186</v>
      </c>
      <c r="M20" s="79" t="s">
        <v>55</v>
      </c>
      <c r="N20" s="75" cm="1">
        <f t="array" aca="1" ref="N20" ca="1">INDIRECT("'C Impact of Technique'!D" &amp; 5 + (ROW(A16)-1)*4)</f>
        <v>1.57</v>
      </c>
      <c r="O20" s="75" cm="1">
        <f t="array" aca="1" ref="O20" ca="1">INDIRECT("'C Impact of Technique'!D" &amp; 6 + (ROW(A16)-1)*4)</f>
        <v>1.4370000000000001</v>
      </c>
      <c r="P20" s="75" cm="1">
        <f t="array" aca="1" ref="P20" ca="1">INDIRECT("'C Impact of Technique'!N" &amp; 5 + (ROW(A16)-1)*4)*100</f>
        <v>-8.4713375796178347</v>
      </c>
      <c r="Q20" s="75">
        <v>2.0019362197643423E-3</v>
      </c>
      <c r="R20" s="75" t="s">
        <v>186</v>
      </c>
      <c r="S20" s="75" cm="1">
        <f t="array" aca="1" ref="S20" ca="1">INDIRECT("'C Impact of Technique'!M" &amp; 5 + (ROW(A16)-1)*4)</f>
        <v>41.918999999999997</v>
      </c>
      <c r="T20" s="75" cm="1">
        <f t="array" aca="1" ref="T20" ca="1">INDIRECT("'C Impact of Technique'!M" &amp; 6 + (ROW(A16)-1)*4)</f>
        <v>38.640929999999997</v>
      </c>
      <c r="U20" s="75" cm="1">
        <f t="array" aca="1" ref="U20" ca="1">INDIRECT("'C Impact of Technique'!Q" &amp; 5 + (ROW(A16)-1)*4)*100</f>
        <v>-7.8200100193229805</v>
      </c>
      <c r="V20" s="75">
        <v>2.2042356552493636E-5</v>
      </c>
      <c r="W20" s="75" t="s">
        <v>186</v>
      </c>
      <c r="X20" s="75">
        <f t="shared" ca="1" si="0"/>
        <v>54.859041584749242</v>
      </c>
    </row>
    <row r="21" spans="2:24" x14ac:dyDescent="0.25">
      <c r="B21" s="77" t="s">
        <v>57</v>
      </c>
      <c r="C21" s="75" cm="1">
        <f t="array" aca="1" ref="C21" ca="1">INDIRECT("'C Impact of Technique'!D" &amp; 3 + (ROW(A17)-1)*4)</f>
        <v>1.0469999999999999</v>
      </c>
      <c r="D21" s="75" cm="1">
        <f t="array" aca="1" ref="D21" ca="1">INDIRECT("'C Impact of Technique'!D" &amp; 4 + (ROW(A17)-1)*4)</f>
        <v>1.0469999999999999</v>
      </c>
      <c r="E21" s="75" cm="1">
        <f t="array" aca="1" ref="E21" ca="1">INDIRECT("'C Impact of Technique'!N" &amp; 3 + (ROW(A17)-1)*4)*100</f>
        <v>0</v>
      </c>
      <c r="F21" s="78">
        <v>0.79584554246645511</v>
      </c>
      <c r="G21" s="4" t="s">
        <v>216</v>
      </c>
      <c r="H21" s="75" cm="1">
        <f t="array" aca="1" ref="H21" ca="1">INDIRECT("'C Impact of Technique'!M" &amp; 3 + (ROW(A17)-1)*4)</f>
        <v>19.725480000000001</v>
      </c>
      <c r="I21" s="75" cm="1">
        <f t="array" aca="1" ref="I21" ca="1">INDIRECT("'C Impact of Technique'!M" &amp; 4 + (ROW(A17)-1)*4)</f>
        <v>20.091930000000001</v>
      </c>
      <c r="J21" s="75" cm="1">
        <f t="array" aca="1" ref="J21" ca="1">INDIRECT("'C Impact of Technique'!Q" &amp; 3 + (ROW(A17)-1)*4)*100</f>
        <v>1.8577494692144394</v>
      </c>
      <c r="K21" s="75">
        <v>0.51059793660564479</v>
      </c>
      <c r="L21" s="75" t="s">
        <v>216</v>
      </c>
      <c r="M21" s="79" t="s">
        <v>57</v>
      </c>
      <c r="N21" s="75" cm="1">
        <f t="array" aca="1" ref="N21" ca="1">INDIRECT("'C Impact of Technique'!D" &amp; 5 + (ROW(A17)-1)*4)</f>
        <v>0.52400000000000002</v>
      </c>
      <c r="O21" s="75" cm="1">
        <f t="array" aca="1" ref="O21" ca="1">INDIRECT("'C Impact of Technique'!D" &amp; 6 + (ROW(A17)-1)*4)</f>
        <v>0.52400000000000002</v>
      </c>
      <c r="P21" s="75" cm="1">
        <f t="array" aca="1" ref="P21" ca="1">INDIRECT("'C Impact of Technique'!N" &amp; 5 + (ROW(A17)-1)*4)*100</f>
        <v>0</v>
      </c>
      <c r="Q21" s="75">
        <v>0.75620133894134711</v>
      </c>
      <c r="R21" s="75" t="s">
        <v>216</v>
      </c>
      <c r="S21" s="75" cm="1">
        <f t="array" aca="1" ref="S21" ca="1">INDIRECT("'C Impact of Technique'!M" &amp; 5 + (ROW(A17)-1)*4)</f>
        <v>9.4110400000000016</v>
      </c>
      <c r="T21" s="75" cm="1">
        <f t="array" aca="1" ref="T21" ca="1">INDIRECT("'C Impact of Technique'!M" &amp; 6 + (ROW(A17)-1)*4)</f>
        <v>9.8145199999999999</v>
      </c>
      <c r="U21" s="75" cm="1">
        <f t="array" aca="1" ref="U21" ca="1">INDIRECT("'C Impact of Technique'!Q" &amp; 5 + (ROW(A17)-1)*4)*100</f>
        <v>4.2873051224944128</v>
      </c>
      <c r="V21" s="75">
        <v>0.26750270341605387</v>
      </c>
      <c r="W21" s="75" t="s">
        <v>216</v>
      </c>
      <c r="X21" s="75">
        <f t="shared" ca="1" si="0"/>
        <v>3.0725272958544263</v>
      </c>
    </row>
    <row r="22" spans="2:24" x14ac:dyDescent="0.25">
      <c r="B22" s="77" t="s">
        <v>61</v>
      </c>
      <c r="C22" s="75" cm="1">
        <f t="array" aca="1" ref="C22" ca="1">INDIRECT("'C Impact of Technique'!D" &amp; 3 + (ROW(A18)-1)*4)</f>
        <v>16.093</v>
      </c>
      <c r="D22" s="75" cm="1">
        <f t="array" aca="1" ref="D22" ca="1">INDIRECT("'C Impact of Technique'!D" &amp; 4 + (ROW(A18)-1)*4)</f>
        <v>23.326000000000001</v>
      </c>
      <c r="E22" s="75" cm="1">
        <f t="array" aca="1" ref="E22" ca="1">INDIRECT("'C Impact of Technique'!N" &amp; 3 + (ROW(A18)-1)*4)*100</f>
        <v>44.945007145964091</v>
      </c>
      <c r="F22" s="78">
        <v>2.8719490663203402E-11</v>
      </c>
      <c r="G22" s="4" t="s">
        <v>186</v>
      </c>
      <c r="H22" s="75" cm="1">
        <f t="array" aca="1" ref="H22" ca="1">INDIRECT("'C Impact of Technique'!M" &amp; 3 + (ROW(A18)-1)*4)</f>
        <v>1039.28594</v>
      </c>
      <c r="I22" s="75" cm="1">
        <f t="array" aca="1" ref="I22" ca="1">INDIRECT("'C Impact of Technique'!M" &amp; 4 + (ROW(A18)-1)*4)</f>
        <v>1536.9501399999999</v>
      </c>
      <c r="J22" s="75" cm="1">
        <f t="array" aca="1" ref="J22" ca="1">INDIRECT("'C Impact of Technique'!Q" &amp; 3 + (ROW(A18)-1)*4)*100</f>
        <v>47.885204720464124</v>
      </c>
      <c r="K22" s="75">
        <v>2.8719490663203402E-11</v>
      </c>
      <c r="L22" s="75" t="s">
        <v>186</v>
      </c>
      <c r="M22" s="79" t="s">
        <v>61</v>
      </c>
      <c r="N22" s="75" cm="1">
        <f t="array" aca="1" ref="N22" ca="1">INDIRECT("'C Impact of Technique'!D" &amp; 5 + (ROW(A18)-1)*4)</f>
        <v>12.327</v>
      </c>
      <c r="O22" s="75" cm="1">
        <f t="array" aca="1" ref="O22" ca="1">INDIRECT("'C Impact of Technique'!D" &amp; 6 + (ROW(A18)-1)*4)</f>
        <v>17.928000000000001</v>
      </c>
      <c r="P22" s="75" cm="1">
        <f t="array" aca="1" ref="P22" ca="1">INDIRECT("'C Impact of Technique'!N" &amp; 5 + (ROW(A18)-1)*4)*100</f>
        <v>45.43684594791921</v>
      </c>
      <c r="Q22" s="75">
        <v>2.8719490663203402E-11</v>
      </c>
      <c r="R22" s="75" t="s">
        <v>186</v>
      </c>
      <c r="S22" s="75" cm="1">
        <f t="array" aca="1" ref="S22" ca="1">INDIRECT("'C Impact of Technique'!M" &amp; 5 + (ROW(A18)-1)*4)</f>
        <v>818.26625999999999</v>
      </c>
      <c r="T22" s="75" cm="1">
        <f t="array" aca="1" ref="T22" ca="1">INDIRECT("'C Impact of Technique'!M" &amp; 6 + (ROW(A18)-1)*4)</f>
        <v>1177.15248</v>
      </c>
      <c r="U22" s="75" cm="1">
        <f t="array" aca="1" ref="U22" ca="1">INDIRECT("'C Impact of Technique'!Q" &amp; 5 + (ROW(A18)-1)*4)*100</f>
        <v>43.859344756558819</v>
      </c>
      <c r="V22" s="75">
        <v>2.8719490663203402E-11</v>
      </c>
      <c r="W22" s="75" t="s">
        <v>186</v>
      </c>
      <c r="X22" s="75">
        <f t="shared" ca="1" si="0"/>
        <v>45.872274738511472</v>
      </c>
    </row>
    <row r="23" spans="2:24" x14ac:dyDescent="0.25">
      <c r="B23" s="77" t="s">
        <v>63</v>
      </c>
      <c r="C23" s="75" cm="1">
        <f t="array" aca="1" ref="C23" ca="1">INDIRECT("'C Impact of Technique'!D" &amp; 3 + (ROW(A19)-1)*4)</f>
        <v>1.0469999999999999</v>
      </c>
      <c r="D23" s="75" cm="1">
        <f t="array" aca="1" ref="D23" ca="1">INDIRECT("'C Impact of Technique'!D" &amp; 4 + (ROW(A19)-1)*4)</f>
        <v>1.0469999999999999</v>
      </c>
      <c r="E23" s="75" cm="1">
        <f t="array" aca="1" ref="E23" ca="1">INDIRECT("'C Impact of Technique'!N" &amp; 3 + (ROW(A19)-1)*4)*100</f>
        <v>0</v>
      </c>
      <c r="F23" s="78">
        <v>0.39938939501369475</v>
      </c>
      <c r="G23" s="4" t="s">
        <v>216</v>
      </c>
      <c r="H23" s="75" cm="1">
        <f t="array" aca="1" ref="H23" ca="1">INDIRECT("'C Impact of Technique'!M" &amp; 3 + (ROW(A19)-1)*4)</f>
        <v>16.218029999999999</v>
      </c>
      <c r="I23" s="75" cm="1">
        <f t="array" aca="1" ref="I23" ca="1">INDIRECT("'C Impact of Technique'!M" &amp; 4 + (ROW(A19)-1)*4)</f>
        <v>13.7157</v>
      </c>
      <c r="J23" s="75" cm="1">
        <f t="array" aca="1" ref="J23" ca="1">INDIRECT("'C Impact of Technique'!Q" &amp; 3 + (ROW(A19)-1)*4)*100</f>
        <v>-15.429309231762423</v>
      </c>
      <c r="K23" s="75">
        <v>4.9897996498349034E-7</v>
      </c>
      <c r="L23" s="75" t="s">
        <v>186</v>
      </c>
      <c r="M23" s="79" t="s">
        <v>63</v>
      </c>
      <c r="N23" s="75" cm="1">
        <f t="array" aca="1" ref="N23" ca="1">INDIRECT("'C Impact of Technique'!D" &amp; 5 + (ROW(A19)-1)*4)</f>
        <v>0.52400000000000002</v>
      </c>
      <c r="O23" s="75" cm="1">
        <f t="array" aca="1" ref="O23" ca="1">INDIRECT("'C Impact of Technique'!D" &amp; 6 + (ROW(A19)-1)*4)</f>
        <v>0.52400000000000002</v>
      </c>
      <c r="P23" s="75" cm="1">
        <f t="array" aca="1" ref="P23" ca="1">INDIRECT("'C Impact of Technique'!N" &amp; 5 + (ROW(A19)-1)*4)*100</f>
        <v>0</v>
      </c>
      <c r="Q23" s="75">
        <v>0.83025528391119641</v>
      </c>
      <c r="R23" s="75" t="s">
        <v>216</v>
      </c>
      <c r="S23" s="75" cm="1">
        <f t="array" aca="1" ref="S23" ca="1">INDIRECT("'C Impact of Technique'!M" &amp; 5 + (ROW(A19)-1)*4)</f>
        <v>5.9788399999999999</v>
      </c>
      <c r="T23" s="75" cm="1">
        <f t="array" aca="1" ref="T23" ca="1">INDIRECT("'C Impact of Technique'!M" &amp; 6 + (ROW(A19)-1)*4)</f>
        <v>6.4189999999999996</v>
      </c>
      <c r="U23" s="75" cm="1">
        <f t="array" aca="1" ref="U23" ca="1">INDIRECT("'C Impact of Technique'!Q" &amp; 5 + (ROW(A19)-1)*4)*100</f>
        <v>7.3619631901840439</v>
      </c>
      <c r="V23" s="75">
        <v>6.0432890079860344E-2</v>
      </c>
      <c r="W23" s="75" t="s">
        <v>186</v>
      </c>
      <c r="X23" s="75">
        <f t="shared" ca="1" si="0"/>
        <v>-4.0336730207891893</v>
      </c>
    </row>
    <row r="24" spans="2:24" x14ac:dyDescent="0.25">
      <c r="B24" s="77" t="s">
        <v>65</v>
      </c>
      <c r="C24" s="75" cm="1">
        <f t="array" aca="1" ref="C24" ca="1">INDIRECT("'C Impact of Technique'!D" &amp; 3 + (ROW(A20)-1)*4)</f>
        <v>1.0469999999999999</v>
      </c>
      <c r="D24" s="75" cm="1">
        <f t="array" aca="1" ref="D24" ca="1">INDIRECT("'C Impact of Technique'!D" &amp; 4 + (ROW(A20)-1)*4)</f>
        <v>1.0469999999999999</v>
      </c>
      <c r="E24" s="75" cm="1">
        <f t="array" aca="1" ref="E24" ca="1">INDIRECT("'C Impact of Technique'!N" &amp; 3 + (ROW(A20)-1)*4)*100</f>
        <v>0</v>
      </c>
      <c r="F24" s="78">
        <v>0.67349505280160316</v>
      </c>
      <c r="G24" s="4" t="s">
        <v>216</v>
      </c>
      <c r="H24" s="75" cm="1">
        <f t="array" aca="1" ref="H24" ca="1">INDIRECT("'C Impact of Technique'!M" &amp; 3 + (ROW(A20)-1)*4)</f>
        <v>22.269690000000001</v>
      </c>
      <c r="I24" s="75" cm="1">
        <f t="array" aca="1" ref="I24" ca="1">INDIRECT("'C Impact of Technique'!M" &amp; 4 + (ROW(A20)-1)*4)</f>
        <v>21.955590000000001</v>
      </c>
      <c r="J24" s="75" cm="1">
        <f t="array" aca="1" ref="J24" ca="1">INDIRECT("'C Impact of Technique'!Q" &amp; 3 + (ROW(A20)-1)*4)*100</f>
        <v>-1.4104372355430175</v>
      </c>
      <c r="K24" s="75">
        <v>0.4119108371475998</v>
      </c>
      <c r="L24" s="75" t="s">
        <v>216</v>
      </c>
      <c r="M24" s="79" t="s">
        <v>65</v>
      </c>
      <c r="N24" s="75" cm="1">
        <f t="array" aca="1" ref="N24" ca="1">INDIRECT("'C Impact of Technique'!D" &amp; 5 + (ROW(A20)-1)*4)</f>
        <v>1.0469999999999999</v>
      </c>
      <c r="O24" s="75" cm="1">
        <f t="array" aca="1" ref="O24" ca="1">INDIRECT("'C Impact of Technique'!D" &amp; 6 + (ROW(A20)-1)*4)</f>
        <v>1.0469999999999999</v>
      </c>
      <c r="P24" s="75" cm="1">
        <f t="array" aca="1" ref="P24" ca="1">INDIRECT("'C Impact of Technique'!N" &amp; 5 + (ROW(A20)-1)*4)*100</f>
        <v>0</v>
      </c>
      <c r="Q24" s="75">
        <v>0.79014705617455949</v>
      </c>
      <c r="R24" s="75" t="s">
        <v>216</v>
      </c>
      <c r="S24" s="75" cm="1">
        <f t="array" aca="1" ref="S24" ca="1">INDIRECT("'C Impact of Technique'!M" &amp; 5 + (ROW(A20)-1)*4)</f>
        <v>17.92464</v>
      </c>
      <c r="T24" s="75" cm="1">
        <f t="array" aca="1" ref="T24" ca="1">INDIRECT("'C Impact of Technique'!M" &amp; 6 + (ROW(A20)-1)*4)</f>
        <v>18.62613</v>
      </c>
      <c r="U24" s="75" cm="1">
        <f t="array" aca="1" ref="U24" ca="1">INDIRECT("'C Impact of Technique'!Q" &amp; 5 + (ROW(A20)-1)*4)*100</f>
        <v>3.9135514018691571</v>
      </c>
      <c r="V24" s="75">
        <v>7.1278365066801144E-2</v>
      </c>
      <c r="W24" s="75" t="s">
        <v>216</v>
      </c>
      <c r="X24" s="75">
        <f t="shared" ca="1" si="0"/>
        <v>1.2515570831630698</v>
      </c>
    </row>
    <row r="25" spans="2:24" x14ac:dyDescent="0.25">
      <c r="B25" s="77" t="s">
        <v>71</v>
      </c>
      <c r="C25" s="75" cm="1">
        <f t="array" aca="1" ref="C25" ca="1">INDIRECT("'C Impact of Technique'!D" &amp; 3 + (ROW(A21)-1)*4)</f>
        <v>4.1879999999999997</v>
      </c>
      <c r="D25" s="75" cm="1">
        <f t="array" aca="1" ref="D25" ca="1">INDIRECT("'C Impact of Technique'!D" &amp; 4 + (ROW(A21)-1)*4)</f>
        <v>4.2060000000000004</v>
      </c>
      <c r="E25" s="75" cm="1">
        <f t="array" aca="1" ref="E25" ca="1">INDIRECT("'C Impact of Technique'!N" &amp; 3 + (ROW(A21)-1)*4)*100</f>
        <v>0.42979942693411372</v>
      </c>
      <c r="F25" s="78">
        <v>0.77878396894228874</v>
      </c>
      <c r="G25" s="4" t="s">
        <v>216</v>
      </c>
      <c r="H25" s="75" cm="1">
        <f t="array" aca="1" ref="H25" ca="1">INDIRECT("'C Impact of Technique'!M" &amp; 3 + (ROW(A21)-1)*4)</f>
        <v>181.29852</v>
      </c>
      <c r="I25" s="75" cm="1">
        <f t="array" aca="1" ref="I25" ca="1">INDIRECT("'C Impact of Technique'!M" &amp; 4 + (ROW(A21)-1)*4)</f>
        <v>175.22196</v>
      </c>
      <c r="J25" s="75" cm="1">
        <f t="array" aca="1" ref="J25" ca="1">INDIRECT("'C Impact of Technique'!Q" &amp; 3 + (ROW(A21)-1)*4)*100</f>
        <v>-3.351687592375272</v>
      </c>
      <c r="K25" s="75">
        <v>1.0277332588914497E-6</v>
      </c>
      <c r="L25" s="75" t="s">
        <v>186</v>
      </c>
      <c r="M25" s="79" t="s">
        <v>71</v>
      </c>
      <c r="N25" s="75" cm="1">
        <f t="array" aca="1" ref="N25" ca="1">INDIRECT("'C Impact of Technique'!D" &amp; 5 + (ROW(A21)-1)*4)</f>
        <v>0.52300000000000002</v>
      </c>
      <c r="O25" s="75" cm="1">
        <f t="array" aca="1" ref="O25" ca="1">INDIRECT("'C Impact of Technique'!D" &amp; 6 + (ROW(A21)-1)*4)</f>
        <v>0.52300000000000002</v>
      </c>
      <c r="P25" s="75" cm="1">
        <f t="array" aca="1" ref="P25" ca="1">INDIRECT("'C Impact of Technique'!N" &amp; 5 + (ROW(A21)-1)*4)*100</f>
        <v>0</v>
      </c>
      <c r="Q25" s="75">
        <v>0.52495222827566668</v>
      </c>
      <c r="R25" s="75" t="s">
        <v>216</v>
      </c>
      <c r="S25" s="75" cm="1">
        <f t="array" aca="1" ref="S25" ca="1">INDIRECT("'C Impact of Technique'!M" &amp; 5 + (ROW(A21)-1)*4)</f>
        <v>6.6787099999999997</v>
      </c>
      <c r="T25" s="75" cm="1">
        <f t="array" aca="1" ref="T25" ca="1">INDIRECT("'C Impact of Technique'!M" &amp; 6 + (ROW(A21)-1)*4)</f>
        <v>7.38476</v>
      </c>
      <c r="U25" s="75" cm="1">
        <f t="array" aca="1" ref="U25" ca="1">INDIRECT("'C Impact of Technique'!Q" &amp; 5 + (ROW(A21)-1)*4)*100</f>
        <v>10.571652310101806</v>
      </c>
      <c r="V25" s="75">
        <v>6.0971423451739535E-3</v>
      </c>
      <c r="W25" s="75" t="s">
        <v>186</v>
      </c>
      <c r="X25" s="75">
        <f t="shared" ca="1" si="0"/>
        <v>3.6099823588632667</v>
      </c>
    </row>
    <row r="26" spans="2:24" x14ac:dyDescent="0.25">
      <c r="B26" s="77" t="s">
        <v>79</v>
      </c>
      <c r="C26" s="75" cm="1">
        <f t="array" aca="1" ref="C26" ca="1">INDIRECT("'C Impact of Technique'!D" &amp; 3 + (ROW(A22)-1)*4)</f>
        <v>11.519</v>
      </c>
      <c r="D26" s="75" cm="1">
        <f t="array" aca="1" ref="D26" ca="1">INDIRECT("'C Impact of Technique'!D" &amp; 4 + (ROW(A22)-1)*4)</f>
        <v>10.515000000000001</v>
      </c>
      <c r="E26" s="75" cm="1">
        <f t="array" aca="1" ref="E26" ca="1">INDIRECT("'C Impact of Technique'!N" &amp; 3 + (ROW(A22)-1)*4)*100</f>
        <v>-8.7160343779841956</v>
      </c>
      <c r="F26" s="78">
        <v>2.8719490663203402E-11</v>
      </c>
      <c r="G26" s="4" t="s">
        <v>186</v>
      </c>
      <c r="H26" s="75" cm="1">
        <f t="array" aca="1" ref="H26" ca="1">INDIRECT("'C Impact of Technique'!M" &amp; 3 + (ROW(A22)-1)*4)</f>
        <v>585.39558</v>
      </c>
      <c r="I26" s="75" cm="1">
        <f t="array" aca="1" ref="I26" ca="1">INDIRECT("'C Impact of Technique'!M" &amp; 4 + (ROW(A22)-1)*4)</f>
        <v>495.36165</v>
      </c>
      <c r="J26" s="75" cm="1">
        <f t="array" aca="1" ref="J26" ca="1">INDIRECT("'C Impact of Technique'!Q" &amp; 3 + (ROW(A22)-1)*4)*100</f>
        <v>-15.380015339371027</v>
      </c>
      <c r="K26" s="75">
        <v>2.8719490663203402E-11</v>
      </c>
      <c r="L26" s="75" t="s">
        <v>186</v>
      </c>
      <c r="M26" s="79" t="s">
        <v>79</v>
      </c>
      <c r="N26" s="75" cm="1">
        <f t="array" aca="1" ref="N26" ca="1">INDIRECT("'C Impact of Technique'!D" &amp; 5 + (ROW(A22)-1)*4)</f>
        <v>5.2359999999999998</v>
      </c>
      <c r="O26" s="75" cm="1">
        <f t="array" aca="1" ref="O26" ca="1">INDIRECT("'C Impact of Technique'!D" &amp; 6 + (ROW(A22)-1)*4)</f>
        <v>1.577</v>
      </c>
      <c r="P26" s="75" cm="1">
        <f t="array" aca="1" ref="P26" ca="1">INDIRECT("'C Impact of Technique'!N" &amp; 5 + (ROW(A22)-1)*4)*100</f>
        <v>-69.881588999236058</v>
      </c>
      <c r="Q26" s="75">
        <v>2.8719490663203402E-11</v>
      </c>
      <c r="R26" s="75" t="s">
        <v>186</v>
      </c>
      <c r="S26" s="75" cm="1">
        <f t="array" aca="1" ref="S26" ca="1">INDIRECT("'C Impact of Technique'!M" &amp; 5 + (ROW(A22)-1)*4)</f>
        <v>243.94524000000001</v>
      </c>
      <c r="T26" s="75" cm="1">
        <f t="array" aca="1" ref="T26" ca="1">INDIRECT("'C Impact of Technique'!M" &amp; 6 + (ROW(A22)-1)*4)</f>
        <v>51.741370000000003</v>
      </c>
      <c r="U26" s="75" cm="1">
        <f t="array" aca="1" ref="U26" ca="1">INDIRECT("'C Impact of Technique'!Q" &amp; 5 + (ROW(A22)-1)*4)*100</f>
        <v>-78.789760357693382</v>
      </c>
      <c r="V26" s="75">
        <v>2.8719490663203402E-11</v>
      </c>
      <c r="W26" s="75" t="s">
        <v>186</v>
      </c>
      <c r="X26" s="75">
        <f t="shared" ca="1" si="0"/>
        <v>-47.084887848532205</v>
      </c>
    </row>
    <row r="27" spans="2:24" x14ac:dyDescent="0.25">
      <c r="B27" s="77" t="s">
        <v>87</v>
      </c>
      <c r="C27" s="75" cm="1">
        <f t="array" aca="1" ref="C27" ca="1">INDIRECT("'C Impact of Technique'!D" &amp; 3 + (ROW(A23)-1)*4)</f>
        <v>0.52300000000000002</v>
      </c>
      <c r="D27" s="75" cm="1">
        <f t="array" aca="1" ref="D27" ca="1">INDIRECT("'C Impact of Technique'!D" &amp; 4 + (ROW(A23)-1)*4)</f>
        <v>0.52400000000000002</v>
      </c>
      <c r="E27" s="75" cm="1">
        <f t="array" aca="1" ref="E27" ca="1">INDIRECT("'C Impact of Technique'!N" &amp; 3 + (ROW(A23)-1)*4)*100</f>
        <v>0.191204588910134</v>
      </c>
      <c r="F27" s="78">
        <v>0.78445976894954661</v>
      </c>
      <c r="G27" s="4" t="s">
        <v>216</v>
      </c>
      <c r="H27" s="75" cm="1">
        <f t="array" aca="1" ref="H27" ca="1">INDIRECT("'C Impact of Technique'!M" &amp; 3 + (ROW(A23)-1)*4)</f>
        <v>6.2550800000000004</v>
      </c>
      <c r="I27" s="75" cm="1">
        <f t="array" aca="1" ref="I27" ca="1">INDIRECT("'C Impact of Technique'!M" &amp; 4 + (ROW(A23)-1)*4)</f>
        <v>5.30288</v>
      </c>
      <c r="J27" s="75" cm="1">
        <f t="array" aca="1" ref="J27" ca="1">INDIRECT("'C Impact of Technique'!Q" &amp; 3 + (ROW(A23)-1)*4)*100</f>
        <v>-15.222826886306814</v>
      </c>
      <c r="K27" s="75">
        <v>4.1284250161313174E-3</v>
      </c>
      <c r="L27" s="75" t="s">
        <v>215</v>
      </c>
      <c r="M27" s="79" t="s">
        <v>87</v>
      </c>
      <c r="N27" s="75" cm="1">
        <f t="array" aca="1" ref="N27" ca="1">INDIRECT("'C Impact of Technique'!D" &amp; 5 + (ROW(A23)-1)*4)</f>
        <v>0.52300000000000002</v>
      </c>
      <c r="O27" s="75" cm="1">
        <f t="array" aca="1" ref="O27" ca="1">INDIRECT("'C Impact of Technique'!D" &amp; 6 + (ROW(A23)-1)*4)</f>
        <v>0.52400000000000002</v>
      </c>
      <c r="P27" s="75" cm="1">
        <f t="array" aca="1" ref="P27" ca="1">INDIRECT("'C Impact of Technique'!N" &amp; 5 + (ROW(A23)-1)*4)*100</f>
        <v>0.191204588910134</v>
      </c>
      <c r="Q27" s="75">
        <v>0.15366723548509009</v>
      </c>
      <c r="R27" s="75" t="s">
        <v>216</v>
      </c>
      <c r="S27" s="75" cm="1">
        <f t="array" aca="1" ref="S27" ca="1">INDIRECT("'C Impact of Technique'!M" &amp; 5 + (ROW(A23)-1)*4)</f>
        <v>5.3450600000000001</v>
      </c>
      <c r="T27" s="75" cm="1">
        <f t="array" aca="1" ref="T27" ca="1">INDIRECT("'C Impact of Technique'!M" &amp; 6 + (ROW(A23)-1)*4)</f>
        <v>6.1622399999999997</v>
      </c>
      <c r="U27" s="75" cm="1">
        <f t="array" aca="1" ref="U27" ca="1">INDIRECT("'C Impact of Technique'!Q" &amp; 5 + (ROW(A23)-1)*4)*100</f>
        <v>15.288509389978774</v>
      </c>
      <c r="V27" s="75">
        <v>1.6616878967820659E-2</v>
      </c>
      <c r="W27" s="75" t="s">
        <v>185</v>
      </c>
      <c r="X27" s="75">
        <f t="shared" ca="1" si="0"/>
        <v>3.2841251835979968E-2</v>
      </c>
    </row>
    <row r="28" spans="2:24" x14ac:dyDescent="0.25">
      <c r="B28" s="77" t="s">
        <v>91</v>
      </c>
      <c r="C28" s="75" cm="1">
        <f t="array" aca="1" ref="C28" ca="1">INDIRECT("'C Impact of Technique'!D" &amp; 3 + (ROW(A24)-1)*4)</f>
        <v>8.3770000000000007</v>
      </c>
      <c r="D28" s="75" cm="1">
        <f t="array" aca="1" ref="D28" ca="1">INDIRECT("'C Impact of Technique'!D" &amp; 4 + (ROW(A24)-1)*4)</f>
        <v>4.1879999999999997</v>
      </c>
      <c r="E28" s="75" cm="1">
        <f t="array" aca="1" ref="E28" ca="1">INDIRECT("'C Impact of Technique'!N" &amp; 3 + (ROW(A24)-1)*4)*100</f>
        <v>-50.005968723886838</v>
      </c>
      <c r="F28" s="78">
        <v>2.8719490663203402E-11</v>
      </c>
      <c r="G28" s="4" t="s">
        <v>186</v>
      </c>
      <c r="H28" s="75" cm="1">
        <f t="array" aca="1" ref="H28" ca="1">INDIRECT("'C Impact of Technique'!M" &amp; 3 + (ROW(A24)-1)*4)</f>
        <v>391.37344000000002</v>
      </c>
      <c r="I28" s="75" cm="1">
        <f t="array" aca="1" ref="I28" ca="1">INDIRECT("'C Impact of Technique'!M" &amp; 4 + (ROW(A24)-1)*4)</f>
        <v>165.25847999999999</v>
      </c>
      <c r="J28" s="75" cm="1">
        <f t="array" aca="1" ref="J28" ca="1">INDIRECT("'C Impact of Technique'!Q" &amp; 3 + (ROW(A24)-1)*4)*100</f>
        <v>-57.77473300181024</v>
      </c>
      <c r="K28" s="75">
        <v>2.8719490663203402E-11</v>
      </c>
      <c r="L28" s="75" t="s">
        <v>186</v>
      </c>
      <c r="M28" s="79" t="s">
        <v>91</v>
      </c>
      <c r="N28" s="75" cm="1">
        <f t="array" aca="1" ref="N28" ca="1">INDIRECT("'C Impact of Technique'!D" &amp; 5 + (ROW(A24)-1)*4)</f>
        <v>0.52300000000000002</v>
      </c>
      <c r="O28" s="75" cm="1">
        <f t="array" aca="1" ref="O28" ca="1">INDIRECT("'C Impact of Technique'!D" &amp; 6 + (ROW(A24)-1)*4)</f>
        <v>1.506</v>
      </c>
      <c r="P28" s="75" cm="1">
        <f t="array" aca="1" ref="P28" ca="1">INDIRECT("'C Impact of Technique'!N" &amp; 5 + (ROW(A24)-1)*4)*100</f>
        <v>187.95411089866155</v>
      </c>
      <c r="Q28" s="75">
        <v>2.8719490663203402E-11</v>
      </c>
      <c r="R28" s="75" t="s">
        <v>186</v>
      </c>
      <c r="S28" s="75" cm="1">
        <f t="array" aca="1" ref="S28" ca="1">INDIRECT("'C Impact of Technique'!M" &amp; 5 + (ROW(A24)-1)*4)</f>
        <v>6.7153200000000002</v>
      </c>
      <c r="T28" s="75" cm="1">
        <f t="array" aca="1" ref="T28" ca="1">INDIRECT("'C Impact of Technique'!M" &amp; 6 + (ROW(A24)-1)*4)</f>
        <v>36.912059999999997</v>
      </c>
      <c r="U28" s="75" cm="1">
        <f t="array" aca="1" ref="U28" ca="1">INDIRECT("'C Impact of Technique'!Q" &amp; 5 + (ROW(A24)-1)*4)*100</f>
        <v>449.66941262665063</v>
      </c>
      <c r="V28" s="75">
        <v>2.8719490663203402E-11</v>
      </c>
      <c r="W28" s="75" t="s">
        <v>186</v>
      </c>
      <c r="X28" s="75">
        <f t="shared" ca="1" si="0"/>
        <v>195.94733981242018</v>
      </c>
    </row>
    <row r="29" spans="2:24" x14ac:dyDescent="0.25">
      <c r="B29" s="77" t="s">
        <v>93</v>
      </c>
      <c r="C29" s="75" cm="1">
        <f t="array" aca="1" ref="C29" ca="1">INDIRECT("'C Impact of Technique'!D" &amp; 3 + (ROW(A25)-1)*4)</f>
        <v>433.04700000000003</v>
      </c>
      <c r="D29" s="75" cm="1">
        <f t="array" aca="1" ref="D29" ca="1">INDIRECT("'C Impact of Technique'!D" &amp; 4 + (ROW(A25)-1)*4)</f>
        <v>209.54300000000001</v>
      </c>
      <c r="E29" s="75" cm="1">
        <f t="array" aca="1" ref="E29" ca="1">INDIRECT("'C Impact of Technique'!N" &amp; 3 + (ROW(A25)-1)*4)*100</f>
        <v>-51.611949742175788</v>
      </c>
      <c r="F29" s="78">
        <v>2.8719490663203402E-11</v>
      </c>
      <c r="G29" s="4" t="s">
        <v>186</v>
      </c>
      <c r="H29" s="75" cm="1">
        <f t="array" aca="1" ref="H29" ca="1">INDIRECT("'C Impact of Technique'!M" &amp; 3 + (ROW(A25)-1)*4)</f>
        <v>21712.976579999999</v>
      </c>
      <c r="I29" s="75" cm="1">
        <f t="array" aca="1" ref="I29" ca="1">INDIRECT("'C Impact of Technique'!M" &amp; 4 + (ROW(A25)-1)*4)</f>
        <v>10741.17418</v>
      </c>
      <c r="J29" s="75" cm="1">
        <f t="array" aca="1" ref="J29" ca="1">INDIRECT("'C Impact of Technique'!Q" &amp; 3 + (ROW(A25)-1)*4)*100</f>
        <v>-50.531083840924026</v>
      </c>
      <c r="K29" s="75">
        <v>2.8719490663203402E-11</v>
      </c>
      <c r="L29" s="75" t="s">
        <v>186</v>
      </c>
      <c r="M29" s="79" t="s">
        <v>93</v>
      </c>
      <c r="N29" s="75" cm="1">
        <f t="array" aca="1" ref="N29" ca="1">INDIRECT("'C Impact of Technique'!D" &amp; 5 + (ROW(A25)-1)*4)</f>
        <v>0.52600000000000002</v>
      </c>
      <c r="O29" s="75" cm="1">
        <f t="array" aca="1" ref="O29" ca="1">INDIRECT("'C Impact of Technique'!D" &amp; 6 + (ROW(A25)-1)*4)</f>
        <v>0.52600000000000002</v>
      </c>
      <c r="P29" s="75" cm="1">
        <f t="array" aca="1" ref="P29" ca="1">INDIRECT("'C Impact of Technique'!N" &amp; 5 + (ROW(A25)-1)*4)*100</f>
        <v>0</v>
      </c>
      <c r="Q29" s="75">
        <v>0.63087629216171981</v>
      </c>
      <c r="R29" s="75" t="s">
        <v>186</v>
      </c>
      <c r="S29" s="75" cm="1">
        <f t="array" aca="1" ref="S29" ca="1">INDIRECT("'C Impact of Technique'!M" &amp; 5 + (ROW(A25)-1)*4)</f>
        <v>5.2074000000000007</v>
      </c>
      <c r="T29" s="75" cm="1">
        <f t="array" aca="1" ref="T29" ca="1">INDIRECT("'C Impact of Technique'!M" &amp; 6 + (ROW(A25)-1)*4)</f>
        <v>5.5703399999999998</v>
      </c>
      <c r="U29" s="75" cm="1">
        <f t="array" aca="1" ref="U29" ca="1">INDIRECT("'C Impact of Technique'!Q" &amp; 5 + (ROW(A25)-1)*4)*100</f>
        <v>6.969696969696952</v>
      </c>
      <c r="V29" s="75">
        <v>0.32917742467820887</v>
      </c>
      <c r="W29" s="75" t="s">
        <v>186</v>
      </c>
      <c r="X29" s="75">
        <f t="shared" ca="1" si="0"/>
        <v>-21.780693435613536</v>
      </c>
    </row>
    <row r="30" spans="2:24" x14ac:dyDescent="0.25">
      <c r="B30" s="27" t="s">
        <v>95</v>
      </c>
      <c r="C30" s="75" cm="1">
        <f t="array" aca="1" ref="C30" ca="1">INDIRECT("'C Impact of Technique'!D" &amp; 3 + (ROW(A26)-1)*4)</f>
        <v>546.57600000000002</v>
      </c>
      <c r="D30" s="75" cm="1">
        <f t="array" aca="1" ref="D30" ca="1">INDIRECT("'C Impact of Technique'!D" &amp; 4 + (ROW(A26)-1)*4)</f>
        <v>523.52599999999995</v>
      </c>
      <c r="E30" s="75" cm="1">
        <f t="array" aca="1" ref="E30" ca="1">INDIRECT("'C Impact of Technique'!N" &amp; 3 + (ROW(A26)-1)*4)*100</f>
        <v>-4.2171628465208988</v>
      </c>
      <c r="F30" s="78">
        <v>2.8719490663203402E-11</v>
      </c>
      <c r="G30" s="4" t="s">
        <v>186</v>
      </c>
      <c r="H30" s="75" cm="1">
        <f t="array" aca="1" ref="H30" ca="1">INDIRECT("'C Impact of Technique'!M" &amp; 3 + (ROW(A26)-1)*4)</f>
        <v>29761.063200000001</v>
      </c>
      <c r="I30" s="75" cm="1">
        <f t="array" aca="1" ref="I30" ca="1">INDIRECT("'C Impact of Technique'!M" &amp; 4 + (ROW(A26)-1)*4)</f>
        <v>28505.990699999998</v>
      </c>
      <c r="J30" s="75" cm="1">
        <f t="array" aca="1" ref="J30" ca="1">INDIRECT("'C Impact of Technique'!Q" &amp; 3 + (ROW(A26)-1)*4)*100</f>
        <v>-4.2171628465208926</v>
      </c>
      <c r="K30" s="75">
        <v>3.5097576968084933E-11</v>
      </c>
      <c r="L30" s="75" t="s">
        <v>186</v>
      </c>
      <c r="M30" s="80" t="s">
        <v>95</v>
      </c>
      <c r="N30" s="75" cm="1">
        <f t="array" aca="1" ref="N30" ca="1">INDIRECT("'C Impact of Technique'!D" &amp; 5 + (ROW(A26)-1)*4)</f>
        <v>212.464</v>
      </c>
      <c r="O30" s="75" cm="1">
        <f t="array" aca="1" ref="O30" ca="1">INDIRECT("'C Impact of Technique'!D" &amp; 6 + (ROW(A26)-1)*4)</f>
        <v>201.66900000000001</v>
      </c>
      <c r="P30" s="75" cm="1">
        <f t="array" aca="1" ref="P30" ca="1">INDIRECT("'C Impact of Technique'!N" &amp; 5 + (ROW(A26)-1)*4)*100</f>
        <v>-5.0808607575871623</v>
      </c>
      <c r="Q30" s="75">
        <v>2.8719490663203402E-11</v>
      </c>
      <c r="R30" s="75" t="s">
        <v>186</v>
      </c>
      <c r="S30" s="75" cm="1">
        <f t="array" aca="1" ref="S30" ca="1">INDIRECT("'C Impact of Technique'!M" &amp; 5 + (ROW(A26)-1)*4)</f>
        <v>11781.1288</v>
      </c>
      <c r="T30" s="75" cm="1">
        <f t="array" aca="1" ref="T30" ca="1">INDIRECT("'C Impact of Technique'!M" &amp; 6 + (ROW(A26)-1)*4)</f>
        <v>11031.2943</v>
      </c>
      <c r="U30" s="75" cm="1">
        <f t="array" aca="1" ref="U30" ca="1">INDIRECT("'C Impact of Technique'!Q" &amp; 5 + (ROW(A26)-1)*4)*100</f>
        <v>-6.3647084479714771</v>
      </c>
      <c r="V30" s="75">
        <v>2.8719490663203402E-11</v>
      </c>
      <c r="W30" s="75" t="s">
        <v>186</v>
      </c>
      <c r="X30" s="75">
        <f t="shared" ca="1" si="0"/>
        <v>-5.2909356472461848</v>
      </c>
    </row>
    <row r="32" spans="2:24" ht="18.75" x14ac:dyDescent="0.3">
      <c r="B32" s="119" t="s">
        <v>155</v>
      </c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1"/>
    </row>
    <row r="33" spans="2:15" ht="15.75" x14ac:dyDescent="0.25">
      <c r="B33" s="114" t="s">
        <v>211</v>
      </c>
      <c r="C33" s="115"/>
      <c r="D33" s="115"/>
      <c r="E33" s="116"/>
      <c r="F33" s="81"/>
      <c r="G33" s="114" t="s">
        <v>211</v>
      </c>
      <c r="H33" s="115"/>
      <c r="I33" s="115"/>
      <c r="J33" s="116"/>
      <c r="K33" s="81"/>
      <c r="L33" s="114" t="s">
        <v>211</v>
      </c>
      <c r="M33" s="115"/>
      <c r="N33" s="115"/>
      <c r="O33" s="116"/>
    </row>
    <row r="34" spans="2:15" x14ac:dyDescent="0.25">
      <c r="B34" s="108" t="s">
        <v>149</v>
      </c>
      <c r="C34" s="109"/>
      <c r="D34" s="109"/>
      <c r="E34" s="110"/>
      <c r="F34" s="82"/>
      <c r="G34" s="108" t="s">
        <v>150</v>
      </c>
      <c r="H34" s="109"/>
      <c r="I34" s="109"/>
      <c r="J34" s="110"/>
      <c r="K34" s="82"/>
      <c r="L34" s="108" t="s">
        <v>222</v>
      </c>
      <c r="M34" s="109"/>
      <c r="N34" s="109"/>
      <c r="O34" s="110"/>
    </row>
    <row r="35" spans="2:15" x14ac:dyDescent="0.25">
      <c r="B35" s="50" t="s">
        <v>155</v>
      </c>
      <c r="C35" s="51" t="s">
        <v>179</v>
      </c>
      <c r="D35" s="51" t="s">
        <v>180</v>
      </c>
      <c r="E35" s="52" t="s">
        <v>181</v>
      </c>
      <c r="F35" s="82"/>
      <c r="G35" s="50" t="s">
        <v>155</v>
      </c>
      <c r="H35" s="51" t="s">
        <v>179</v>
      </c>
      <c r="I35" s="51" t="s">
        <v>180</v>
      </c>
      <c r="J35" s="52" t="s">
        <v>181</v>
      </c>
      <c r="K35" s="82"/>
      <c r="L35" s="50" t="s">
        <v>155</v>
      </c>
      <c r="M35" s="51" t="s">
        <v>179</v>
      </c>
      <c r="N35" s="51" t="s">
        <v>180</v>
      </c>
      <c r="O35" s="52" t="s">
        <v>181</v>
      </c>
    </row>
    <row r="36" spans="2:15" x14ac:dyDescent="0.25">
      <c r="B36" s="5" t="s">
        <v>182</v>
      </c>
      <c r="C36" s="39" cm="1">
        <f t="array" aca="1" ref="C36" ca="1">AVERAGE(_xlfn._xlws.FILTER($J$5:$J$30, ISNUMBER(MATCH($B$5:$B$30, _xlfn.TEXTSPLIT(_xlfn.TEXTJOIN(", ", TRUE, AA6:AA8), ", "), 0))))</f>
        <v>-30.520388212913694</v>
      </c>
      <c r="D36" s="39" cm="1">
        <f t="array" aca="1" ref="D36" ca="1">MIN(_xlfn._xlws.FILTER($J$5:$J$30, ISNUMBER(MATCH($B$5:$B$30, _xlfn.TEXTSPLIT(_xlfn.TEXTJOIN(", ", TRUE, AA6:AA8), ", "), 0))))</f>
        <v>-99.692291932242398</v>
      </c>
      <c r="E36" s="39" cm="1">
        <f t="array" aca="1" ref="E36" ca="1">MAX(_xlfn._xlws.FILTER($J$5:$J$30, ISNUMBER(MATCH($B$5:$B$30, _xlfn.TEXTSPLIT(_xlfn.TEXTJOIN(", ", TRUE, AA6:AA8), ", "), 0))))</f>
        <v>-3.351687592375272</v>
      </c>
      <c r="F36" s="82"/>
      <c r="G36" s="5" t="s">
        <v>182</v>
      </c>
      <c r="H36" s="39" cm="1">
        <f t="array" aca="1" ref="H36" ca="1">AVERAGE(_xlfn._xlws.FILTER($U$5:$U$30, ISNUMBER(MATCH($M$5:$M$30, _xlfn.TEXTSPLIT(_xlfn.TEXTJOIN(", ", TRUE, AD6:AD8), ", "), 0))))</f>
        <v>-42.201081750605205</v>
      </c>
      <c r="I36" s="39" cm="1">
        <f t="array" aca="1" ref="I36" ca="1">MIN(_xlfn._xlws.FILTER($U$5:$U$30, ISNUMBER(MATCH($M$5:$M$30, _xlfn.TEXTSPLIT(_xlfn.TEXTJOIN(", ", TRUE, AD6:AD8), ", "), 0))))</f>
        <v>-99.871559371234</v>
      </c>
      <c r="J36" s="39" cm="1">
        <f t="array" aca="1" ref="J36" ca="1">MAX(_xlfn._xlws.FILTER($U$5:$U$30, ISNUMBER(MATCH($M$5:$M$30, _xlfn.TEXTSPLIT(_xlfn.TEXTJOIN(", ", TRUE, AD6:AD8), ", "), 0))))</f>
        <v>-3.8106862904193144</v>
      </c>
      <c r="K36" s="82"/>
      <c r="L36" s="5" t="s">
        <v>182</v>
      </c>
      <c r="M36" s="39">
        <f ca="1">AVERAGE(C36,H36)</f>
        <v>-36.36073498175945</v>
      </c>
      <c r="N36" s="39">
        <f ca="1">MIN(D36,I36)</f>
        <v>-99.871559371234</v>
      </c>
      <c r="O36" s="39">
        <f ca="1">MAX(E36,J36)</f>
        <v>-3.351687592375272</v>
      </c>
    </row>
    <row r="37" spans="2:15" x14ac:dyDescent="0.25">
      <c r="B37" s="5" t="s">
        <v>183</v>
      </c>
      <c r="C37" s="39" cm="1">
        <f t="array" aca="1" ref="C37" ca="1">AVERAGE(_xlfn._xlws.FILTER($J$5:$J$30, ISNUMBER(MATCH($B$5:$B$30, _xlfn.TEXTSPLIT(_xlfn.TEXTJOIN(", ", TRUE, AA9), ", "), 0))))</f>
        <v>0.19866706355645763</v>
      </c>
      <c r="D37" s="39" cm="1">
        <f t="array" aca="1" ref="D37" ca="1">MIN(_xlfn._xlws.FILTER($J$5:$J$30, ISNUMBER(MATCH($B$5:$B$30, _xlfn.TEXTSPLIT(_xlfn.TEXTJOIN(", ", TRUE, AA9), ", "), 0))))</f>
        <v>-1.4104372355430175</v>
      </c>
      <c r="E37" s="39" cm="1">
        <f t="array" aca="1" ref="E37" ca="1">MAX(_xlfn._xlws.FILTER($J$5:$J$30, ISNUMBER(MATCH($B$5:$B$30, _xlfn.TEXTSPLIT(_xlfn.TEXTJOIN(", ", TRUE, AA9), ", "), 0))))</f>
        <v>1.8577494692144394</v>
      </c>
      <c r="F37" s="82"/>
      <c r="G37" s="5" t="s">
        <v>183</v>
      </c>
      <c r="H37" s="39" t="e" cm="1" vm="1">
        <f t="array" aca="1" ref="H37" ca="1">AVERAGE(_xlfn._xlws.FILTER($U$5:$U$30, ISNUMBER(MATCH($M$5:$M$30, _xlfn.TEXTSPLIT(_xlfn.TEXTJOIN(", ", TRUE, AD9), ", "), 0))))</f>
        <v>#VALUE!</v>
      </c>
      <c r="I37" s="39" t="e" cm="1" vm="1">
        <f t="array" aca="1" ref="I37" ca="1">MIN(_xlfn._xlws.FILTER($U$5:$U$30, ISNUMBER(MATCH($M$5:$M$30, _xlfn.TEXTSPLIT(_xlfn.TEXTJOIN(", ", TRUE, AD9), ", "), 0))))</f>
        <v>#VALUE!</v>
      </c>
      <c r="J37" s="39" t="e" cm="1" vm="1">
        <f t="array" aca="1" ref="J37" ca="1">MAX(_xlfn._xlws.FILTER($U$5:$U$30, ISNUMBER(MATCH($M$5:$M$30, _xlfn.TEXTSPLIT(_xlfn.TEXTJOIN(", ", TRUE, AD9), ", "), 0))))</f>
        <v>#VALUE!</v>
      </c>
      <c r="K37" s="82"/>
      <c r="L37" s="5" t="s">
        <v>183</v>
      </c>
      <c r="M37" s="39" t="e" vm="2">
        <f ca="1">AVERAGE(C37,H37)</f>
        <v>#VALUE!</v>
      </c>
      <c r="N37" s="39" t="e" vm="2">
        <f ca="1">MIN(D37,I37)</f>
        <v>#VALUE!</v>
      </c>
      <c r="O37" s="39" t="e" vm="2">
        <f ca="1">MAX(E37,J37)</f>
        <v>#VALUE!</v>
      </c>
    </row>
    <row r="38" spans="2:15" x14ac:dyDescent="0.25">
      <c r="B38" s="5" t="s">
        <v>184</v>
      </c>
      <c r="C38" s="39" cm="1">
        <f t="array" aca="1" ref="C38" ca="1">AVERAGE(_xlfn._xlws.FILTER($J$5:$J$30, ISNUMBER(MATCH($B$5:$B$30, _xlfn.TEXTSPLIT(_xlfn.TEXTJOIN(", ", TRUE, AA10:AA12), ", "), 0))))</f>
        <v>47.888012085922057</v>
      </c>
      <c r="D38" s="39" cm="1">
        <f t="array" aca="1" ref="D38" ca="1">MIN(_xlfn._xlws.FILTER($J$5:$J$30, ISNUMBER(MATCH($B$5:$B$30, _xlfn.TEXTSPLIT(_xlfn.TEXTJOIN(", ", TRUE, AA10:AA12), ", "), 0))))</f>
        <v>17.42869480071947</v>
      </c>
      <c r="E38" s="39" cm="1">
        <f t="array" aca="1" ref="E38" ca="1">MAX(_xlfn._xlws.FILTER($J$5:$J$30, ISNUMBER(MATCH($B$5:$B$30, _xlfn.TEXTSPLIT(_xlfn.TEXTJOIN(", ", TRUE, AA10:AA12), ", "), 0))))</f>
        <v>117.53809318882146</v>
      </c>
      <c r="F38" s="82"/>
      <c r="G38" s="5" t="s">
        <v>184</v>
      </c>
      <c r="H38" s="39" cm="1">
        <f t="array" aca="1" ref="H38" ca="1">AVERAGE(_xlfn._xlws.FILTER($U$5:$U$30, ISNUMBER(MATCH($M$5:$M$30, _xlfn.TEXTSPLIT(_xlfn.TEXTJOIN(", ", TRUE, AD10:AD12), ", "), 0))))</f>
        <v>53.484349579538225</v>
      </c>
      <c r="I38" s="39" cm="1">
        <f t="array" aca="1" ref="I38" ca="1">MIN(_xlfn._xlws.FILTER($U$5:$U$30, ISNUMBER(MATCH($M$5:$M$30, _xlfn.TEXTSPLIT(_xlfn.TEXTJOIN(", ", TRUE, AD10:AD12), ", "), 0))))</f>
        <v>3.9135514018691571</v>
      </c>
      <c r="J38" s="39" cm="1">
        <f t="array" aca="1" ref="J38" ca="1">MAX(_xlfn._xlws.FILTER($U$5:$U$30, ISNUMBER(MATCH($M$5:$M$30, _xlfn.TEXTSPLIT(_xlfn.TEXTJOIN(", ", TRUE, AD10:AD12), ", "), 0))))</f>
        <v>449.66941262665063</v>
      </c>
      <c r="K38" s="82"/>
      <c r="L38" s="5" t="s">
        <v>184</v>
      </c>
      <c r="M38" s="39">
        <f ca="1">AVERAGE(C38,H38)</f>
        <v>50.686180832730145</v>
      </c>
      <c r="N38" s="39">
        <f ca="1">MIN(D38,I38)</f>
        <v>3.9135514018691571</v>
      </c>
      <c r="O38" s="39">
        <f ca="1">MAX(E38,J38)</f>
        <v>449.66941262665063</v>
      </c>
    </row>
    <row r="39" spans="2:15" x14ac:dyDescent="0.25">
      <c r="B39" s="5" t="s">
        <v>121</v>
      </c>
      <c r="C39" s="39" cm="1">
        <f t="array" aca="1" ref="C39" ca="1">AVERAGE(_xlfn._xlws.FILTER($J$5:$J$30, ISNUMBER(MATCH($B$5:$B$30, _xlfn.TEXTSPLIT(_xlfn.TEXTJOIN(", ", TRUE, AA6:AA12), ", "), 0))))</f>
        <v>-9.5343390638164056</v>
      </c>
      <c r="D39" s="39" cm="1">
        <f t="array" aca="1" ref="D39" ca="1">MIN(_xlfn._xlws.FILTER($J$5:$J$30, ISNUMBER(MATCH($B$5:$B$30, _xlfn.TEXTSPLIT(_xlfn.TEXTJOIN(", ", TRUE, AA6:AA12), ", "), 0))))</f>
        <v>-99.692291932242398</v>
      </c>
      <c r="E39" s="39" cm="1">
        <f t="array" aca="1" ref="E39" ca="1">MAX(_xlfn._xlws.FILTER($J$5:$J$30, ISNUMBER(MATCH($B$5:$B$30, _xlfn.TEXTSPLIT(_xlfn.TEXTJOIN(", ", TRUE, AA6:AA12), ", "), 0))))</f>
        <v>117.53809318882146</v>
      </c>
      <c r="F39" s="83"/>
      <c r="G39" s="5" t="s">
        <v>121</v>
      </c>
      <c r="H39" s="39" cm="1">
        <f t="array" aca="1" ref="H39" ca="1">AVERAGE(_xlfn._xlws.FILTER($U$5:$U$30, ISNUMBER(MATCH($M$5:$M$30, _xlfn.TEXTSPLIT(_xlfn.TEXTJOIN(", ", TRUE, AD6:AD12), ", "), 0))))</f>
        <v>1.9614250171532992</v>
      </c>
      <c r="I39" s="39" cm="1">
        <f t="array" aca="1" ref="I39" ca="1">MIN(_xlfn._xlws.FILTER($U$5:$U$30, ISNUMBER(MATCH($M$5:$M$30, _xlfn.TEXTSPLIT(_xlfn.TEXTJOIN(", ", TRUE, AD6:AD12), ", "), 0))))</f>
        <v>-99.871559371234</v>
      </c>
      <c r="J39" s="39" cm="1">
        <f t="array" aca="1" ref="J39" ca="1">MAX(_xlfn._xlws.FILTER($U$5:$U$30, ISNUMBER(MATCH($M$5:$M$30, _xlfn.TEXTSPLIT(_xlfn.TEXTJOIN(", ", TRUE, AD6:AD12), ", "), 0))))</f>
        <v>449.66941262665063</v>
      </c>
      <c r="K39" s="83"/>
      <c r="L39" s="5" t="s">
        <v>121</v>
      </c>
      <c r="M39" s="39">
        <f ca="1">AVERAGE(C39,H39)</f>
        <v>-3.7864570233315531</v>
      </c>
      <c r="N39" s="39">
        <f ca="1">MIN(D39,I39)</f>
        <v>-99.871559371234</v>
      </c>
      <c r="O39" s="39">
        <f ca="1">MAX(E39,J39)</f>
        <v>449.66941262665063</v>
      </c>
    </row>
    <row r="41" spans="2:15" ht="21" x14ac:dyDescent="0.35">
      <c r="B41" s="111" t="s">
        <v>154</v>
      </c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3"/>
    </row>
    <row r="42" spans="2:15" ht="15.75" x14ac:dyDescent="0.25">
      <c r="B42" s="114" t="s">
        <v>211</v>
      </c>
      <c r="C42" s="115"/>
      <c r="D42" s="115"/>
      <c r="E42" s="116"/>
      <c r="F42" s="81"/>
      <c r="G42" s="114" t="s">
        <v>211</v>
      </c>
      <c r="H42" s="115"/>
      <c r="I42" s="115"/>
      <c r="J42" s="116"/>
      <c r="K42" s="81"/>
      <c r="L42" s="114" t="s">
        <v>211</v>
      </c>
      <c r="M42" s="115"/>
      <c r="N42" s="115"/>
      <c r="O42" s="116"/>
    </row>
    <row r="43" spans="2:15" x14ac:dyDescent="0.25">
      <c r="B43" s="108" t="s">
        <v>149</v>
      </c>
      <c r="C43" s="109"/>
      <c r="D43" s="109"/>
      <c r="E43" s="110"/>
      <c r="F43" s="82"/>
      <c r="G43" s="108" t="s">
        <v>150</v>
      </c>
      <c r="H43" s="109"/>
      <c r="I43" s="109"/>
      <c r="J43" s="110"/>
      <c r="K43" s="82"/>
      <c r="L43" s="108" t="s">
        <v>222</v>
      </c>
      <c r="M43" s="109"/>
      <c r="N43" s="109"/>
      <c r="O43" s="110"/>
    </row>
    <row r="44" spans="2:15" x14ac:dyDescent="0.25">
      <c r="B44" s="50" t="s">
        <v>155</v>
      </c>
      <c r="C44" s="108" t="s">
        <v>220</v>
      </c>
      <c r="D44" s="109"/>
      <c r="E44" s="15" t="s">
        <v>219</v>
      </c>
      <c r="F44" s="84"/>
      <c r="G44" s="50" t="s">
        <v>155</v>
      </c>
      <c r="H44" s="108" t="s">
        <v>220</v>
      </c>
      <c r="I44" s="109"/>
      <c r="J44" s="15" t="s">
        <v>219</v>
      </c>
      <c r="K44" s="82"/>
      <c r="L44" s="50" t="s">
        <v>155</v>
      </c>
      <c r="M44" s="108" t="s">
        <v>220</v>
      </c>
      <c r="N44" s="109"/>
      <c r="O44" s="15" t="s">
        <v>219</v>
      </c>
    </row>
    <row r="45" spans="2:15" x14ac:dyDescent="0.25">
      <c r="B45" s="5" t="s">
        <v>182</v>
      </c>
      <c r="C45" s="106" cm="1">
        <f t="array" aca="1" ref="C45" ca="1">COUNT(_xlfn._xlws.FILTER($J$5:$J$30, ISNUMBER(MATCH($B$5:$B$30, _xlfn.TEXTSPLIT(_xlfn.TEXTJOIN(", ", TRUE, AA6:AA8), ", "), 0))))</f>
        <v>16</v>
      </c>
      <c r="D45" s="107"/>
      <c r="E45" s="67">
        <f ca="1">C45/C$48</f>
        <v>0.61538461538461542</v>
      </c>
      <c r="F45" s="82"/>
      <c r="G45" s="5" t="s">
        <v>182</v>
      </c>
      <c r="H45" s="106" cm="1">
        <f t="array" aca="1" ref="H45" ca="1">COUNT(_xlfn._xlws.FILTER($U$5:$U$30, ISNUMBER(MATCH($M$5:$M$30, _xlfn.TEXTSPLIT(_xlfn.TEXTJOIN(", ", TRUE, AD6:AD8), ", "), 0))))</f>
        <v>14</v>
      </c>
      <c r="I45" s="107"/>
      <c r="J45" s="67">
        <f ca="1">H45/H$48</f>
        <v>0.53846153846153844</v>
      </c>
      <c r="K45" s="82"/>
      <c r="L45" s="5" t="s">
        <v>182</v>
      </c>
      <c r="M45" s="106">
        <f ca="1">SUM(C45,H45)</f>
        <v>30</v>
      </c>
      <c r="N45" s="107"/>
      <c r="O45" s="67">
        <f ca="1">M45/M$48</f>
        <v>0.57692307692307687</v>
      </c>
    </row>
    <row r="46" spans="2:15" x14ac:dyDescent="0.25">
      <c r="B46" s="5" t="s">
        <v>183</v>
      </c>
      <c r="C46" s="106" cm="1">
        <f t="array" aca="1" ref="C46" ca="1">COUNT(_xlfn._xlws.FILTER($J$5:$J$30, ISNUMBER(MATCH($B$5:$B$30, _xlfn.TEXTSPLIT(_xlfn.TEXTJOIN(", ", TRUE, AA9), ", "), 0))))</f>
        <v>5</v>
      </c>
      <c r="D46" s="107"/>
      <c r="E46" s="67">
        <f t="shared" ref="E46:E48" ca="1" si="1">C46/C$48</f>
        <v>0.19230769230769232</v>
      </c>
      <c r="F46" s="82"/>
      <c r="G46" s="5" t="s">
        <v>183</v>
      </c>
      <c r="H46" s="106" cm="1">
        <f t="array" aca="1" ref="H46" ca="1">COUNT(_xlfn._xlws.FILTER($U$5:$U$30, ISNUMBER(MATCH($M$5:$M$30, _xlfn.TEXTSPLIT(_xlfn.TEXTJOIN(", ", TRUE, AD9), ", "), 0))))</f>
        <v>0</v>
      </c>
      <c r="I46" s="107"/>
      <c r="J46" s="67">
        <f t="shared" ref="J46:J48" ca="1" si="2">H46/H$48</f>
        <v>0</v>
      </c>
      <c r="K46" s="82"/>
      <c r="L46" s="5" t="s">
        <v>183</v>
      </c>
      <c r="M46" s="106">
        <f t="shared" ref="M46:M47" ca="1" si="3">SUM(C46,H46)</f>
        <v>5</v>
      </c>
      <c r="N46" s="107"/>
      <c r="O46" s="67">
        <f t="shared" ref="O46:O48" ca="1" si="4">M46/M$48</f>
        <v>9.6153846153846159E-2</v>
      </c>
    </row>
    <row r="47" spans="2:15" x14ac:dyDescent="0.25">
      <c r="B47" s="5" t="s">
        <v>184</v>
      </c>
      <c r="C47" s="106" cm="1">
        <f t="array" aca="1" ref="C47" ca="1">COUNT(_xlfn._xlws.FILTER($J$5:$J$30, ISNUMBER(MATCH($B$5:$B$30, _xlfn.TEXTSPLIT(_xlfn.TEXTJOIN(", ", TRUE, AA10:AA12), ", "), 0))))</f>
        <v>5</v>
      </c>
      <c r="D47" s="107"/>
      <c r="E47" s="67">
        <f t="shared" ca="1" si="1"/>
        <v>0.19230769230769232</v>
      </c>
      <c r="F47" s="82"/>
      <c r="G47" s="5" t="s">
        <v>184</v>
      </c>
      <c r="H47" s="106" cm="1">
        <f t="array" aca="1" ref="H47" ca="1">COUNT(_xlfn._xlws.FILTER($U$5:$U$30, ISNUMBER(MATCH($M$5:$M$30, _xlfn.TEXTSPLIT(_xlfn.TEXTJOIN(", ", TRUE, AD10:AD12), ", "), 0))))</f>
        <v>12</v>
      </c>
      <c r="I47" s="107"/>
      <c r="J47" s="67">
        <f t="shared" ca="1" si="2"/>
        <v>0.46153846153846156</v>
      </c>
      <c r="K47" s="82"/>
      <c r="L47" s="5" t="s">
        <v>184</v>
      </c>
      <c r="M47" s="106">
        <f t="shared" ca="1" si="3"/>
        <v>17</v>
      </c>
      <c r="N47" s="107"/>
      <c r="O47" s="67">
        <f t="shared" ca="1" si="4"/>
        <v>0.32692307692307693</v>
      </c>
    </row>
    <row r="48" spans="2:15" x14ac:dyDescent="0.25">
      <c r="B48" s="5" t="s">
        <v>121</v>
      </c>
      <c r="C48" s="106">
        <f ca="1">SUM(C45:D47)</f>
        <v>26</v>
      </c>
      <c r="D48" s="107"/>
      <c r="E48" s="67">
        <f t="shared" ca="1" si="1"/>
        <v>1</v>
      </c>
      <c r="F48" s="83"/>
      <c r="G48" s="5" t="s">
        <v>121</v>
      </c>
      <c r="H48" s="106">
        <f ca="1">SUM(H45:I47)</f>
        <v>26</v>
      </c>
      <c r="I48" s="107"/>
      <c r="J48" s="67">
        <f t="shared" ca="1" si="2"/>
        <v>1</v>
      </c>
      <c r="K48" s="83"/>
      <c r="L48" s="5" t="s">
        <v>121</v>
      </c>
      <c r="M48" s="106">
        <f ca="1">SUM(M45:N47)</f>
        <v>52</v>
      </c>
      <c r="N48" s="107"/>
      <c r="O48" s="67">
        <f t="shared" ca="1" si="4"/>
        <v>1</v>
      </c>
    </row>
  </sheetData>
  <mergeCells count="39">
    <mergeCell ref="B33:E33"/>
    <mergeCell ref="G33:J33"/>
    <mergeCell ref="L33:O33"/>
    <mergeCell ref="C2:L2"/>
    <mergeCell ref="N2:W2"/>
    <mergeCell ref="C3:G3"/>
    <mergeCell ref="H3:L3"/>
    <mergeCell ref="N3:R3"/>
    <mergeCell ref="S3:U3"/>
    <mergeCell ref="Z3:AA3"/>
    <mergeCell ref="AC3:AD3"/>
    <mergeCell ref="Z4:AA4"/>
    <mergeCell ref="AC4:AD4"/>
    <mergeCell ref="B32:O32"/>
    <mergeCell ref="B34:E34"/>
    <mergeCell ref="G34:J34"/>
    <mergeCell ref="L34:O34"/>
    <mergeCell ref="B41:O41"/>
    <mergeCell ref="B42:E42"/>
    <mergeCell ref="G42:J42"/>
    <mergeCell ref="L42:O42"/>
    <mergeCell ref="B43:E43"/>
    <mergeCell ref="G43:J43"/>
    <mergeCell ref="L43:O43"/>
    <mergeCell ref="C44:D44"/>
    <mergeCell ref="H44:I44"/>
    <mergeCell ref="M44:N44"/>
    <mergeCell ref="C45:D45"/>
    <mergeCell ref="H45:I45"/>
    <mergeCell ref="M45:N45"/>
    <mergeCell ref="C46:D46"/>
    <mergeCell ref="H46:I46"/>
    <mergeCell ref="M46:N46"/>
    <mergeCell ref="C47:D47"/>
    <mergeCell ref="H47:I47"/>
    <mergeCell ref="M47:N47"/>
    <mergeCell ref="C48:D48"/>
    <mergeCell ref="H48:I48"/>
    <mergeCell ref="M48:N48"/>
  </mergeCells>
  <conditionalFormatting sqref="E5:E30">
    <cfRule type="expression" dxfId="230" priority="18">
      <formula>E5 &lt;= -75</formula>
    </cfRule>
    <cfRule type="expression" dxfId="229" priority="19">
      <formula>AND(E5 &lt; 25, E5 &gt;= 3)</formula>
    </cfRule>
    <cfRule type="expression" dxfId="228" priority="15">
      <formula>AND(E5 &gt; -3, E5 &lt; 3)</formula>
    </cfRule>
    <cfRule type="expression" dxfId="227" priority="16">
      <formula>AND(E5 &gt; -25, E5 &lt;= -3)</formula>
    </cfRule>
    <cfRule type="expression" dxfId="226" priority="17">
      <formula>AND(E5 &gt; -75, E5 &lt;= -25)</formula>
    </cfRule>
    <cfRule type="expression" dxfId="225" priority="21">
      <formula>E5 &gt;= 75</formula>
    </cfRule>
    <cfRule type="expression" dxfId="224" priority="20">
      <formula>AND(E5 &lt; 75, E5 &gt;= 25)</formula>
    </cfRule>
  </conditionalFormatting>
  <conditionalFormatting sqref="J5:J30">
    <cfRule type="expression" dxfId="223" priority="32">
      <formula>J5 &lt;= -75</formula>
    </cfRule>
    <cfRule type="expression" dxfId="222" priority="33">
      <formula>AND(J5 &lt; 25, J5 &gt;= 3)</formula>
    </cfRule>
    <cfRule type="expression" dxfId="221" priority="34">
      <formula>AND(J5 &lt; 75, J5 &gt;= 25)</formula>
    </cfRule>
    <cfRule type="expression" dxfId="220" priority="35">
      <formula>J5 &gt;= 75</formula>
    </cfRule>
    <cfRule type="expression" dxfId="219" priority="29">
      <formula>AND(J5 &gt; -3, J5 &lt; 3)</formula>
    </cfRule>
    <cfRule type="expression" dxfId="218" priority="30">
      <formula>AND(J5 &gt; -25, J5 &lt;= -3)</formula>
    </cfRule>
    <cfRule type="expression" dxfId="217" priority="31">
      <formula>AND(J5 &gt; -75, J5 &lt;= -25)</formula>
    </cfRule>
  </conditionalFormatting>
  <conditionalFormatting sqref="P5:P30">
    <cfRule type="expression" dxfId="216" priority="8">
      <formula>AND(P5 &gt; -3, P5 &lt; 3)</formula>
    </cfRule>
    <cfRule type="expression" dxfId="215" priority="9">
      <formula>AND(P5 &gt; -25, P5 &lt;= -3)</formula>
    </cfRule>
    <cfRule type="expression" dxfId="214" priority="10">
      <formula>AND(P5 &gt; -75, P5 &lt;= -25)</formula>
    </cfRule>
    <cfRule type="expression" dxfId="213" priority="11">
      <formula>P5 &lt;= -75</formula>
    </cfRule>
    <cfRule type="expression" dxfId="212" priority="14">
      <formula>P5 &gt;= 75</formula>
    </cfRule>
    <cfRule type="expression" dxfId="211" priority="13">
      <formula>AND(P5 &lt; 75, P5 &gt;= 25)</formula>
    </cfRule>
    <cfRule type="expression" dxfId="210" priority="12">
      <formula>AND(P5 &lt; 25, P5 &gt;= 3)</formula>
    </cfRule>
  </conditionalFormatting>
  <conditionalFormatting sqref="U5:U30">
    <cfRule type="expression" dxfId="209" priority="25">
      <formula>U5 &lt;= -75</formula>
    </cfRule>
    <cfRule type="expression" dxfId="208" priority="26">
      <formula>AND(U5 &lt; 25, U5 &gt;= 3)</formula>
    </cfRule>
    <cfRule type="expression" dxfId="207" priority="27">
      <formula>AND(U5 &lt; 75, U5 &gt;= 25)</formula>
    </cfRule>
    <cfRule type="expression" dxfId="206" priority="28">
      <formula>U5 &gt;= 75</formula>
    </cfRule>
    <cfRule type="expression" dxfId="205" priority="22">
      <formula>AND(U5 &gt; -3, U5 &lt; 3)</formula>
    </cfRule>
    <cfRule type="expression" dxfId="204" priority="23">
      <formula>AND(U5 &gt; -25, U5 &lt;= -3)</formula>
    </cfRule>
    <cfRule type="expression" dxfId="203" priority="24">
      <formula>AND(U5 &gt; -75, U5 &lt;= -25)</formula>
    </cfRule>
  </conditionalFormatting>
  <conditionalFormatting sqref="X5:X30">
    <cfRule type="expression" dxfId="202" priority="2">
      <formula>AND(X5 &gt; -25, X5 &lt;= -3)</formula>
    </cfRule>
    <cfRule type="expression" dxfId="201" priority="3">
      <formula>AND(X5 &gt; -75, X5 &lt;= -25)</formula>
    </cfRule>
    <cfRule type="expression" dxfId="200" priority="4">
      <formula>X5 &lt;= -75</formula>
    </cfRule>
    <cfRule type="expression" dxfId="199" priority="5">
      <formula>AND(X5 &lt; 25, X5 &gt;= 3)</formula>
    </cfRule>
    <cfRule type="expression" dxfId="198" priority="6">
      <formula>AND(X5 &lt; 75, X5 &gt;= 25)</formula>
    </cfRule>
    <cfRule type="expression" dxfId="197" priority="7">
      <formula>X5 &gt;= 75</formula>
    </cfRule>
    <cfRule type="expression" dxfId="196" priority="1">
      <formula>AND(X5 &gt; -3, X5 &lt; 3)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C2826-8935-44A9-A075-3ECC0AB74C49}">
  <dimension ref="B2:AD48"/>
  <sheetViews>
    <sheetView zoomScaleNormal="100" workbookViewId="0">
      <selection activeCell="E12" sqref="E12"/>
    </sheetView>
  </sheetViews>
  <sheetFormatPr baseColWidth="10" defaultRowHeight="15" x14ac:dyDescent="0.25"/>
  <cols>
    <col min="3" max="4" width="20.42578125" bestFit="1" customWidth="1"/>
    <col min="6" max="6" width="7.7109375" bestFit="1" customWidth="1"/>
    <col min="7" max="7" width="33.5703125" bestFit="1" customWidth="1"/>
    <col min="8" max="9" width="20.42578125" bestFit="1" customWidth="1"/>
    <col min="12" max="12" width="33.5703125" bestFit="1" customWidth="1"/>
    <col min="14" max="15" width="20.42578125" bestFit="1" customWidth="1"/>
    <col min="17" max="17" width="7.7109375" bestFit="1" customWidth="1"/>
    <col min="18" max="18" width="33.5703125" bestFit="1" customWidth="1"/>
    <col min="19" max="20" width="20.42578125" bestFit="1" customWidth="1"/>
    <col min="22" max="22" width="7.7109375" bestFit="1" customWidth="1"/>
    <col min="23" max="23" width="33.5703125" bestFit="1" customWidth="1"/>
    <col min="24" max="24" width="18.28515625" bestFit="1" customWidth="1"/>
    <col min="26" max="26" width="12.5703125" bestFit="1" customWidth="1"/>
    <col min="27" max="27" width="44.5703125" bestFit="1" customWidth="1"/>
    <col min="29" max="29" width="12.5703125" bestFit="1" customWidth="1"/>
    <col min="30" max="30" width="41.28515625" bestFit="1" customWidth="1"/>
  </cols>
  <sheetData>
    <row r="2" spans="2:30" x14ac:dyDescent="0.25">
      <c r="B2" s="49"/>
      <c r="C2" s="105" t="s">
        <v>111</v>
      </c>
      <c r="D2" s="105"/>
      <c r="E2" s="105"/>
      <c r="F2" s="105"/>
      <c r="G2" s="105"/>
      <c r="H2" s="105"/>
      <c r="I2" s="105"/>
      <c r="J2" s="105"/>
      <c r="K2" s="105"/>
      <c r="L2" s="105"/>
      <c r="N2" s="108" t="s">
        <v>114</v>
      </c>
      <c r="O2" s="109"/>
      <c r="P2" s="109"/>
      <c r="Q2" s="109"/>
      <c r="R2" s="109"/>
      <c r="S2" s="109"/>
      <c r="T2" s="109"/>
      <c r="U2" s="109"/>
      <c r="V2" s="109"/>
      <c r="W2" s="110"/>
    </row>
    <row r="3" spans="2:30" ht="15.75" x14ac:dyDescent="0.25">
      <c r="B3" s="49"/>
      <c r="C3" s="108" t="s">
        <v>100</v>
      </c>
      <c r="D3" s="109"/>
      <c r="E3" s="109"/>
      <c r="F3" s="109"/>
      <c r="G3" s="110"/>
      <c r="H3" s="105" t="s">
        <v>211</v>
      </c>
      <c r="I3" s="105"/>
      <c r="J3" s="105"/>
      <c r="K3" s="105"/>
      <c r="L3" s="105"/>
      <c r="N3" s="108" t="s">
        <v>100</v>
      </c>
      <c r="O3" s="109"/>
      <c r="P3" s="109"/>
      <c r="Q3" s="109"/>
      <c r="R3" s="109"/>
      <c r="S3" s="109" t="s">
        <v>211</v>
      </c>
      <c r="T3" s="109"/>
      <c r="U3" s="109"/>
      <c r="V3" s="51"/>
      <c r="W3" s="52"/>
      <c r="Z3" s="117" t="s">
        <v>211</v>
      </c>
      <c r="AA3" s="118"/>
      <c r="AC3" s="117" t="s">
        <v>211</v>
      </c>
      <c r="AD3" s="118"/>
    </row>
    <row r="4" spans="2:30" x14ac:dyDescent="0.25">
      <c r="B4" s="50" t="s">
        <v>97</v>
      </c>
      <c r="C4" s="40" t="s">
        <v>149</v>
      </c>
      <c r="D4" s="40" t="s">
        <v>150</v>
      </c>
      <c r="E4" s="40" t="s">
        <v>153</v>
      </c>
      <c r="F4" s="15" t="s">
        <v>214</v>
      </c>
      <c r="G4" s="15" t="s">
        <v>177</v>
      </c>
      <c r="H4" s="40" t="s">
        <v>149</v>
      </c>
      <c r="I4" s="40" t="s">
        <v>150</v>
      </c>
      <c r="J4" s="40" t="s">
        <v>153</v>
      </c>
      <c r="K4" s="40" t="s">
        <v>214</v>
      </c>
      <c r="L4" s="40" t="s">
        <v>177</v>
      </c>
      <c r="M4" s="50" t="s">
        <v>97</v>
      </c>
      <c r="N4" s="40" t="s">
        <v>149</v>
      </c>
      <c r="O4" s="40" t="s">
        <v>150</v>
      </c>
      <c r="P4" s="40" t="s">
        <v>153</v>
      </c>
      <c r="Q4" s="15" t="s">
        <v>214</v>
      </c>
      <c r="R4" s="40" t="s">
        <v>177</v>
      </c>
      <c r="S4" s="40" t="s">
        <v>149</v>
      </c>
      <c r="T4" s="40" t="s">
        <v>150</v>
      </c>
      <c r="U4" s="40" t="s">
        <v>153</v>
      </c>
      <c r="V4" s="15" t="s">
        <v>214</v>
      </c>
      <c r="W4" s="40" t="s">
        <v>177</v>
      </c>
      <c r="X4" s="74" t="s">
        <v>178</v>
      </c>
      <c r="Z4" s="108" t="s">
        <v>111</v>
      </c>
      <c r="AA4" s="110"/>
      <c r="AB4" s="53"/>
      <c r="AC4" s="108" t="s">
        <v>114</v>
      </c>
      <c r="AD4" s="110"/>
    </row>
    <row r="5" spans="2:30" x14ac:dyDescent="0.25">
      <c r="B5" s="77" t="s">
        <v>156</v>
      </c>
      <c r="C5" s="75" cm="1">
        <f t="array" aca="1" ref="C5" ca="1">INDIRECT("'C Impact of Optimization'!D" &amp; 3 + (ROW(A1)-1)*4)</f>
        <v>4.7110000000000003</v>
      </c>
      <c r="D5" s="75" cm="1">
        <f t="array" aca="1" ref="D5" ca="1">INDIRECT("'C Impact of Optimization'!D" &amp; 4 + (ROW(A1)-1)*4)</f>
        <v>3.141</v>
      </c>
      <c r="E5" s="75" cm="1">
        <f t="array" aca="1" ref="E5" ca="1">INDIRECT("'C Impact of Optimization'!N" &amp; 3 + (ROW(A1)-1)*4)*100</f>
        <v>-33.326257694756954</v>
      </c>
      <c r="F5" s="75">
        <v>2.8719490663203402E-11</v>
      </c>
      <c r="G5" s="78" t="s">
        <v>186</v>
      </c>
      <c r="H5" s="75" cm="1">
        <f t="array" aca="1" ref="H5" ca="1">INDIRECT("'C Impact of Optimization'!M" &amp; 3 + (ROW(A1)-1)*4)</f>
        <v>214.35050000000001</v>
      </c>
      <c r="I5" s="75" cm="1">
        <f t="array" aca="1" ref="I5" ca="1">INDIRECT("'C Impact of Optimization'!M" &amp; 4 + (ROW(A1)-1)*4)</f>
        <v>121.71375</v>
      </c>
      <c r="J5" s="75" cm="1">
        <f t="array" aca="1" ref="J5" ca="1">INDIRECT("'C Impact of Optimization'!Q" &amp; 3 + (ROW(A1)-1)*4)*100</f>
        <v>-43.217417267512793</v>
      </c>
      <c r="K5" s="75">
        <v>2.8719490663203402E-11</v>
      </c>
      <c r="L5" s="75" t="s">
        <v>186</v>
      </c>
      <c r="M5" s="79" t="s">
        <v>156</v>
      </c>
      <c r="N5" s="75" cm="1">
        <f t="array" aca="1" ref="N5" ca="1">INDIRECT("'C Impact of Optimization'!D" &amp; 5 + (ROW(A1)-1)*4)</f>
        <v>3.6640000000000001</v>
      </c>
      <c r="O5" s="75" cm="1">
        <f t="array" aca="1" ref="O5" ca="1">INDIRECT("'C Impact of Optimization'!D" &amp; 6 + (ROW(A1)-1)*4)</f>
        <v>1.048</v>
      </c>
      <c r="P5" s="75" cm="1">
        <f t="array" aca="1" ref="P5" ca="1">INDIRECT("'C Impact of Optimization'!N" &amp; 5 + (ROW(A1)-1)*4)*100</f>
        <v>-71.397379912663766</v>
      </c>
      <c r="Q5" s="75">
        <v>2.8719490663203402E-11</v>
      </c>
      <c r="R5" s="75" t="s">
        <v>186</v>
      </c>
      <c r="S5" s="75" cm="1">
        <f t="array" aca="1" ref="S5" ca="1">INDIRECT("'C Impact of Optimization'!M" &amp; 5 + (ROW(A1)-1)*4)</f>
        <v>140.77088000000001</v>
      </c>
      <c r="T5" s="75" cm="1">
        <f t="array" aca="1" ref="T5" ca="1">INDIRECT("'C Impact of Optimization'!M" &amp; 6 + (ROW(A1)-1)*4)</f>
        <v>23.003599999999999</v>
      </c>
      <c r="U5" s="75" cm="1">
        <f t="array" aca="1" ref="U5" ca="1">INDIRECT("'C Impact of Optimization'!Q" &amp; 5 + (ROW(A1)-1)*4)*100</f>
        <v>-83.658836259317255</v>
      </c>
      <c r="V5" s="75">
        <v>2.8719490663203402E-11</v>
      </c>
      <c r="W5" s="75" t="s">
        <v>186</v>
      </c>
      <c r="X5" s="75">
        <f ca="1">AVERAGE(J5,U5)</f>
        <v>-63.438126763415028</v>
      </c>
      <c r="Z5" s="15" t="s">
        <v>155</v>
      </c>
      <c r="AA5" s="15" t="s">
        <v>154</v>
      </c>
      <c r="AB5" s="53"/>
      <c r="AC5" s="15" t="s">
        <v>155</v>
      </c>
      <c r="AD5" s="15" t="s">
        <v>154</v>
      </c>
    </row>
    <row r="6" spans="2:30" x14ac:dyDescent="0.25">
      <c r="B6" s="77" t="s">
        <v>157</v>
      </c>
      <c r="C6" s="75" cm="1">
        <f t="array" aca="1" ref="C6" ca="1">INDIRECT("'C Impact of Optimization'!D" &amp; 3 + (ROW(A2)-1)*4)</f>
        <v>409.55500000000001</v>
      </c>
      <c r="D6" s="75" cm="1">
        <f t="array" aca="1" ref="D6" ca="1">INDIRECT("'C Impact of Optimization'!D" &amp; 4 + (ROW(A2)-1)*4)</f>
        <v>0.52600000000000002</v>
      </c>
      <c r="E6" s="75" cm="1">
        <f t="array" aca="1" ref="E6" ca="1">INDIRECT("'C Impact of Optimization'!N" &amp; 3 + (ROW(A2)-1)*4)*100</f>
        <v>-99.871567921280416</v>
      </c>
      <c r="F6" s="75">
        <v>2.8719490663203402E-11</v>
      </c>
      <c r="G6" s="78" t="s">
        <v>186</v>
      </c>
      <c r="H6" s="75" cm="1">
        <f t="array" aca="1" ref="H6" ca="1">INDIRECT("'C Impact of Optimization'!M" &amp; 3 + (ROW(A2)-1)*4)</f>
        <v>22783.54465</v>
      </c>
      <c r="I6" s="75" cm="1">
        <f t="array" aca="1" ref="I6" ca="1">INDIRECT("'C Impact of Optimization'!M" &amp; 4 + (ROW(A2)-1)*4)</f>
        <v>6.3856400000000004</v>
      </c>
      <c r="J6" s="75" cm="1">
        <f t="array" aca="1" ref="J6" ca="1">INDIRECT("'C Impact of Optimization'!Q" &amp; 3 + (ROW(A2)-1)*4)*100</f>
        <v>-99.971972578902466</v>
      </c>
      <c r="K6" s="75">
        <v>2.8719490663203402E-11</v>
      </c>
      <c r="L6" s="75" t="s">
        <v>186</v>
      </c>
      <c r="M6" s="79" t="s">
        <v>157</v>
      </c>
      <c r="N6" s="75" cm="1">
        <f t="array" aca="1" ref="N6" ca="1">INDIRECT("'C Impact of Optimization'!D" &amp; 5 + (ROW(A2)-1)*4)</f>
        <v>530.04200000000003</v>
      </c>
      <c r="O6" s="75" cm="1">
        <f t="array" aca="1" ref="O6" ca="1">INDIRECT("'C Impact of Optimization'!D" &amp; 6 + (ROW(A2)-1)*4)</f>
        <v>0.52600000000000002</v>
      </c>
      <c r="P6" s="75" cm="1">
        <f t="array" aca="1" ref="P6" ca="1">INDIRECT("'C Impact of Optimization'!N" &amp; 5 + (ROW(A2)-1)*4)*100</f>
        <v>-99.900762581078482</v>
      </c>
      <c r="Q6" s="75">
        <v>2.8719490663203402E-11</v>
      </c>
      <c r="R6" s="75" t="s">
        <v>186</v>
      </c>
      <c r="S6" s="75" cm="1">
        <f t="array" aca="1" ref="S6" ca="1">INDIRECT("'C Impact of Optimization'!M" &amp; 5 + (ROW(A2)-1)*4)</f>
        <v>27747.698700000001</v>
      </c>
      <c r="T6" s="75" cm="1">
        <f t="array" aca="1" ref="T6" ca="1">INDIRECT("'C Impact of Optimization'!M" &amp; 6 + (ROW(A2)-1)*4)</f>
        <v>5.4809200000000002</v>
      </c>
      <c r="U6" s="75" cm="1">
        <f t="array" aca="1" ref="U6" ca="1">INDIRECT("'C Impact of Optimization'!Q" &amp; 5 + (ROW(A2)-1)*4)*100</f>
        <v>-99.98024729885077</v>
      </c>
      <c r="V6" s="75">
        <v>2.8719490663203402E-11</v>
      </c>
      <c r="W6" s="75" t="s">
        <v>186</v>
      </c>
      <c r="X6" s="75">
        <f t="shared" ref="X6:X30" ca="1" si="0">AVERAGE(J6,U6)</f>
        <v>-99.976109938876618</v>
      </c>
      <c r="Z6" s="54" t="s">
        <v>161</v>
      </c>
      <c r="AA6" s="29" t="str" cm="1">
        <f t="array" aca="1" ref="AA6" ca="1">_xlfn.TEXTJOIN(", ", TRUE, IF(J5:J30 &lt;= -75, B5:B30, ""))</f>
        <v>T5, T19, T20, T25, T28, T36, T49, T50</v>
      </c>
      <c r="AC6" s="54" t="s">
        <v>161</v>
      </c>
      <c r="AD6" s="29" t="str" cm="1">
        <f t="array" aca="1" ref="AD6" ca="1">_xlfn.TEXTJOIN(", ", TRUE, IF(U5:U30 &lt;= -75, M5:M30, ""))</f>
        <v>T4, T5, T19, T25, T26, T28, T36, T40, T49, T50</v>
      </c>
    </row>
    <row r="7" spans="2:30" x14ac:dyDescent="0.25">
      <c r="B7" s="77" t="s">
        <v>158</v>
      </c>
      <c r="C7" s="75" cm="1">
        <f t="array" aca="1" ref="C7" ca="1">INDIRECT("'C Impact of Optimization'!D" &amp; 3 + (ROW(A3)-1)*4)</f>
        <v>2.0939999999999999</v>
      </c>
      <c r="D7" s="75" cm="1">
        <f t="array" aca="1" ref="D7" ca="1">INDIRECT("'C Impact of Optimization'!D" &amp; 4 + (ROW(A3)-1)*4)</f>
        <v>2.0939999999999999</v>
      </c>
      <c r="E7" s="75" cm="1">
        <f t="array" aca="1" ref="E7" ca="1">INDIRECT("'C Impact of Optimization'!N" &amp; 3 + (ROW(A3)-1)*4)*100</f>
        <v>0</v>
      </c>
      <c r="F7" s="75">
        <v>0.2170168245486217</v>
      </c>
      <c r="G7" s="78" t="s">
        <v>216</v>
      </c>
      <c r="H7" s="75" cm="1">
        <f t="array" aca="1" ref="H7" ca="1">INDIRECT("'C Impact of Optimization'!M" &amp; 3 + (ROW(A3)-1)*4)</f>
        <v>57.187139999999992</v>
      </c>
      <c r="I7" s="75" cm="1">
        <f t="array" aca="1" ref="I7" ca="1">INDIRECT("'C Impact of Optimization'!M" &amp; 4 + (ROW(A3)-1)*4)</f>
        <v>58.820459999999997</v>
      </c>
      <c r="J7" s="75" cm="1">
        <f t="array" aca="1" ref="J7" ca="1">INDIRECT("'C Impact of Optimization'!Q" &amp; 3 + (ROW(A3)-1)*4)*100</f>
        <v>2.8560966678872295</v>
      </c>
      <c r="K7" s="75">
        <v>1.4710444453394776E-2</v>
      </c>
      <c r="L7" s="75" t="s">
        <v>215</v>
      </c>
      <c r="M7" s="79" t="s">
        <v>158</v>
      </c>
      <c r="N7" s="75" cm="1">
        <f t="array" aca="1" ref="N7" ca="1">INDIRECT("'C Impact of Optimization'!D" &amp; 5 + (ROW(A3)-1)*4)</f>
        <v>1.0469999999999999</v>
      </c>
      <c r="O7" s="75" cm="1">
        <f t="array" aca="1" ref="O7" ca="1">INDIRECT("'C Impact of Optimization'!D" &amp; 6 + (ROW(A3)-1)*4)</f>
        <v>1.0469999999999999</v>
      </c>
      <c r="P7" s="75" cm="1">
        <f t="array" aca="1" ref="P7" ca="1">INDIRECT("'C Impact of Optimization'!N" &amp; 5 + (ROW(A3)-1)*4)*100</f>
        <v>0</v>
      </c>
      <c r="Q7" s="75">
        <v>0.55426783632431831</v>
      </c>
      <c r="R7" s="75" t="s">
        <v>216</v>
      </c>
      <c r="S7" s="75" cm="1">
        <f t="array" aca="1" ref="S7" ca="1">INDIRECT("'C Impact of Optimization'!M" &amp; 5 + (ROW(A3)-1)*4)</f>
        <v>26.19594</v>
      </c>
      <c r="T7" s="75" cm="1">
        <f t="array" aca="1" ref="T7" ca="1">INDIRECT("'C Impact of Optimization'!M" &amp; 6 + (ROW(A3)-1)*4)</f>
        <v>26.635680000000001</v>
      </c>
      <c r="U7" s="75" cm="1">
        <f t="array" aca="1" ref="U7" ca="1">INDIRECT("'C Impact of Optimization'!Q" &amp; 5 + (ROW(A3)-1)*4)*100</f>
        <v>1.6786570743405294</v>
      </c>
      <c r="V7" s="75">
        <v>0.44201791397568591</v>
      </c>
      <c r="W7" s="75" t="s">
        <v>185</v>
      </c>
      <c r="X7" s="75">
        <f t="shared" ca="1" si="0"/>
        <v>2.2673768711138793</v>
      </c>
      <c r="Z7" s="55" t="s">
        <v>162</v>
      </c>
      <c r="AA7" s="29" t="str" cm="1">
        <f t="array" aca="1" ref="AA7" ca="1">_xlfn.TEXTJOIN(", ", TRUE, IF((J5:J30 &gt; -75) * (J5:J30 &lt;= -25), B5:B30, ""))</f>
        <v>T4, T11, T12, T13, T16, T17, T26, T29, T32, T40, T51</v>
      </c>
      <c r="AC7" s="55" t="s">
        <v>162</v>
      </c>
      <c r="AD7" s="29" t="str" cm="1">
        <f t="array" aca="1" ref="AD7" ca="1">_xlfn.TEXTJOIN(", ", TRUE, IF((U5:U30 &gt; -75) * (U5:U30 &lt;= -25), M5:M30, ""))</f>
        <v>T10, T11, T12, T13, T16, T17, T20, T29, T32, T51</v>
      </c>
    </row>
    <row r="8" spans="2:30" x14ac:dyDescent="0.25">
      <c r="B8" s="77" t="s">
        <v>160</v>
      </c>
      <c r="C8" s="75" cm="1">
        <f t="array" aca="1" ref="C8" ca="1">INDIRECT("'C Impact of Optimization'!D" &amp; 3 + (ROW(A4)-1)*4)</f>
        <v>4.7119999999999997</v>
      </c>
      <c r="D8" s="75" cm="1">
        <f t="array" aca="1" ref="D8" ca="1">INDIRECT("'C Impact of Optimization'!D" &amp; 4 + (ROW(A4)-1)*4)</f>
        <v>22.956</v>
      </c>
      <c r="E8" s="75" cm="1">
        <f t="array" aca="1" ref="E8" ca="1">INDIRECT("'C Impact of Optimization'!N" &amp; 3 + (ROW(A4)-1)*4)*100</f>
        <v>387.18166383701191</v>
      </c>
      <c r="F8" s="75">
        <v>2.8719490663203402E-11</v>
      </c>
      <c r="G8" s="78" t="s">
        <v>186</v>
      </c>
      <c r="H8" s="75" cm="1">
        <f t="array" aca="1" ref="H8" ca="1">INDIRECT("'C Impact of Optimization'!M" &amp; 3 + (ROW(A4)-1)*4)</f>
        <v>228.43776</v>
      </c>
      <c r="I8" s="75" cm="1">
        <f t="array" aca="1" ref="I8" ca="1">INDIRECT("'C Impact of Optimization'!M" &amp; 4 + (ROW(A4)-1)*4)</f>
        <v>1061.0263199999999</v>
      </c>
      <c r="J8" s="75" cm="1">
        <f t="array" aca="1" ref="J8" ca="1">INDIRECT("'C Impact of Optimization'!Q" &amp; 3 + (ROW(A4)-1)*4)*100</f>
        <v>364.47063742876833</v>
      </c>
      <c r="K8" s="75">
        <v>2.8719490663203402E-11</v>
      </c>
      <c r="L8" s="75" t="s">
        <v>186</v>
      </c>
      <c r="M8" s="79" t="s">
        <v>160</v>
      </c>
      <c r="N8" s="75" cm="1">
        <f t="array" aca="1" ref="N8" ca="1">INDIRECT("'C Impact of Optimization'!D" &amp; 5 + (ROW(A4)-1)*4)</f>
        <v>5.2919999999999998</v>
      </c>
      <c r="O8" s="75" cm="1">
        <f t="array" aca="1" ref="O8" ca="1">INDIRECT("'C Impact of Optimization'!D" &amp; 6 + (ROW(A4)-1)*4)</f>
        <v>4.3449999999999998</v>
      </c>
      <c r="P8" s="75" cm="1">
        <f t="array" aca="1" ref="P8" ca="1">INDIRECT("'C Impact of Optimization'!N" &amp; 5 + (ROW(A4)-1)*4)*100</f>
        <v>-17.894935752078609</v>
      </c>
      <c r="Q8" s="75">
        <v>3.9998074674352866E-9</v>
      </c>
      <c r="R8" s="75" t="s">
        <v>186</v>
      </c>
      <c r="S8" s="75" cm="1">
        <f t="array" aca="1" ref="S8" ca="1">INDIRECT("'C Impact of Optimization'!M" &amp; 5 + (ROW(A4)-1)*4)</f>
        <v>268.25148000000002</v>
      </c>
      <c r="T8" s="75" cm="1">
        <f t="array" aca="1" ref="T8" ca="1">INDIRECT("'C Impact of Optimization'!M" &amp; 6 + (ROW(A4)-1)*4)</f>
        <v>206.08335</v>
      </c>
      <c r="U8" s="75" cm="1">
        <f t="array" aca="1" ref="U8" ca="1">INDIRECT("'C Impact of Optimization'!Q" &amp; 5 + (ROW(A4)-1)*4)*100</f>
        <v>-23.175316684180089</v>
      </c>
      <c r="V8" s="75">
        <v>3.8787144759013784E-11</v>
      </c>
      <c r="W8" s="75" t="s">
        <v>186</v>
      </c>
      <c r="X8" s="75">
        <f t="shared" ca="1" si="0"/>
        <v>170.64766037229413</v>
      </c>
      <c r="Z8" s="56" t="s">
        <v>167</v>
      </c>
      <c r="AA8" s="29" t="str" cm="1">
        <f t="array" aca="1" ref="AA8" ca="1">_xlfn.TEXTJOIN(", ", TRUE, IF((J5:J30 &gt; -25) * (J5:J30 &lt;= -3), B5:B30, ""))</f>
        <v>T9, T31, T33, T44</v>
      </c>
      <c r="AC8" s="56" t="s">
        <v>167</v>
      </c>
      <c r="AD8" s="29" t="str" cm="1">
        <f t="array" aca="1" ref="AD8" ca="1">_xlfn.TEXTJOIN(", ", TRUE, IF((U5:U30 &gt; -25) * (U5:U30 &lt;= -3), M5:M30, ""))</f>
        <v>T8, T9, T31, T33</v>
      </c>
    </row>
    <row r="9" spans="2:30" x14ac:dyDescent="0.25">
      <c r="B9" s="77" t="s">
        <v>159</v>
      </c>
      <c r="C9" s="75" cm="1">
        <f t="array" aca="1" ref="C9" ca="1">INDIRECT("'C Impact of Optimization'!D" &amp; 3 + (ROW(A5)-1)*4)</f>
        <v>0.54100000000000004</v>
      </c>
      <c r="D9" s="75" cm="1">
        <f t="array" aca="1" ref="D9" ca="1">INDIRECT("'C Impact of Optimization'!D" &amp; 4 + (ROW(A5)-1)*4)</f>
        <v>0.52300000000000002</v>
      </c>
      <c r="E9" s="75" cm="1">
        <f t="array" aca="1" ref="E9" ca="1">INDIRECT("'C Impact of Optimization'!N" &amp; 3 + (ROW(A5)-1)*4)*100</f>
        <v>-3.3271719038817031</v>
      </c>
      <c r="F9" s="75">
        <v>0.9469559422255942</v>
      </c>
      <c r="G9" s="78" t="s">
        <v>216</v>
      </c>
      <c r="H9" s="75" cm="1">
        <f t="array" aca="1" ref="H9" ca="1">INDIRECT("'C Impact of Optimization'!M" &amp; 3 + (ROW(A5)-1)*4)</f>
        <v>8.0122100000000014</v>
      </c>
      <c r="I9" s="75" cm="1">
        <f t="array" aca="1" ref="I9" ca="1">INDIRECT("'C Impact of Optimization'!M" &amp; 4 + (ROW(A5)-1)*4)</f>
        <v>7.0866500000000006</v>
      </c>
      <c r="J9" s="75" cm="1">
        <f t="array" aca="1" ref="J9" ca="1">INDIRECT("'C Impact of Optimization'!Q" &amp; 3 + (ROW(A5)-1)*4)*100</f>
        <v>-11.551868959999808</v>
      </c>
      <c r="K9" s="75">
        <v>0.29047214949383471</v>
      </c>
      <c r="L9" s="75" t="s">
        <v>216</v>
      </c>
      <c r="M9" s="79" t="s">
        <v>159</v>
      </c>
      <c r="N9" s="75" cm="1">
        <f t="array" aca="1" ref="N9" ca="1">INDIRECT("'C Impact of Optimization'!D" &amp; 5 + (ROW(A5)-1)*4)</f>
        <v>0.54100000000000004</v>
      </c>
      <c r="O9" s="75" cm="1">
        <f t="array" aca="1" ref="O9" ca="1">INDIRECT("'C Impact of Optimization'!D" &amp; 6 + (ROW(A5)-1)*4)</f>
        <v>0.54100000000000004</v>
      </c>
      <c r="P9" s="75" cm="1">
        <f t="array" aca="1" ref="P9" ca="1">INDIRECT("'C Impact of Optimization'!N" &amp; 5 + (ROW(A5)-1)*4)*100</f>
        <v>0</v>
      </c>
      <c r="Q9" s="75">
        <v>0.71718881360637599</v>
      </c>
      <c r="R9" s="75" t="s">
        <v>216</v>
      </c>
      <c r="S9" s="75" cm="1">
        <f t="array" aca="1" ref="S9" ca="1">INDIRECT("'C Impact of Optimization'!M" &amp; 5 + (ROW(A5)-1)*4)</f>
        <v>7.3035000000000014</v>
      </c>
      <c r="T9" s="75" cm="1">
        <f t="array" aca="1" ref="T9" ca="1">INDIRECT("'C Impact of Optimization'!M" &amp; 6 + (ROW(A5)-1)*4)</f>
        <v>6.8166000000000002</v>
      </c>
      <c r="U9" s="75" cm="1">
        <f t="array" aca="1" ref="U9" ca="1">INDIRECT("'C Impact of Optimization'!Q" &amp; 5 + (ROW(A5)-1)*4)*100</f>
        <v>-6.6666666666666821</v>
      </c>
      <c r="V9" s="75">
        <v>0.12057499226022927</v>
      </c>
      <c r="W9" s="75" t="s">
        <v>216</v>
      </c>
      <c r="X9" s="75">
        <f t="shared" ca="1" si="0"/>
        <v>-9.1092678133332452</v>
      </c>
      <c r="Z9" s="57" t="s">
        <v>163</v>
      </c>
      <c r="AA9" s="29" t="str" cm="1">
        <f t="array" aca="1" ref="AA9" ca="1">_xlfn.TEXTJOIN(", ", TRUE, IF((J5:J30 &gt; -3) * (J5:J30 &lt; 3), B5:B30, ""))</f>
        <v>T7, T10</v>
      </c>
      <c r="AC9" s="57" t="s">
        <v>163</v>
      </c>
      <c r="AD9" s="29" t="str" cm="1">
        <f t="array" aca="1" ref="AD9" ca="1">_xlfn.TEXTJOIN(", ", TRUE, IF((U5:U30 &gt; -3) * (U5:U30 &lt; 3), M5:M30, ""))</f>
        <v>T7</v>
      </c>
    </row>
    <row r="10" spans="2:30" x14ac:dyDescent="0.25">
      <c r="B10" s="77" t="s">
        <v>19</v>
      </c>
      <c r="C10" s="75" cm="1">
        <f t="array" aca="1" ref="C10" ca="1">INDIRECT("'C Impact of Optimization'!D" &amp; 3 + (ROW(A6)-1)*4)</f>
        <v>82.099000000000004</v>
      </c>
      <c r="D10" s="75" cm="1">
        <f t="array" aca="1" ref="D10" ca="1">INDIRECT("'C Impact of Optimization'!D" &amp; 4 + (ROW(A6)-1)*4)</f>
        <v>81.534000000000006</v>
      </c>
      <c r="E10" s="75" cm="1">
        <f t="array" aca="1" ref="E10" ca="1">INDIRECT("'C Impact of Optimization'!N" &amp; 3 + (ROW(A6)-1)*4)*100</f>
        <v>-0.68819352245459464</v>
      </c>
      <c r="F10" s="75">
        <v>0.14737285954906465</v>
      </c>
      <c r="G10" s="78" t="s">
        <v>216</v>
      </c>
      <c r="H10" s="75" cm="1">
        <f t="array" aca="1" ref="H10" ca="1">INDIRECT("'C Impact of Optimization'!M" &amp; 3 + (ROW(A6)-1)*4)</f>
        <v>4994.9031600000008</v>
      </c>
      <c r="I10" s="75" cm="1">
        <f t="array" aca="1" ref="I10" ca="1">INDIRECT("'C Impact of Optimization'!M" &amp; 4 + (ROW(A6)-1)*4)</f>
        <v>4852.9036800000003</v>
      </c>
      <c r="J10" s="75" cm="1">
        <f t="array" aca="1" ref="J10" ca="1">INDIRECT("'C Impact of Optimization'!Q" &amp; 3 + (ROW(A6)-1)*4)*100</f>
        <v>-2.8428875485946437</v>
      </c>
      <c r="K10" s="75">
        <v>2.5515076130333382E-9</v>
      </c>
      <c r="L10" s="75" t="s">
        <v>186</v>
      </c>
      <c r="M10" s="79" t="s">
        <v>19</v>
      </c>
      <c r="N10" s="75" cm="1">
        <f t="array" aca="1" ref="N10" ca="1">INDIRECT("'C Impact of Optimization'!D" &amp; 5 + (ROW(A6)-1)*4)</f>
        <v>1.052</v>
      </c>
      <c r="O10" s="75" cm="1">
        <f t="array" aca="1" ref="O10" ca="1">INDIRECT("'C Impact of Optimization'!D" &amp; 6 + (ROW(A6)-1)*4)</f>
        <v>0.52600000000000002</v>
      </c>
      <c r="P10" s="75" cm="1">
        <f t="array" aca="1" ref="P10" ca="1">INDIRECT("'C Impact of Optimization'!N" &amp; 5 + (ROW(A6)-1)*4)*100</f>
        <v>-50</v>
      </c>
      <c r="Q10" s="75">
        <v>2.8719490663203402E-11</v>
      </c>
      <c r="R10" s="75" t="s">
        <v>216</v>
      </c>
      <c r="S10" s="75" cm="1">
        <f t="array" aca="1" ref="S10" ca="1">INDIRECT("'C Impact of Optimization'!M" &amp; 5 + (ROW(A6)-1)*4)</f>
        <v>15.369719999999999</v>
      </c>
      <c r="T10" s="75" cm="1">
        <f t="array" aca="1" ref="T10" ca="1">INDIRECT("'C Impact of Optimization'!M" &amp; 6 + (ROW(A6)-1)*4)</f>
        <v>6.2331000000000003</v>
      </c>
      <c r="U10" s="75" cm="1">
        <f t="array" aca="1" ref="U10" ca="1">INDIRECT("'C Impact of Optimization'!Q" &amp; 5 + (ROW(A6)-1)*4)*100</f>
        <v>-59.445585215605746</v>
      </c>
      <c r="V10" s="75">
        <v>2.8719490663203402E-11</v>
      </c>
      <c r="W10" s="75" t="s">
        <v>186</v>
      </c>
      <c r="X10" s="75">
        <f t="shared" ca="1" si="0"/>
        <v>-31.144236382100196</v>
      </c>
      <c r="Z10" s="58" t="s">
        <v>164</v>
      </c>
      <c r="AA10" s="29" t="str" cm="1">
        <f t="array" aca="1" ref="AA10" ca="1">_xlfn.TEXTJOIN(", ", TRUE, IF((J5:J30 &gt;= 3) * (J5:J30 &lt; 25), B5:B30, ""))</f>
        <v/>
      </c>
      <c r="AC10" s="58" t="s">
        <v>164</v>
      </c>
      <c r="AD10" s="29" t="str" cm="1">
        <f t="array" aca="1" ref="AD10" ca="1">_xlfn.TEXTJOIN(", ", TRUE, IF((U5:U30 &gt;= 3) * (U5:U30 &lt; 25), M5:M30, ""))</f>
        <v>T44</v>
      </c>
    </row>
    <row r="11" spans="2:30" x14ac:dyDescent="0.25">
      <c r="B11" s="77" t="s">
        <v>21</v>
      </c>
      <c r="C11" s="75" cm="1">
        <f t="array" aca="1" ref="C11" ca="1">INDIRECT("'C Impact of Optimization'!D" &amp; 3 + (ROW(A7)-1)*4)</f>
        <v>2.0939999999999999</v>
      </c>
      <c r="D11" s="75" cm="1">
        <f t="array" aca="1" ref="D11" ca="1">INDIRECT("'C Impact of Optimization'!D" &amp; 4 + (ROW(A7)-1)*4)</f>
        <v>1.0469999999999999</v>
      </c>
      <c r="E11" s="75" cm="1">
        <f t="array" aca="1" ref="E11" ca="1">INDIRECT("'C Impact of Optimization'!N" &amp; 3 + (ROW(A7)-1)*4)*100</f>
        <v>-50</v>
      </c>
      <c r="F11" s="75">
        <v>2.8719490663203402E-11</v>
      </c>
      <c r="G11" s="78" t="s">
        <v>186</v>
      </c>
      <c r="H11" s="75" cm="1">
        <f t="array" aca="1" ref="H11" ca="1">INDIRECT("'C Impact of Optimization'!M" &amp; 3 + (ROW(A7)-1)*4)</f>
        <v>75.258359999999996</v>
      </c>
      <c r="I11" s="75" cm="1">
        <f t="array" aca="1" ref="I11" ca="1">INDIRECT("'C Impact of Optimization'!M" &amp; 4 + (ROW(A7)-1)*4)</f>
        <v>27.127770000000002</v>
      </c>
      <c r="J11" s="75" cm="1">
        <f t="array" aca="1" ref="J11" ca="1">INDIRECT("'C Impact of Optimization'!Q" &amp; 3 + (ROW(A7)-1)*4)*100</f>
        <v>-63.953811908736782</v>
      </c>
      <c r="K11" s="75">
        <v>2.8719490663203402E-11</v>
      </c>
      <c r="L11" s="75" t="s">
        <v>186</v>
      </c>
      <c r="M11" s="79" t="s">
        <v>21</v>
      </c>
      <c r="N11" s="75" cm="1">
        <f t="array" aca="1" ref="N11" ca="1">INDIRECT("'C Impact of Optimization'!D" &amp; 5 + (ROW(A7)-1)*4)</f>
        <v>2.0939999999999999</v>
      </c>
      <c r="O11" s="75" cm="1">
        <f t="array" aca="1" ref="O11" ca="1">INDIRECT("'C Impact of Optimization'!D" &amp; 6 + (ROW(A7)-1)*4)</f>
        <v>1.0469999999999999</v>
      </c>
      <c r="P11" s="75" cm="1">
        <f t="array" aca="1" ref="P11" ca="1">INDIRECT("'C Impact of Optimization'!N" &amp; 5 + (ROW(A7)-1)*4)*100</f>
        <v>-50</v>
      </c>
      <c r="Q11" s="75">
        <v>2.8719490663203402E-11</v>
      </c>
      <c r="R11" s="75" t="s">
        <v>186</v>
      </c>
      <c r="S11" s="75" cm="1">
        <f t="array" aca="1" ref="S11" ca="1">INDIRECT("'C Impact of Optimization'!M" &amp; 5 + (ROW(A7)-1)*4)</f>
        <v>66.882359999999991</v>
      </c>
      <c r="T11" s="75" cm="1">
        <f t="array" aca="1" ref="T11" ca="1">INDIRECT("'C Impact of Optimization'!M" &amp; 6 + (ROW(A7)-1)*4)</f>
        <v>18.60519</v>
      </c>
      <c r="U11" s="75" cm="1">
        <f t="array" aca="1" ref="U11" ca="1">INDIRECT("'C Impact of Optimization'!Q" &amp; 5 + (ROW(A7)-1)*4)*100</f>
        <v>-72.182216656230423</v>
      </c>
      <c r="V11" s="75">
        <v>2.8719490663203402E-11</v>
      </c>
      <c r="W11" s="75" t="s">
        <v>186</v>
      </c>
      <c r="X11" s="75">
        <f t="shared" ca="1" si="0"/>
        <v>-68.068014282483603</v>
      </c>
      <c r="Z11" s="59" t="s">
        <v>165</v>
      </c>
      <c r="AA11" s="29" t="str" cm="1">
        <f t="array" aca="1" ref="AA11" ca="1">_xlfn.TEXTJOIN(", ", TRUE, IF((J5:J30 &gt;= 25) * (J5:J30 &lt; 75), B5:B30, ""))</f>
        <v/>
      </c>
      <c r="AC11" s="59" t="s">
        <v>165</v>
      </c>
      <c r="AD11" s="29" t="str" cm="1">
        <f t="array" aca="1" ref="AD11" ca="1">_xlfn.TEXTJOIN(", ", TRUE, IF((U5:U30 &gt;= 25) * (U5:U30 &lt; 75), M5:M30, ""))</f>
        <v/>
      </c>
    </row>
    <row r="12" spans="2:30" x14ac:dyDescent="0.25">
      <c r="B12" s="77" t="s">
        <v>23</v>
      </c>
      <c r="C12" s="75" cm="1">
        <f t="array" aca="1" ref="C12" ca="1">INDIRECT("'C Impact of Optimization'!D" &amp; 3 + (ROW(A8)-1)*4)</f>
        <v>1.0469999999999999</v>
      </c>
      <c r="D12" s="75" cm="1">
        <f t="array" aca="1" ref="D12" ca="1">INDIRECT("'C Impact of Optimization'!D" &amp; 4 + (ROW(A8)-1)*4)</f>
        <v>0.54100000000000004</v>
      </c>
      <c r="E12" s="75" cm="1">
        <f t="array" aca="1" ref="E12" ca="1">INDIRECT("'C Impact of Optimization'!N" &amp; 3 + (ROW(A8)-1)*4)*100</f>
        <v>-48.328557784145168</v>
      </c>
      <c r="F12" s="75">
        <v>2.8715847742981089E-10</v>
      </c>
      <c r="G12" s="78" t="s">
        <v>186</v>
      </c>
      <c r="H12" s="75" cm="1">
        <f t="array" aca="1" ref="H12" ca="1">INDIRECT("'C Impact of Optimization'!M" &amp; 3 + (ROW(A8)-1)*4)</f>
        <v>24.803429999999999</v>
      </c>
      <c r="I12" s="75" cm="1">
        <f t="array" aca="1" ref="I12" ca="1">INDIRECT("'C Impact of Optimization'!M" &amp; 4 + (ROW(A8)-1)*4)</f>
        <v>8.04467</v>
      </c>
      <c r="J12" s="75" cm="1">
        <f t="array" aca="1" ref="J12" ca="1">INDIRECT("'C Impact of Optimization'!Q" &amp; 3 + (ROW(A8)-1)*4)*100</f>
        <v>-67.566300306046372</v>
      </c>
      <c r="K12" s="75">
        <v>2.8719490663203402E-11</v>
      </c>
      <c r="L12" s="75" t="s">
        <v>186</v>
      </c>
      <c r="M12" s="79" t="s">
        <v>23</v>
      </c>
      <c r="N12" s="75" cm="1">
        <f t="array" aca="1" ref="N12" ca="1">INDIRECT("'C Impact of Optimization'!D" &amp; 5 + (ROW(A8)-1)*4)</f>
        <v>1.0469999999999999</v>
      </c>
      <c r="O12" s="75" cm="1">
        <f t="array" aca="1" ref="O12" ca="1">INDIRECT("'C Impact of Optimization'!D" &amp; 6 + (ROW(A8)-1)*4)</f>
        <v>0.61099999999999999</v>
      </c>
      <c r="P12" s="75" cm="1">
        <f t="array" aca="1" ref="P12" ca="1">INDIRECT("'C Impact of Optimization'!N" &amp; 5 + (ROW(A8)-1)*4)*100</f>
        <v>-41.642788920725884</v>
      </c>
      <c r="Q12" s="75">
        <v>2.2272692640697902E-9</v>
      </c>
      <c r="R12" s="75" t="s">
        <v>186</v>
      </c>
      <c r="S12" s="75" cm="1">
        <f t="array" aca="1" ref="S12" ca="1">INDIRECT("'C Impact of Optimization'!M" &amp; 5 + (ROW(A8)-1)*4)</f>
        <v>19.516079999999999</v>
      </c>
      <c r="T12" s="75" cm="1">
        <f t="array" aca="1" ref="T12" ca="1">INDIRECT("'C Impact of Optimization'!M" &amp; 6 + (ROW(A8)-1)*4)</f>
        <v>9.0183599999999995</v>
      </c>
      <c r="U12" s="75" cm="1">
        <f t="array" aca="1" ref="U12" ca="1">INDIRECT("'C Impact of Optimization'!Q" &amp; 5 + (ROW(A8)-1)*4)*100</f>
        <v>-53.790105390016848</v>
      </c>
      <c r="V12" s="75">
        <v>2.8719490663203402E-11</v>
      </c>
      <c r="W12" s="75" t="s">
        <v>186</v>
      </c>
      <c r="X12" s="75">
        <f t="shared" ca="1" si="0"/>
        <v>-60.67820284803161</v>
      </c>
      <c r="Z12" s="60" t="s">
        <v>166</v>
      </c>
      <c r="AA12" s="38" t="str" cm="1">
        <f t="array" aca="1" ref="AA12" ca="1">_xlfn.TEXTJOIN(", ", TRUE, IF(J5:J30 &gt;= 75, B5:B30, ""))</f>
        <v>T8</v>
      </c>
      <c r="AC12" s="60" t="s">
        <v>166</v>
      </c>
      <c r="AD12" s="38" t="str" cm="1">
        <f t="array" aca="1" ref="AD12" ca="1">_xlfn.TEXTJOIN(", ", TRUE, IF(U5:U30 &gt;= 75, M5:M30, ""))</f>
        <v/>
      </c>
    </row>
    <row r="13" spans="2:30" x14ac:dyDescent="0.25">
      <c r="B13" s="77" t="s">
        <v>25</v>
      </c>
      <c r="C13" s="75" cm="1">
        <f t="array" aca="1" ref="C13" ca="1">INDIRECT("'C Impact of Optimization'!D" &amp; 3 + (ROW(A9)-1)*4)</f>
        <v>8.3770000000000007</v>
      </c>
      <c r="D13" s="75" cm="1">
        <f t="array" aca="1" ref="D13" ca="1">INDIRECT("'C Impact of Optimization'!D" &amp; 4 + (ROW(A9)-1)*4)</f>
        <v>5.968</v>
      </c>
      <c r="E13" s="75" cm="1">
        <f t="array" aca="1" ref="E13" ca="1">INDIRECT("'C Impact of Optimization'!N" &amp; 3 + (ROW(A9)-1)*4)*100</f>
        <v>-28.757311686761376</v>
      </c>
      <c r="F13" s="75">
        <v>2.8719490663203402E-11</v>
      </c>
      <c r="G13" s="78" t="s">
        <v>186</v>
      </c>
      <c r="H13" s="75" cm="1">
        <f t="array" aca="1" ref="H13" ca="1">INDIRECT("'C Impact of Optimization'!M" &amp; 3 + (ROW(A9)-1)*4)</f>
        <v>412.90233000000001</v>
      </c>
      <c r="I13" s="75" cm="1">
        <f t="array" aca="1" ref="I13" ca="1">INDIRECT("'C Impact of Optimization'!M" &amp; 4 + (ROW(A9)-1)*4)</f>
        <v>287.29951999999997</v>
      </c>
      <c r="J13" s="75" cm="1">
        <f t="array" aca="1" ref="J13" ca="1">INDIRECT("'C Impact of Optimization'!Q" &amp; 3 + (ROW(A9)-1)*4)*100</f>
        <v>-30.419496542923369</v>
      </c>
      <c r="K13" s="75">
        <v>2.8719490663203402E-11</v>
      </c>
      <c r="L13" s="75" t="s">
        <v>186</v>
      </c>
      <c r="M13" s="79" t="s">
        <v>25</v>
      </c>
      <c r="N13" s="75" cm="1">
        <f t="array" aca="1" ref="N13" ca="1">INDIRECT("'C Impact of Optimization'!D" &amp; 5 + (ROW(A9)-1)*4)</f>
        <v>8.4030000000000005</v>
      </c>
      <c r="O13" s="75" cm="1">
        <f t="array" aca="1" ref="O13" ca="1">INDIRECT("'C Impact of Optimization'!D" &amp; 6 + (ROW(A9)-1)*4)</f>
        <v>5.7469999999999999</v>
      </c>
      <c r="P13" s="75" cm="1">
        <f t="array" aca="1" ref="P13" ca="1">INDIRECT("'C Impact of Optimization'!N" &amp; 5 + (ROW(A9)-1)*4)*100</f>
        <v>-31.607759133642755</v>
      </c>
      <c r="Q13" s="75">
        <v>2.8719490663203402E-11</v>
      </c>
      <c r="R13" s="75" t="s">
        <v>186</v>
      </c>
      <c r="S13" s="75" cm="1">
        <f t="array" aca="1" ref="S13" ca="1">INDIRECT("'C Impact of Optimization'!M" &amp; 5 + (ROW(A9)-1)*4)</f>
        <v>407.71355999999997</v>
      </c>
      <c r="T13" s="75" cm="1">
        <f t="array" aca="1" ref="T13" ca="1">INDIRECT("'C Impact of Optimization'!M" &amp; 6 + (ROW(A9)-1)*4)</f>
        <v>251.31630999999999</v>
      </c>
      <c r="U13" s="75" cm="1">
        <f t="array" aca="1" ref="U13" ca="1">INDIRECT("'C Impact of Optimization'!Q" &amp; 5 + (ROW(A9)-1)*4)*100</f>
        <v>-38.359590002353613</v>
      </c>
      <c r="V13" s="75">
        <v>2.8719490663203402E-11</v>
      </c>
      <c r="W13" s="75" t="s">
        <v>186</v>
      </c>
      <c r="X13" s="75">
        <f t="shared" ca="1" si="0"/>
        <v>-34.389543272638491</v>
      </c>
    </row>
    <row r="14" spans="2:30" x14ac:dyDescent="0.25">
      <c r="B14" s="77" t="s">
        <v>31</v>
      </c>
      <c r="C14" s="75" cm="1">
        <f t="array" aca="1" ref="C14" ca="1">INDIRECT("'C Impact of Optimization'!D" &amp; 3 + (ROW(A10)-1)*4)</f>
        <v>1.0469999999999999</v>
      </c>
      <c r="D14" s="75" cm="1">
        <f t="array" aca="1" ref="D14" ca="1">INDIRECT("'C Impact of Optimization'!D" &amp; 4 + (ROW(A10)-1)*4)</f>
        <v>0.57599999999999996</v>
      </c>
      <c r="E14" s="75" cm="1">
        <f t="array" aca="1" ref="E14" ca="1">INDIRECT("'C Impact of Optimization'!N" &amp; 3 + (ROW(A10)-1)*4)*100</f>
        <v>-44.985673352435526</v>
      </c>
      <c r="F14" s="75">
        <v>1.8567337307334022E-9</v>
      </c>
      <c r="G14" s="78" t="s">
        <v>186</v>
      </c>
      <c r="H14" s="75" cm="1">
        <f t="array" aca="1" ref="H14" ca="1">INDIRECT("'C Impact of Optimization'!M" &amp; 3 + (ROW(A10)-1)*4)</f>
        <v>23.264340000000001</v>
      </c>
      <c r="I14" s="75" cm="1">
        <f t="array" aca="1" ref="I14" ca="1">INDIRECT("'C Impact of Optimization'!M" &amp; 4 + (ROW(A10)-1)*4)</f>
        <v>9.4118399999999998</v>
      </c>
      <c r="J14" s="75" cm="1">
        <f t="array" aca="1" ref="J14" ca="1">INDIRECT("'C Impact of Optimization'!Q" &amp; 3 + (ROW(A10)-1)*4)*100</f>
        <v>-59.543920008046648</v>
      </c>
      <c r="K14" s="75">
        <v>2.8719490663203402E-11</v>
      </c>
      <c r="L14" s="75" t="s">
        <v>186</v>
      </c>
      <c r="M14" s="79" t="s">
        <v>31</v>
      </c>
      <c r="N14" s="75" cm="1">
        <f t="array" aca="1" ref="N14" ca="1">INDIRECT("'C Impact of Optimization'!D" &amp; 5 + (ROW(A10)-1)*4)</f>
        <v>1.0469999999999999</v>
      </c>
      <c r="O14" s="75" cm="1">
        <f t="array" aca="1" ref="O14" ca="1">INDIRECT("'C Impact of Optimization'!D" &amp; 6 + (ROW(A10)-1)*4)</f>
        <v>0.61099999999999999</v>
      </c>
      <c r="P14" s="75" cm="1">
        <f t="array" aca="1" ref="P14" ca="1">INDIRECT("'C Impact of Optimization'!N" &amp; 5 + (ROW(A10)-1)*4)*100</f>
        <v>-41.642788920725884</v>
      </c>
      <c r="Q14" s="75">
        <v>2.4934439776647416E-8</v>
      </c>
      <c r="R14" s="75" t="s">
        <v>186</v>
      </c>
      <c r="S14" s="75" cm="1">
        <f t="array" aca="1" ref="S14" ca="1">INDIRECT("'C Impact of Optimization'!M" &amp; 5 + (ROW(A10)-1)*4)</f>
        <v>21.735720000000001</v>
      </c>
      <c r="T14" s="75" cm="1">
        <f t="array" aca="1" ref="T14" ca="1">INDIRECT("'C Impact of Optimization'!M" &amp; 6 + (ROW(A10)-1)*4)</f>
        <v>10.973560000000001</v>
      </c>
      <c r="U14" s="75" cm="1">
        <f t="array" aca="1" ref="U14" ca="1">INDIRECT("'C Impact of Optimization'!Q" &amp; 5 + (ROW(A10)-1)*4)*100</f>
        <v>-49.513703709837998</v>
      </c>
      <c r="V14" s="75">
        <v>3.1752172486680018E-11</v>
      </c>
      <c r="W14" s="75" t="s">
        <v>186</v>
      </c>
      <c r="X14" s="75">
        <f t="shared" ca="1" si="0"/>
        <v>-54.528811858942319</v>
      </c>
    </row>
    <row r="15" spans="2:30" x14ac:dyDescent="0.25">
      <c r="B15" s="77" t="s">
        <v>33</v>
      </c>
      <c r="C15" s="75" cm="1">
        <f t="array" aca="1" ref="C15" ca="1">INDIRECT("'C Impact of Optimization'!D" &amp; 3 + (ROW(A11)-1)*4)</f>
        <v>1.0469999999999999</v>
      </c>
      <c r="D15" s="75" cm="1">
        <f t="array" aca="1" ref="D15" ca="1">INDIRECT("'C Impact of Optimization'!D" &amp; 4 + (ROW(A11)-1)*4)</f>
        <v>0.66300000000000003</v>
      </c>
      <c r="E15" s="75" cm="1">
        <f t="array" aca="1" ref="E15" ca="1">INDIRECT("'C Impact of Optimization'!N" &amp; 3 + (ROW(A11)-1)*4)*100</f>
        <v>-36.676217765042971</v>
      </c>
      <c r="F15" s="75">
        <v>7.6949635609501229E-8</v>
      </c>
      <c r="G15" s="78" t="s">
        <v>186</v>
      </c>
      <c r="H15" s="75" cm="1">
        <f t="array" aca="1" ref="H15" ca="1">INDIRECT("'C Impact of Optimization'!M" &amp; 3 + (ROW(A11)-1)*4)</f>
        <v>23.337630000000001</v>
      </c>
      <c r="I15" s="75" cm="1">
        <f t="array" aca="1" ref="I15" ca="1">INDIRECT("'C Impact of Optimization'!M" &amp; 4 + (ROW(A11)-1)*4)</f>
        <v>11.46327</v>
      </c>
      <c r="J15" s="75" cm="1">
        <f t="array" aca="1" ref="J15" ca="1">INDIRECT("'C Impact of Optimization'!Q" &amp; 3 + (ROW(A11)-1)*4)*100</f>
        <v>-50.880744959963806</v>
      </c>
      <c r="K15" s="75">
        <v>3.5097576968084933E-11</v>
      </c>
      <c r="L15" s="75" t="s">
        <v>186</v>
      </c>
      <c r="M15" s="79" t="s">
        <v>33</v>
      </c>
      <c r="N15" s="75" cm="1">
        <f t="array" aca="1" ref="N15" ca="1">INDIRECT("'C Impact of Optimization'!D" &amp; 5 + (ROW(A11)-1)*4)</f>
        <v>1.0469999999999999</v>
      </c>
      <c r="O15" s="75" cm="1">
        <f t="array" aca="1" ref="O15" ca="1">INDIRECT("'C Impact of Optimization'!D" &amp; 6 + (ROW(A11)-1)*4)</f>
        <v>0.55800000000000005</v>
      </c>
      <c r="P15" s="75" cm="1">
        <f t="array" aca="1" ref="P15" ca="1">INDIRECT("'C Impact of Optimization'!N" &amp; 5 + (ROW(A11)-1)*4)*100</f>
        <v>-46.704871060171911</v>
      </c>
      <c r="Q15" s="75">
        <v>4.0771648468253477E-11</v>
      </c>
      <c r="R15" s="75" t="s">
        <v>186</v>
      </c>
      <c r="S15" s="75" cm="1">
        <f t="array" aca="1" ref="S15" ca="1">INDIRECT("'C Impact of Optimization'!M" &amp; 5 + (ROW(A11)-1)*4)</f>
        <v>23.683140000000002</v>
      </c>
      <c r="T15" s="75" cm="1">
        <f t="array" aca="1" ref="T15" ca="1">INDIRECT("'C Impact of Optimization'!M" &amp; 6 + (ROW(A11)-1)*4)</f>
        <v>10.53504</v>
      </c>
      <c r="U15" s="75" cm="1">
        <f t="array" aca="1" ref="U15" ca="1">INDIRECT("'C Impact of Optimization'!Q" &amp; 5 + (ROW(A11)-1)*4)*100</f>
        <v>-55.516709355262861</v>
      </c>
      <c r="V15" s="75">
        <v>3.5097576968084933E-11</v>
      </c>
      <c r="W15" s="75" t="s">
        <v>186</v>
      </c>
      <c r="X15" s="75">
        <f t="shared" ca="1" si="0"/>
        <v>-53.198727157613334</v>
      </c>
    </row>
    <row r="16" spans="2:30" x14ac:dyDescent="0.25">
      <c r="B16" s="77" t="s">
        <v>37</v>
      </c>
      <c r="C16" s="75" cm="1">
        <f t="array" aca="1" ref="C16" ca="1">INDIRECT("'C Impact of Optimization'!D" &amp; 3 + (ROW(A12)-1)*4)</f>
        <v>12.635999999999999</v>
      </c>
      <c r="D16" s="75" cm="1">
        <f t="array" aca="1" ref="D16" ca="1">INDIRECT("'C Impact of Optimization'!D" &amp; 4 + (ROW(A12)-1)*4)</f>
        <v>1.57</v>
      </c>
      <c r="E16" s="75" cm="1">
        <f t="array" aca="1" ref="E16" ca="1">INDIRECT("'C Impact of Optimization'!N" &amp; 3 + (ROW(A12)-1)*4)*100</f>
        <v>-87.575182019626467</v>
      </c>
      <c r="F16" s="75">
        <v>2.8719490663203402E-11</v>
      </c>
      <c r="G16" s="78" t="s">
        <v>186</v>
      </c>
      <c r="H16" s="75" cm="1">
        <f t="array" aca="1" ref="H16" ca="1">INDIRECT("'C Impact of Optimization'!M" &amp; 3 + (ROW(A12)-1)*4)</f>
        <v>647.72135999999989</v>
      </c>
      <c r="I16" s="75" cm="1">
        <f t="array" aca="1" ref="I16" ca="1">INDIRECT("'C Impact of Optimization'!M" &amp; 4 + (ROW(A12)-1)*4)</f>
        <v>45.686999999999998</v>
      </c>
      <c r="J16" s="75" cm="1">
        <f t="array" aca="1" ref="J16" ca="1">INDIRECT("'C Impact of Optimization'!Q" &amp; 3 + (ROW(A12)-1)*4)*100</f>
        <v>-92.946504033771561</v>
      </c>
      <c r="K16" s="75">
        <v>2.8719490663203402E-11</v>
      </c>
      <c r="L16" s="75" t="s">
        <v>186</v>
      </c>
      <c r="M16" s="79" t="s">
        <v>37</v>
      </c>
      <c r="N16" s="75" cm="1">
        <f t="array" aca="1" ref="N16" ca="1">INDIRECT("'C Impact of Optimization'!D" &amp; 5 + (ROW(A12)-1)*4)</f>
        <v>17.779</v>
      </c>
      <c r="O16" s="75" cm="1">
        <f t="array" aca="1" ref="O16" ca="1">INDIRECT("'C Impact of Optimization'!D" &amp; 6 + (ROW(A12)-1)*4)</f>
        <v>1.577</v>
      </c>
      <c r="P16" s="75" cm="1">
        <f t="array" aca="1" ref="P16" ca="1">INDIRECT("'C Impact of Optimization'!N" &amp; 5 + (ROW(A12)-1)*4)*100</f>
        <v>-91.12998481354407</v>
      </c>
      <c r="Q16" s="75">
        <v>2.8719490663203402E-11</v>
      </c>
      <c r="R16" s="75" t="s">
        <v>186</v>
      </c>
      <c r="S16" s="75" cm="1">
        <f t="array" aca="1" ref="S16" ca="1">INDIRECT("'C Impact of Optimization'!M" &amp; 5 + (ROW(A12)-1)*4)</f>
        <v>873.12668999999994</v>
      </c>
      <c r="T16" s="75" cm="1">
        <f t="array" aca="1" ref="T16" ca="1">INDIRECT("'C Impact of Optimization'!M" &amp; 6 + (ROW(A12)-1)*4)</f>
        <v>51.946379999999998</v>
      </c>
      <c r="U16" s="75" cm="1">
        <f t="array" aca="1" ref="U16" ca="1">INDIRECT("'C Impact of Optimization'!Q" &amp; 5 + (ROW(A12)-1)*4)*100</f>
        <v>-94.050533491308116</v>
      </c>
      <c r="V16" s="75">
        <v>2.8719490663203402E-11</v>
      </c>
      <c r="W16" s="75" t="s">
        <v>186</v>
      </c>
      <c r="X16" s="75">
        <f t="shared" ca="1" si="0"/>
        <v>-93.498518762539845</v>
      </c>
    </row>
    <row r="17" spans="2:24" x14ac:dyDescent="0.25">
      <c r="B17" s="77" t="s">
        <v>39</v>
      </c>
      <c r="C17" s="75" cm="1">
        <f t="array" aca="1" ref="C17" ca="1">INDIRECT("'C Impact of Optimization'!D" &amp; 3 + (ROW(A13)-1)*4)</f>
        <v>8.9009999999999998</v>
      </c>
      <c r="D17" s="75" cm="1">
        <f t="array" aca="1" ref="D17" ca="1">INDIRECT("'C Impact of Optimization'!D" &amp; 4 + (ROW(A13)-1)*4)</f>
        <v>1.0469999999999999</v>
      </c>
      <c r="E17" s="75" cm="1">
        <f t="array" aca="1" ref="E17" ca="1">INDIRECT("'C Impact of Optimization'!N" &amp; 3 + (ROW(A13)-1)*4)*100</f>
        <v>-88.237276710481964</v>
      </c>
      <c r="F17" s="75">
        <v>2.8719490663203402E-11</v>
      </c>
      <c r="G17" s="78" t="s">
        <v>186</v>
      </c>
      <c r="H17" s="75" cm="1">
        <f t="array" aca="1" ref="H17" ca="1">INDIRECT("'C Impact of Optimization'!M" &amp; 3 + (ROW(A13)-1)*4)</f>
        <v>436.23800999999997</v>
      </c>
      <c r="I17" s="75" cm="1">
        <f t="array" aca="1" ref="I17" ca="1">INDIRECT("'C Impact of Optimization'!M" &amp; 4 + (ROW(A13)-1)*4)</f>
        <v>25.557269999999999</v>
      </c>
      <c r="J17" s="75" cm="1">
        <f t="array" aca="1" ref="J17" ca="1">INDIRECT("'C Impact of Optimization'!Q" &amp; 3 + (ROW(A13)-1)*4)*100</f>
        <v>-94.141438981898901</v>
      </c>
      <c r="K17" s="75">
        <v>2.8719490663203402E-11</v>
      </c>
      <c r="L17" s="75" t="s">
        <v>186</v>
      </c>
      <c r="M17" s="79" t="s">
        <v>39</v>
      </c>
      <c r="N17" s="75" cm="1">
        <f t="array" aca="1" ref="N17" ca="1">INDIRECT("'C Impact of Optimization'!D" &amp; 5 + (ROW(A13)-1)*4)</f>
        <v>3.1589999999999998</v>
      </c>
      <c r="O17" s="75" cm="1">
        <f t="array" aca="1" ref="O17" ca="1">INDIRECT("'C Impact of Optimization'!D" &amp; 6 + (ROW(A13)-1)*4)</f>
        <v>1.5760000000000001</v>
      </c>
      <c r="P17" s="75" cm="1">
        <f t="array" aca="1" ref="P17" ca="1">INDIRECT("'C Impact of Optimization'!N" &amp; 5 + (ROW(A13)-1)*4)*100</f>
        <v>-50.110794555238989</v>
      </c>
      <c r="Q17" s="75">
        <v>2.8719490663203402E-11</v>
      </c>
      <c r="R17" s="75" t="s">
        <v>186</v>
      </c>
      <c r="S17" s="75" cm="1">
        <f t="array" aca="1" ref="S17" ca="1">INDIRECT("'C Impact of Optimization'!M" &amp; 5 + (ROW(A13)-1)*4)</f>
        <v>130.49829</v>
      </c>
      <c r="T17" s="75" cm="1">
        <f t="array" aca="1" ref="T17" ca="1">INDIRECT("'C Impact of Optimization'!M" &amp; 6 + (ROW(A13)-1)*4)</f>
        <v>40.251040000000003</v>
      </c>
      <c r="U17" s="75" cm="1">
        <f t="array" aca="1" ref="U17" ca="1">INDIRECT("'C Impact of Optimization'!Q" &amp; 5 + (ROW(A13)-1)*4)*100</f>
        <v>-69.155887023500469</v>
      </c>
      <c r="V17" s="75">
        <v>2.8719490663203402E-11</v>
      </c>
      <c r="W17" s="75" t="s">
        <v>186</v>
      </c>
      <c r="X17" s="75">
        <f t="shared" ca="1" si="0"/>
        <v>-81.648663002699692</v>
      </c>
    </row>
    <row r="18" spans="2:24" x14ac:dyDescent="0.25">
      <c r="B18" s="77" t="s">
        <v>49</v>
      </c>
      <c r="C18" s="75" cm="1">
        <f t="array" aca="1" ref="C18" ca="1">INDIRECT("'C Impact of Optimization'!D" &amp; 3 + (ROW(A14)-1)*4)</f>
        <v>18.850000000000001</v>
      </c>
      <c r="D18" s="75" cm="1">
        <f t="array" aca="1" ref="D18" ca="1">INDIRECT("'C Impact of Optimization'!D" &amp; 4 + (ROW(A14)-1)*4)</f>
        <v>4.7300000000000004</v>
      </c>
      <c r="E18" s="75" cm="1">
        <f t="array" aca="1" ref="E18" ca="1">INDIRECT("'C Impact of Optimization'!N" &amp; 3 + (ROW(A14)-1)*4)*100</f>
        <v>-74.907161803713535</v>
      </c>
      <c r="F18" s="75">
        <v>2.8719490663203402E-11</v>
      </c>
      <c r="G18" s="78" t="s">
        <v>186</v>
      </c>
      <c r="H18" s="75" cm="1">
        <f t="array" aca="1" ref="H18" ca="1">INDIRECT("'C Impact of Optimization'!M" &amp; 3 + (ROW(A14)-1)*4)</f>
        <v>895.94050000000004</v>
      </c>
      <c r="I18" s="75" cm="1">
        <f t="array" aca="1" ref="I18" ca="1">INDIRECT("'C Impact of Optimization'!M" &amp; 4 + (ROW(A14)-1)*4)</f>
        <v>188.3486</v>
      </c>
      <c r="J18" s="75" cm="1">
        <f t="array" aca="1" ref="J18" ca="1">INDIRECT("'C Impact of Optimization'!Q" &amp; 3 + (ROW(A14)-1)*4)*100</f>
        <v>-78.9775548711103</v>
      </c>
      <c r="K18" s="75">
        <v>2.8719490663203402E-11</v>
      </c>
      <c r="L18" s="75" t="s">
        <v>186</v>
      </c>
      <c r="M18" s="79" t="s">
        <v>49</v>
      </c>
      <c r="N18" s="75" cm="1">
        <f t="array" aca="1" ref="N18" ca="1">INDIRECT("'C Impact of Optimization'!D" &amp; 5 + (ROW(A14)-1)*4)</f>
        <v>15.246</v>
      </c>
      <c r="O18" s="75" cm="1">
        <f t="array" aca="1" ref="O18" ca="1">INDIRECT("'C Impact of Optimization'!D" &amp; 6 + (ROW(A14)-1)*4)</f>
        <v>3.6789999999999998</v>
      </c>
      <c r="P18" s="75" cm="1">
        <f t="array" aca="1" ref="P18" ca="1">INDIRECT("'C Impact of Optimization'!N" &amp; 5 + (ROW(A14)-1)*4)*100</f>
        <v>-75.869080414534963</v>
      </c>
      <c r="Q18" s="75">
        <v>2.8719490663203402E-11</v>
      </c>
      <c r="R18" s="75" t="s">
        <v>186</v>
      </c>
      <c r="S18" s="75" cm="1">
        <f t="array" aca="1" ref="S18" ca="1">INDIRECT("'C Impact of Optimization'!M" &amp; 5 + (ROW(A14)-1)*4)</f>
        <v>714.42755999999997</v>
      </c>
      <c r="T18" s="75" cm="1">
        <f t="array" aca="1" ref="T18" ca="1">INDIRECT("'C Impact of Optimization'!M" &amp; 6 + (ROW(A14)-1)*4)</f>
        <v>146.20346000000001</v>
      </c>
      <c r="U18" s="75" cm="1">
        <f t="array" aca="1" ref="U18" ca="1">INDIRECT("'C Impact of Optimization'!Q" &amp; 5 + (ROW(A14)-1)*4)*100</f>
        <v>-79.535579506479266</v>
      </c>
      <c r="V18" s="75">
        <v>2.8719490663203402E-11</v>
      </c>
      <c r="W18" s="75" t="s">
        <v>186</v>
      </c>
      <c r="X18" s="75">
        <f t="shared" ca="1" si="0"/>
        <v>-79.256567188794776</v>
      </c>
    </row>
    <row r="19" spans="2:24" x14ac:dyDescent="0.25">
      <c r="B19" s="77" t="s">
        <v>51</v>
      </c>
      <c r="C19" s="75" cm="1">
        <f t="array" aca="1" ref="C19" ca="1">INDIRECT("'C Impact of Optimization'!D" &amp; 3 + (ROW(A15)-1)*4)</f>
        <v>18.326000000000001</v>
      </c>
      <c r="D19" s="75" cm="1">
        <f t="array" aca="1" ref="D19" ca="1">INDIRECT("'C Impact of Optimization'!D" &amp; 4 + (ROW(A15)-1)*4)</f>
        <v>5.2539999999999996</v>
      </c>
      <c r="E19" s="75" cm="1">
        <f t="array" aca="1" ref="E19" ca="1">INDIRECT("'C Impact of Optimization'!N" &amp; 3 + (ROW(A15)-1)*4)*100</f>
        <v>-71.330350321946966</v>
      </c>
      <c r="F19" s="75">
        <v>2.8719490663203402E-11</v>
      </c>
      <c r="G19" s="78" t="s">
        <v>186</v>
      </c>
      <c r="H19" s="75" cm="1">
        <f t="array" aca="1" ref="H19" ca="1">INDIRECT("'C Impact of Optimization'!M" &amp; 3 + (ROW(A15)-1)*4)</f>
        <v>921.61454000000003</v>
      </c>
      <c r="I19" s="75" cm="1">
        <f t="array" aca="1" ref="I19" ca="1">INDIRECT("'C Impact of Optimization'!M" &amp; 4 + (ROW(A15)-1)*4)</f>
        <v>233.59284</v>
      </c>
      <c r="J19" s="75" cm="1">
        <f t="array" aca="1" ref="J19" ca="1">INDIRECT("'C Impact of Optimization'!Q" &amp; 3 + (ROW(A15)-1)*4)*100</f>
        <v>-74.653954569770562</v>
      </c>
      <c r="K19" s="75">
        <v>2.8719490663203402E-11</v>
      </c>
      <c r="L19" s="75" t="s">
        <v>186</v>
      </c>
      <c r="M19" s="79" t="s">
        <v>51</v>
      </c>
      <c r="N19" s="75" cm="1">
        <f t="array" aca="1" ref="N19" ca="1">INDIRECT("'C Impact of Optimization'!D" &amp; 5 + (ROW(A15)-1)*4)</f>
        <v>18.927</v>
      </c>
      <c r="O19" s="75" cm="1">
        <f t="array" aca="1" ref="O19" ca="1">INDIRECT("'C Impact of Optimization'!D" &amp; 6 + (ROW(A15)-1)*4)</f>
        <v>1.069</v>
      </c>
      <c r="P19" s="75" cm="1">
        <f t="array" aca="1" ref="P19" ca="1">INDIRECT("'C Impact of Optimization'!N" &amp; 5 + (ROW(A15)-1)*4)*100</f>
        <v>-94.351983938289223</v>
      </c>
      <c r="Q19" s="75">
        <v>2.8719490663203402E-11</v>
      </c>
      <c r="R19" s="75" t="s">
        <v>186</v>
      </c>
      <c r="S19" s="75" cm="1">
        <f t="array" aca="1" ref="S19" ca="1">INDIRECT("'C Impact of Optimization'!M" &amp; 5 + (ROW(A15)-1)*4)</f>
        <v>924.58394999999996</v>
      </c>
      <c r="T19" s="75" cm="1">
        <f t="array" aca="1" ref="T19" ca="1">INDIRECT("'C Impact of Optimization'!M" &amp; 6 + (ROW(A15)-1)*4)</f>
        <v>25.271159999999998</v>
      </c>
      <c r="U19" s="75" cm="1">
        <f t="array" aca="1" ref="U19" ca="1">INDIRECT("'C Impact of Optimization'!Q" &amp; 5 + (ROW(A15)-1)*4)*100</f>
        <v>-97.266753332674654</v>
      </c>
      <c r="V19" s="75">
        <v>2.8719490663203402E-11</v>
      </c>
      <c r="W19" s="75" t="s">
        <v>186</v>
      </c>
      <c r="X19" s="75">
        <f t="shared" ca="1" si="0"/>
        <v>-85.960353951222601</v>
      </c>
    </row>
    <row r="20" spans="2:24" x14ac:dyDescent="0.25">
      <c r="B20" s="77" t="s">
        <v>55</v>
      </c>
      <c r="C20" s="75" cm="1">
        <f t="array" aca="1" ref="C20" ca="1">INDIRECT("'C Impact of Optimization'!D" &amp; 3 + (ROW(A16)-1)*4)</f>
        <v>6.9630000000000001</v>
      </c>
      <c r="D20" s="75" cm="1">
        <f t="array" aca="1" ref="D20" ca="1">INDIRECT("'C Impact of Optimization'!D" &amp; 4 + (ROW(A16)-1)*4)</f>
        <v>1.57</v>
      </c>
      <c r="E20" s="75" cm="1">
        <f t="array" aca="1" ref="E20" ca="1">INDIRECT("'C Impact of Optimization'!N" &amp; 3 + (ROW(A16)-1)*4)*100</f>
        <v>-77.452247594427675</v>
      </c>
      <c r="F20" s="75">
        <v>2.8719490663203402E-11</v>
      </c>
      <c r="G20" s="78" t="s">
        <v>186</v>
      </c>
      <c r="H20" s="75" cm="1">
        <f t="array" aca="1" ref="H20" ca="1">INDIRECT("'C Impact of Optimization'!M" &amp; 3 + (ROW(A16)-1)*4)</f>
        <v>359.08190999999999</v>
      </c>
      <c r="I20" s="75" cm="1">
        <f t="array" aca="1" ref="I20" ca="1">INDIRECT("'C Impact of Optimization'!M" &amp; 4 + (ROW(A16)-1)*4)</f>
        <v>41.918999999999997</v>
      </c>
      <c r="J20" s="75" cm="1">
        <f t="array" aca="1" ref="J20" ca="1">INDIRECT("'C Impact of Optimization'!Q" &amp; 3 + (ROW(A16)-1)*4)*100</f>
        <v>-88.326061872623995</v>
      </c>
      <c r="K20" s="75">
        <v>2.8719490663203402E-11</v>
      </c>
      <c r="L20" s="75" t="s">
        <v>186</v>
      </c>
      <c r="M20" s="79" t="s">
        <v>55</v>
      </c>
      <c r="N20" s="75" cm="1">
        <f t="array" aca="1" ref="N20" ca="1">INDIRECT("'C Impact of Optimization'!D" &amp; 5 + (ROW(A16)-1)*4)</f>
        <v>15.218</v>
      </c>
      <c r="O20" s="75" cm="1">
        <f t="array" aca="1" ref="O20" ca="1">INDIRECT("'C Impact of Optimization'!D" &amp; 6 + (ROW(A16)-1)*4)</f>
        <v>1.4370000000000001</v>
      </c>
      <c r="P20" s="75" cm="1">
        <f t="array" aca="1" ref="P20" ca="1">INDIRECT("'C Impact of Optimization'!N" &amp; 5 + (ROW(A16)-1)*4)*100</f>
        <v>-90.557234853463015</v>
      </c>
      <c r="Q20" s="75">
        <v>2.8719490663203402E-11</v>
      </c>
      <c r="R20" s="75" t="s">
        <v>186</v>
      </c>
      <c r="S20" s="75" cm="1">
        <f t="array" aca="1" ref="S20" ca="1">INDIRECT("'C Impact of Optimization'!M" &amp; 5 + (ROW(A16)-1)*4)</f>
        <v>781.13994000000002</v>
      </c>
      <c r="T20" s="75" cm="1">
        <f t="array" aca="1" ref="T20" ca="1">INDIRECT("'C Impact of Optimization'!M" &amp; 6 + (ROW(A16)-1)*4)</f>
        <v>38.640929999999997</v>
      </c>
      <c r="U20" s="75" cm="1">
        <f t="array" aca="1" ref="U20" ca="1">INDIRECT("'C Impact of Optimization'!Q" &amp; 5 + (ROW(A16)-1)*4)*100</f>
        <v>-95.053264079673099</v>
      </c>
      <c r="V20" s="75">
        <v>2.8719490663203402E-11</v>
      </c>
      <c r="W20" s="75" t="s">
        <v>186</v>
      </c>
      <c r="X20" s="75">
        <f t="shared" ca="1" si="0"/>
        <v>-91.689662976148554</v>
      </c>
    </row>
    <row r="21" spans="2:24" x14ac:dyDescent="0.25">
      <c r="B21" s="77" t="s">
        <v>57</v>
      </c>
      <c r="C21" s="75" cm="1">
        <f t="array" aca="1" ref="C21" ca="1">INDIRECT("'C Impact of Optimization'!D" &amp; 3 + (ROW(A17)-1)*4)</f>
        <v>1.0469999999999999</v>
      </c>
      <c r="D21" s="75" cm="1">
        <f t="array" aca="1" ref="D21" ca="1">INDIRECT("'C Impact of Optimization'!D" &amp; 4 + (ROW(A17)-1)*4)</f>
        <v>0.52400000000000002</v>
      </c>
      <c r="E21" s="75" cm="1">
        <f t="array" aca="1" ref="E21" ca="1">INDIRECT("'C Impact of Optimization'!N" &amp; 3 + (ROW(A17)-1)*4)*100</f>
        <v>-49.952244508118426</v>
      </c>
      <c r="F21" s="75">
        <v>2.8719490663203402E-11</v>
      </c>
      <c r="G21" s="78" t="s">
        <v>186</v>
      </c>
      <c r="H21" s="75" cm="1">
        <f t="array" aca="1" ref="H21" ca="1">INDIRECT("'C Impact of Optimization'!M" &amp; 3 + (ROW(A17)-1)*4)</f>
        <v>19.725480000000001</v>
      </c>
      <c r="I21" s="75" cm="1">
        <f t="array" aca="1" ref="I21" ca="1">INDIRECT("'C Impact of Optimization'!M" &amp; 4 + (ROW(A17)-1)*4)</f>
        <v>9.4110400000000016</v>
      </c>
      <c r="J21" s="75" cm="1">
        <f t="array" aca="1" ref="J21" ca="1">INDIRECT("'C Impact of Optimization'!Q" &amp; 3 + (ROW(A17)-1)*4)*100</f>
        <v>-52.289931601157477</v>
      </c>
      <c r="K21" s="75">
        <v>2.8719490663203402E-11</v>
      </c>
      <c r="L21" s="75" t="s">
        <v>186</v>
      </c>
      <c r="M21" s="79" t="s">
        <v>57</v>
      </c>
      <c r="N21" s="75" cm="1">
        <f t="array" aca="1" ref="N21" ca="1">INDIRECT("'C Impact of Optimization'!D" &amp; 5 + (ROW(A17)-1)*4)</f>
        <v>1.0469999999999999</v>
      </c>
      <c r="O21" s="75" cm="1">
        <f t="array" aca="1" ref="O21" ca="1">INDIRECT("'C Impact of Optimization'!D" &amp; 6 + (ROW(A17)-1)*4)</f>
        <v>0.52400000000000002</v>
      </c>
      <c r="P21" s="75" cm="1">
        <f t="array" aca="1" ref="P21" ca="1">INDIRECT("'C Impact of Optimization'!N" &amp; 5 + (ROW(A17)-1)*4)*100</f>
        <v>-49.952244508118426</v>
      </c>
      <c r="Q21" s="75">
        <v>2.8719490663203402E-11</v>
      </c>
      <c r="R21" s="75" t="s">
        <v>186</v>
      </c>
      <c r="S21" s="75" cm="1">
        <f t="array" aca="1" ref="S21" ca="1">INDIRECT("'C Impact of Optimization'!M" &amp; 5 + (ROW(A17)-1)*4)</f>
        <v>20.091930000000001</v>
      </c>
      <c r="T21" s="75" cm="1">
        <f t="array" aca="1" ref="T21" ca="1">INDIRECT("'C Impact of Optimization'!M" &amp; 6 + (ROW(A17)-1)*4)</f>
        <v>9.8145199999999999</v>
      </c>
      <c r="U21" s="75" cm="1">
        <f t="array" aca="1" ref="U21" ca="1">INDIRECT("'C Impact of Optimization'!Q" &amp; 5 + (ROW(A17)-1)*4)*100</f>
        <v>-51.151930153051509</v>
      </c>
      <c r="V21" s="75">
        <v>2.8719490663203402E-11</v>
      </c>
      <c r="W21" s="75" t="s">
        <v>186</v>
      </c>
      <c r="X21" s="75">
        <f t="shared" ca="1" si="0"/>
        <v>-51.720930877104493</v>
      </c>
    </row>
    <row r="22" spans="2:24" x14ac:dyDescent="0.25">
      <c r="B22" s="77" t="s">
        <v>61</v>
      </c>
      <c r="C22" s="75" cm="1">
        <f t="array" aca="1" ref="C22" ca="1">INDIRECT("'C Impact of Optimization'!D" &amp; 3 + (ROW(A18)-1)*4)</f>
        <v>16.093</v>
      </c>
      <c r="D22" s="75" cm="1">
        <f t="array" aca="1" ref="D22" ca="1">INDIRECT("'C Impact of Optimization'!D" &amp; 4 + (ROW(A18)-1)*4)</f>
        <v>12.327</v>
      </c>
      <c r="E22" s="75" cm="1">
        <f t="array" aca="1" ref="E22" ca="1">INDIRECT("'C Impact of Optimization'!N" &amp; 3 + (ROW(A18)-1)*4)*100</f>
        <v>-23.401478903871247</v>
      </c>
      <c r="F22" s="75">
        <v>2.8719490663203402E-11</v>
      </c>
      <c r="G22" s="78" t="s">
        <v>186</v>
      </c>
      <c r="H22" s="75" cm="1">
        <f t="array" aca="1" ref="H22" ca="1">INDIRECT("'C Impact of Optimization'!M" &amp; 3 + (ROW(A18)-1)*4)</f>
        <v>1039.28594</v>
      </c>
      <c r="I22" s="75" cm="1">
        <f t="array" aca="1" ref="I22" ca="1">INDIRECT("'C Impact of Optimization'!M" &amp; 4 + (ROW(A18)-1)*4)</f>
        <v>818.26625999999999</v>
      </c>
      <c r="J22" s="75" cm="1">
        <f t="array" aca="1" ref="J22" ca="1">INDIRECT("'C Impact of Optimization'!Q" &amp; 3 + (ROW(A18)-1)*4)*100</f>
        <v>-21.266493800541554</v>
      </c>
      <c r="K22" s="75">
        <v>2.8719490663203402E-11</v>
      </c>
      <c r="L22" s="75" t="s">
        <v>186</v>
      </c>
      <c r="M22" s="79" t="s">
        <v>61</v>
      </c>
      <c r="N22" s="75" cm="1">
        <f t="array" aca="1" ref="N22" ca="1">INDIRECT("'C Impact of Optimization'!D" &amp; 5 + (ROW(A18)-1)*4)</f>
        <v>23.326000000000001</v>
      </c>
      <c r="O22" s="75" cm="1">
        <f t="array" aca="1" ref="O22" ca="1">INDIRECT("'C Impact of Optimization'!D" &amp; 6 + (ROW(A18)-1)*4)</f>
        <v>17.928000000000001</v>
      </c>
      <c r="P22" s="75" cm="1">
        <f t="array" aca="1" ref="P22" ca="1">INDIRECT("'C Impact of Optimization'!N" &amp; 5 + (ROW(A18)-1)*4)*100</f>
        <v>-23.141558775615191</v>
      </c>
      <c r="Q22" s="75">
        <v>2.8719490663203402E-11</v>
      </c>
      <c r="R22" s="75" t="s">
        <v>186</v>
      </c>
      <c r="S22" s="75" cm="1">
        <f t="array" aca="1" ref="S22" ca="1">INDIRECT("'C Impact of Optimization'!M" &amp; 5 + (ROW(A18)-1)*4)</f>
        <v>1536.9501399999999</v>
      </c>
      <c r="T22" s="75" cm="1">
        <f t="array" aca="1" ref="T22" ca="1">INDIRECT("'C Impact of Optimization'!M" &amp; 6 + (ROW(A18)-1)*4)</f>
        <v>1177.15248</v>
      </c>
      <c r="U22" s="75" cm="1">
        <f t="array" aca="1" ref="U22" ca="1">INDIRECT("'C Impact of Optimization'!Q" &amp; 5 + (ROW(A18)-1)*4)*100</f>
        <v>-23.409845943343353</v>
      </c>
      <c r="V22" s="75">
        <v>2.8719490663203402E-11</v>
      </c>
      <c r="W22" s="75" t="s">
        <v>186</v>
      </c>
      <c r="X22" s="75">
        <f t="shared" ca="1" si="0"/>
        <v>-22.338169871942455</v>
      </c>
    </row>
    <row r="23" spans="2:24" x14ac:dyDescent="0.25">
      <c r="B23" s="77" t="s">
        <v>63</v>
      </c>
      <c r="C23" s="75" cm="1">
        <f t="array" aca="1" ref="C23" ca="1">INDIRECT("'C Impact of Optimization'!D" &amp; 3 + (ROW(A19)-1)*4)</f>
        <v>1.0469999999999999</v>
      </c>
      <c r="D23" s="75" cm="1">
        <f t="array" aca="1" ref="D23" ca="1">INDIRECT("'C Impact of Optimization'!D" &amp; 4 + (ROW(A19)-1)*4)</f>
        <v>0.52400000000000002</v>
      </c>
      <c r="E23" s="75" cm="1">
        <f t="array" aca="1" ref="E23" ca="1">INDIRECT("'C Impact of Optimization'!N" &amp; 3 + (ROW(A19)-1)*4)*100</f>
        <v>-49.952244508118426</v>
      </c>
      <c r="F23" s="75">
        <v>2.8719490663203402E-11</v>
      </c>
      <c r="G23" s="78" t="s">
        <v>186</v>
      </c>
      <c r="H23" s="75" cm="1">
        <f t="array" aca="1" ref="H23" ca="1">INDIRECT("'C Impact of Optimization'!M" &amp; 3 + (ROW(A19)-1)*4)</f>
        <v>16.218029999999999</v>
      </c>
      <c r="I23" s="75" cm="1">
        <f t="array" aca="1" ref="I23" ca="1">INDIRECT("'C Impact of Optimization'!M" &amp; 4 + (ROW(A19)-1)*4)</f>
        <v>5.9788399999999999</v>
      </c>
      <c r="J23" s="75" cm="1">
        <f t="array" aca="1" ref="J23" ca="1">INDIRECT("'C Impact of Optimization'!Q" &amp; 3 + (ROW(A19)-1)*4)*100</f>
        <v>-63.134610060531394</v>
      </c>
      <c r="K23" s="75">
        <v>2.8719490663203402E-11</v>
      </c>
      <c r="L23" s="75" t="s">
        <v>186</v>
      </c>
      <c r="M23" s="79" t="s">
        <v>63</v>
      </c>
      <c r="N23" s="75" cm="1">
        <f t="array" aca="1" ref="N23" ca="1">INDIRECT("'C Impact of Optimization'!D" &amp; 5 + (ROW(A19)-1)*4)</f>
        <v>1.0469999999999999</v>
      </c>
      <c r="O23" s="75" cm="1">
        <f t="array" aca="1" ref="O23" ca="1">INDIRECT("'C Impact of Optimization'!D" &amp; 6 + (ROW(A19)-1)*4)</f>
        <v>0.52400000000000002</v>
      </c>
      <c r="P23" s="75" cm="1">
        <f t="array" aca="1" ref="P23" ca="1">INDIRECT("'C Impact of Optimization'!N" &amp; 5 + (ROW(A19)-1)*4)*100</f>
        <v>-49.952244508118426</v>
      </c>
      <c r="Q23" s="75">
        <v>2.8719490663203402E-11</v>
      </c>
      <c r="R23" s="75" t="s">
        <v>186</v>
      </c>
      <c r="S23" s="75" cm="1">
        <f t="array" aca="1" ref="S23" ca="1">INDIRECT("'C Impact of Optimization'!M" &amp; 5 + (ROW(A19)-1)*4)</f>
        <v>13.7157</v>
      </c>
      <c r="T23" s="75" cm="1">
        <f t="array" aca="1" ref="T23" ca="1">INDIRECT("'C Impact of Optimization'!M" &amp; 6 + (ROW(A19)-1)*4)</f>
        <v>6.4189999999999996</v>
      </c>
      <c r="U23" s="75" cm="1">
        <f t="array" aca="1" ref="U23" ca="1">INDIRECT("'C Impact of Optimization'!Q" &amp; 5 + (ROW(A19)-1)*4)*100</f>
        <v>-53.199617956064948</v>
      </c>
      <c r="V23" s="75">
        <v>2.8719490663203402E-11</v>
      </c>
      <c r="W23" s="75" t="s">
        <v>186</v>
      </c>
      <c r="X23" s="75">
        <f t="shared" ca="1" si="0"/>
        <v>-58.167114008298171</v>
      </c>
    </row>
    <row r="24" spans="2:24" x14ac:dyDescent="0.25">
      <c r="B24" s="77" t="s">
        <v>65</v>
      </c>
      <c r="C24" s="75" cm="1">
        <f t="array" aca="1" ref="C24" ca="1">INDIRECT("'C Impact of Optimization'!D" &amp; 3 + (ROW(A20)-1)*4)</f>
        <v>1.0469999999999999</v>
      </c>
      <c r="D24" s="75" cm="1">
        <f t="array" aca="1" ref="D24" ca="1">INDIRECT("'C Impact of Optimization'!D" &amp; 4 + (ROW(A20)-1)*4)</f>
        <v>1.0469999999999999</v>
      </c>
      <c r="E24" s="75" cm="1">
        <f t="array" aca="1" ref="E24" ca="1">INDIRECT("'C Impact of Optimization'!N" &amp; 3 + (ROW(A20)-1)*4)*100</f>
        <v>0</v>
      </c>
      <c r="F24" s="75">
        <v>0.44641943595997247</v>
      </c>
      <c r="G24" s="78" t="s">
        <v>216</v>
      </c>
      <c r="H24" s="75" cm="1">
        <f t="array" aca="1" ref="H24" ca="1">INDIRECT("'C Impact of Optimization'!M" &amp; 3 + (ROW(A20)-1)*4)</f>
        <v>22.269690000000001</v>
      </c>
      <c r="I24" s="75" cm="1">
        <f t="array" aca="1" ref="I24" ca="1">INDIRECT("'C Impact of Optimization'!M" &amp; 4 + (ROW(A20)-1)*4)</f>
        <v>17.92464</v>
      </c>
      <c r="J24" s="75" cm="1">
        <f t="array" aca="1" ref="J24" ca="1">INDIRECT("'C Impact of Optimization'!Q" &amp; 3 + (ROW(A20)-1)*4)*100</f>
        <v>-19.511048425011758</v>
      </c>
      <c r="K24" s="75">
        <v>2.0532682990164651E-10</v>
      </c>
      <c r="L24" s="75" t="s">
        <v>186</v>
      </c>
      <c r="M24" s="79" t="s">
        <v>65</v>
      </c>
      <c r="N24" s="75" cm="1">
        <f t="array" aca="1" ref="N24" ca="1">INDIRECT("'C Impact of Optimization'!D" &amp; 5 + (ROW(A20)-1)*4)</f>
        <v>1.0469999999999999</v>
      </c>
      <c r="O24" s="75" cm="1">
        <f t="array" aca="1" ref="O24" ca="1">INDIRECT("'C Impact of Optimization'!D" &amp; 6 + (ROW(A20)-1)*4)</f>
        <v>1.0469999999999999</v>
      </c>
      <c r="P24" s="75" cm="1">
        <f t="array" aca="1" ref="P24" ca="1">INDIRECT("'C Impact of Optimization'!N" &amp; 5 + (ROW(A20)-1)*4)*100</f>
        <v>0</v>
      </c>
      <c r="Q24" s="75">
        <v>0.93519197023933909</v>
      </c>
      <c r="R24" s="75" t="s">
        <v>216</v>
      </c>
      <c r="S24" s="75" cm="1">
        <f t="array" aca="1" ref="S24" ca="1">INDIRECT("'C Impact of Optimization'!M" &amp; 5 + (ROW(A20)-1)*4)</f>
        <v>21.955590000000001</v>
      </c>
      <c r="T24" s="75" cm="1">
        <f t="array" aca="1" ref="T24" ca="1">INDIRECT("'C Impact of Optimization'!M" &amp; 6 + (ROW(A20)-1)*4)</f>
        <v>18.62613</v>
      </c>
      <c r="U24" s="75" cm="1">
        <f t="array" aca="1" ref="U24" ca="1">INDIRECT("'C Impact of Optimization'!Q" &amp; 5 + (ROW(A20)-1)*4)*100</f>
        <v>-15.164520743919891</v>
      </c>
      <c r="V24" s="75">
        <v>2.7141182122491357E-8</v>
      </c>
      <c r="W24" s="75" t="s">
        <v>186</v>
      </c>
      <c r="X24" s="75">
        <f t="shared" ca="1" si="0"/>
        <v>-17.337784584465822</v>
      </c>
    </row>
    <row r="25" spans="2:24" x14ac:dyDescent="0.25">
      <c r="B25" s="77" t="s">
        <v>71</v>
      </c>
      <c r="C25" s="75" cm="1">
        <f t="array" aca="1" ref="C25" ca="1">INDIRECT("'C Impact of Optimization'!D" &amp; 3 + (ROW(A21)-1)*4)</f>
        <v>4.1879999999999997</v>
      </c>
      <c r="D25" s="75" cm="1">
        <f t="array" aca="1" ref="D25" ca="1">INDIRECT("'C Impact of Optimization'!D" &amp; 4 + (ROW(A21)-1)*4)</f>
        <v>0.52300000000000002</v>
      </c>
      <c r="E25" s="75" cm="1">
        <f t="array" aca="1" ref="E25" ca="1">INDIRECT("'C Impact of Optimization'!N" &amp; 3 + (ROW(A21)-1)*4)*100</f>
        <v>-87.51193887297039</v>
      </c>
      <c r="F25" s="75">
        <v>2.8719490663203402E-11</v>
      </c>
      <c r="G25" s="78" t="s">
        <v>186</v>
      </c>
      <c r="H25" s="75" cm="1">
        <f t="array" aca="1" ref="H25" ca="1">INDIRECT("'C Impact of Optimization'!M" &amp; 3 + (ROW(A21)-1)*4)</f>
        <v>181.29852</v>
      </c>
      <c r="I25" s="75" cm="1">
        <f t="array" aca="1" ref="I25" ca="1">INDIRECT("'C Impact of Optimization'!M" &amp; 4 + (ROW(A21)-1)*4)</f>
        <v>6.6787099999999997</v>
      </c>
      <c r="J25" s="75" cm="1">
        <f t="array" aca="1" ref="J25" ca="1">INDIRECT("'C Impact of Optimization'!Q" &amp; 3 + (ROW(A21)-1)*4)*100</f>
        <v>-96.316180628501542</v>
      </c>
      <c r="K25" s="75">
        <v>2.8719490663203402E-11</v>
      </c>
      <c r="L25" s="75" t="s">
        <v>186</v>
      </c>
      <c r="M25" s="79" t="s">
        <v>71</v>
      </c>
      <c r="N25" s="75" cm="1">
        <f t="array" aca="1" ref="N25" ca="1">INDIRECT("'C Impact of Optimization'!D" &amp; 5 + (ROW(A21)-1)*4)</f>
        <v>4.2060000000000004</v>
      </c>
      <c r="O25" s="75" cm="1">
        <f t="array" aca="1" ref="O25" ca="1">INDIRECT("'C Impact of Optimization'!D" &amp; 6 + (ROW(A21)-1)*4)</f>
        <v>0.52300000000000002</v>
      </c>
      <c r="P25" s="75" cm="1">
        <f t="array" aca="1" ref="P25" ca="1">INDIRECT("'C Impact of Optimization'!N" &amp; 5 + (ROW(A21)-1)*4)*100</f>
        <v>-87.565382786495476</v>
      </c>
      <c r="Q25" s="75">
        <v>2.8719490663203402E-11</v>
      </c>
      <c r="R25" s="75" t="s">
        <v>186</v>
      </c>
      <c r="S25" s="75" cm="1">
        <f t="array" aca="1" ref="S25" ca="1">INDIRECT("'C Impact of Optimization'!M" &amp; 5 + (ROW(A21)-1)*4)</f>
        <v>175.22196</v>
      </c>
      <c r="T25" s="75" cm="1">
        <f t="array" aca="1" ref="T25" ca="1">INDIRECT("'C Impact of Optimization'!M" &amp; 6 + (ROW(A21)-1)*4)</f>
        <v>7.38476</v>
      </c>
      <c r="U25" s="75" cm="1">
        <f t="array" aca="1" ref="U25" ca="1">INDIRECT("'C Impact of Optimization'!Q" &amp; 5 + (ROW(A21)-1)*4)*100</f>
        <v>-95.785482595902934</v>
      </c>
      <c r="V25" s="75">
        <v>2.8719490663203402E-11</v>
      </c>
      <c r="W25" s="75" t="s">
        <v>186</v>
      </c>
      <c r="X25" s="75">
        <f t="shared" ca="1" si="0"/>
        <v>-96.050831612202245</v>
      </c>
    </row>
    <row r="26" spans="2:24" x14ac:dyDescent="0.25">
      <c r="B26" s="77" t="s">
        <v>79</v>
      </c>
      <c r="C26" s="75" cm="1">
        <f t="array" aca="1" ref="C26" ca="1">INDIRECT("'C Impact of Optimization'!D" &amp; 3 + (ROW(A22)-1)*4)</f>
        <v>11.519</v>
      </c>
      <c r="D26" s="75" cm="1">
        <f t="array" aca="1" ref="D26" ca="1">INDIRECT("'C Impact of Optimization'!D" &amp; 4 + (ROW(A22)-1)*4)</f>
        <v>5.2359999999999998</v>
      </c>
      <c r="E26" s="75" cm="1">
        <f t="array" aca="1" ref="E26" ca="1">INDIRECT("'C Impact of Optimization'!N" &amp; 3 + (ROW(A22)-1)*4)*100</f>
        <v>-54.544665335532606</v>
      </c>
      <c r="F26" s="75">
        <v>2.8719490663203402E-11</v>
      </c>
      <c r="G26" s="78" t="s">
        <v>186</v>
      </c>
      <c r="H26" s="75" cm="1">
        <f t="array" aca="1" ref="H26" ca="1">INDIRECT("'C Impact of Optimization'!M" &amp; 3 + (ROW(A22)-1)*4)</f>
        <v>585.39558</v>
      </c>
      <c r="I26" s="75" cm="1">
        <f t="array" aca="1" ref="I26" ca="1">INDIRECT("'C Impact of Optimization'!M" &amp; 4 + (ROW(A22)-1)*4)</f>
        <v>243.94524000000001</v>
      </c>
      <c r="J26" s="75" cm="1">
        <f t="array" aca="1" ref="J26" ca="1">INDIRECT("'C Impact of Optimization'!Q" &amp; 3 + (ROW(A22)-1)*4)*100</f>
        <v>-58.328137701347181</v>
      </c>
      <c r="K26" s="75">
        <v>2.8719490663203402E-11</v>
      </c>
      <c r="L26" s="75" t="s">
        <v>186</v>
      </c>
      <c r="M26" s="79" t="s">
        <v>79</v>
      </c>
      <c r="N26" s="75" cm="1">
        <f t="array" aca="1" ref="N26" ca="1">INDIRECT("'C Impact of Optimization'!D" &amp; 5 + (ROW(A22)-1)*4)</f>
        <v>10.515000000000001</v>
      </c>
      <c r="O26" s="75" cm="1">
        <f t="array" aca="1" ref="O26" ca="1">INDIRECT("'C Impact of Optimization'!D" &amp; 6 + (ROW(A22)-1)*4)</f>
        <v>1.577</v>
      </c>
      <c r="P26" s="75" cm="1">
        <f t="array" aca="1" ref="P26" ca="1">INDIRECT("'C Impact of Optimization'!N" &amp; 5 + (ROW(A22)-1)*4)*100</f>
        <v>-85.00237755587257</v>
      </c>
      <c r="Q26" s="75">
        <v>2.8719490663203402E-11</v>
      </c>
      <c r="R26" s="75" t="s">
        <v>186</v>
      </c>
      <c r="S26" s="75" cm="1">
        <f t="array" aca="1" ref="S26" ca="1">INDIRECT("'C Impact of Optimization'!M" &amp; 5 + (ROW(A22)-1)*4)</f>
        <v>495.36165</v>
      </c>
      <c r="T26" s="75" cm="1">
        <f t="array" aca="1" ref="T26" ca="1">INDIRECT("'C Impact of Optimization'!M" &amp; 6 + (ROW(A22)-1)*4)</f>
        <v>51.741370000000003</v>
      </c>
      <c r="U26" s="75" cm="1">
        <f t="array" aca="1" ref="U26" ca="1">INDIRECT("'C Impact of Optimization'!Q" &amp; 5 + (ROW(A22)-1)*4)*100</f>
        <v>-89.554829284826539</v>
      </c>
      <c r="V26" s="75">
        <v>2.8719490663203402E-11</v>
      </c>
      <c r="W26" s="75" t="s">
        <v>186</v>
      </c>
      <c r="X26" s="75">
        <f t="shared" ca="1" si="0"/>
        <v>-73.941483493086864</v>
      </c>
    </row>
    <row r="27" spans="2:24" x14ac:dyDescent="0.25">
      <c r="B27" s="77" t="s">
        <v>87</v>
      </c>
      <c r="C27" s="75" cm="1">
        <f t="array" aca="1" ref="C27" ca="1">INDIRECT("'C Impact of Optimization'!D" &amp; 3 + (ROW(A23)-1)*4)</f>
        <v>0.52300000000000002</v>
      </c>
      <c r="D27" s="75" cm="1">
        <f t="array" aca="1" ref="D27" ca="1">INDIRECT("'C Impact of Optimization'!D" &amp; 4 + (ROW(A23)-1)*4)</f>
        <v>0.52300000000000002</v>
      </c>
      <c r="E27" s="75" cm="1">
        <f t="array" aca="1" ref="E27" ca="1">INDIRECT("'C Impact of Optimization'!N" &amp; 3 + (ROW(A23)-1)*4)*100</f>
        <v>0</v>
      </c>
      <c r="F27" s="75">
        <v>0.45084580127351437</v>
      </c>
      <c r="G27" s="78" t="s">
        <v>216</v>
      </c>
      <c r="H27" s="75" cm="1">
        <f t="array" aca="1" ref="H27" ca="1">INDIRECT("'C Impact of Optimization'!M" &amp; 3 + (ROW(A23)-1)*4)</f>
        <v>6.2550800000000004</v>
      </c>
      <c r="I27" s="75" cm="1">
        <f t="array" aca="1" ref="I27" ca="1">INDIRECT("'C Impact of Optimization'!M" &amp; 4 + (ROW(A23)-1)*4)</f>
        <v>5.3450600000000001</v>
      </c>
      <c r="J27" s="75" cm="1">
        <f t="array" aca="1" ref="J27" ca="1">INDIRECT("'C Impact of Optimization'!Q" &amp; 3 + (ROW(A23)-1)*4)*100</f>
        <v>-14.548494983277596</v>
      </c>
      <c r="K27" s="75">
        <v>5.6977341940655079E-3</v>
      </c>
      <c r="L27" s="75" t="s">
        <v>215</v>
      </c>
      <c r="M27" s="79" t="s">
        <v>87</v>
      </c>
      <c r="N27" s="75" cm="1">
        <f t="array" aca="1" ref="N27" ca="1">INDIRECT("'C Impact of Optimization'!D" &amp; 5 + (ROW(A23)-1)*4)</f>
        <v>0.52400000000000002</v>
      </c>
      <c r="O27" s="75" cm="1">
        <f t="array" aca="1" ref="O27" ca="1">INDIRECT("'C Impact of Optimization'!D" &amp; 6 + (ROW(A23)-1)*4)</f>
        <v>0.52400000000000002</v>
      </c>
      <c r="P27" s="75" cm="1">
        <f t="array" aca="1" ref="P27" ca="1">INDIRECT("'C Impact of Optimization'!N" &amp; 5 + (ROW(A23)-1)*4)*100</f>
        <v>0</v>
      </c>
      <c r="Q27" s="75">
        <v>0.70617148828122955</v>
      </c>
      <c r="R27" s="75" t="s">
        <v>216</v>
      </c>
      <c r="S27" s="75" cm="1">
        <f t="array" aca="1" ref="S27" ca="1">INDIRECT("'C Impact of Optimization'!M" &amp; 5 + (ROW(A23)-1)*4)</f>
        <v>5.30288</v>
      </c>
      <c r="T27" s="75" cm="1">
        <f t="array" aca="1" ref="T27" ca="1">INDIRECT("'C Impact of Optimization'!M" &amp; 6 + (ROW(A23)-1)*4)</f>
        <v>6.1622399999999997</v>
      </c>
      <c r="U27" s="75" cm="1">
        <f t="array" aca="1" ref="U27" ca="1">INDIRECT("'C Impact of Optimization'!Q" &amp; 5 + (ROW(A23)-1)*4)*100</f>
        <v>16.205533596837938</v>
      </c>
      <c r="V27" s="75">
        <v>2.0278491165597802E-2</v>
      </c>
      <c r="W27" s="75" t="s">
        <v>185</v>
      </c>
      <c r="X27" s="75">
        <f t="shared" ca="1" si="0"/>
        <v>0.82851930678017105</v>
      </c>
    </row>
    <row r="28" spans="2:24" x14ac:dyDescent="0.25">
      <c r="B28" s="77" t="s">
        <v>91</v>
      </c>
      <c r="C28" s="75" cm="1">
        <f t="array" aca="1" ref="C28" ca="1">INDIRECT("'C Impact of Optimization'!D" &amp; 3 + (ROW(A24)-1)*4)</f>
        <v>8.3770000000000007</v>
      </c>
      <c r="D28" s="75" cm="1">
        <f t="array" aca="1" ref="D28" ca="1">INDIRECT("'C Impact of Optimization'!D" &amp; 4 + (ROW(A24)-1)*4)</f>
        <v>0.52300000000000002</v>
      </c>
      <c r="E28" s="75" cm="1">
        <f t="array" aca="1" ref="E28" ca="1">INDIRECT("'C Impact of Optimization'!N" &amp; 3 + (ROW(A24)-1)*4)*100</f>
        <v>-93.756714814372685</v>
      </c>
      <c r="F28" s="75">
        <v>2.8719490663203402E-11</v>
      </c>
      <c r="G28" s="78" t="s">
        <v>186</v>
      </c>
      <c r="H28" s="75" cm="1">
        <f t="array" aca="1" ref="H28" ca="1">INDIRECT("'C Impact of Optimization'!M" &amp; 3 + (ROW(A24)-1)*4)</f>
        <v>391.37344000000002</v>
      </c>
      <c r="I28" s="75" cm="1">
        <f t="array" aca="1" ref="I28" ca="1">INDIRECT("'C Impact of Optimization'!M" &amp; 4 + (ROW(A24)-1)*4)</f>
        <v>6.7153200000000002</v>
      </c>
      <c r="J28" s="75" cm="1">
        <f t="array" aca="1" ref="J28" ca="1">INDIRECT("'C Impact of Optimization'!Q" &amp; 3 + (ROW(A24)-1)*4)*100</f>
        <v>-98.284165629634956</v>
      </c>
      <c r="K28" s="75">
        <v>2.8719490663203402E-11</v>
      </c>
      <c r="L28" s="75" t="s">
        <v>186</v>
      </c>
      <c r="M28" s="79" t="s">
        <v>91</v>
      </c>
      <c r="N28" s="75" cm="1">
        <f t="array" aca="1" ref="N28" ca="1">INDIRECT("'C Impact of Optimization'!D" &amp; 5 + (ROW(A24)-1)*4)</f>
        <v>4.1879999999999997</v>
      </c>
      <c r="O28" s="75" cm="1">
        <f t="array" aca="1" ref="O28" ca="1">INDIRECT("'C Impact of Optimization'!D" &amp; 6 + (ROW(A24)-1)*4)</f>
        <v>1.506</v>
      </c>
      <c r="P28" s="75" cm="1">
        <f t="array" aca="1" ref="P28" ca="1">INDIRECT("'C Impact of Optimization'!N" &amp; 5 + (ROW(A24)-1)*4)*100</f>
        <v>-64.040114613180506</v>
      </c>
      <c r="Q28" s="75">
        <v>2.8719490663203402E-11</v>
      </c>
      <c r="R28" s="75" t="s">
        <v>186</v>
      </c>
      <c r="S28" s="75" cm="1">
        <f t="array" aca="1" ref="S28" ca="1">INDIRECT("'C Impact of Optimization'!M" &amp; 5 + (ROW(A24)-1)*4)</f>
        <v>165.25847999999999</v>
      </c>
      <c r="T28" s="75" cm="1">
        <f t="array" aca="1" ref="T28" ca="1">INDIRECT("'C Impact of Optimization'!M" &amp; 6 + (ROW(A24)-1)*4)</f>
        <v>36.912059999999997</v>
      </c>
      <c r="U28" s="75" cm="1">
        <f t="array" aca="1" ref="U28" ca="1">INDIRECT("'C Impact of Optimization'!Q" &amp; 5 + (ROW(A24)-1)*4)*100</f>
        <v>-77.664044834492003</v>
      </c>
      <c r="V28" s="75">
        <v>2.8719490663203402E-11</v>
      </c>
      <c r="W28" s="75" t="s">
        <v>186</v>
      </c>
      <c r="X28" s="75">
        <f t="shared" ca="1" si="0"/>
        <v>-87.974105232063479</v>
      </c>
    </row>
    <row r="29" spans="2:24" x14ac:dyDescent="0.25">
      <c r="B29" s="77" t="s">
        <v>93</v>
      </c>
      <c r="C29" s="75" cm="1">
        <f t="array" aca="1" ref="C29" ca="1">INDIRECT("'C Impact of Optimization'!D" &amp; 3 + (ROW(A25)-1)*4)</f>
        <v>433.04700000000003</v>
      </c>
      <c r="D29" s="75" cm="1">
        <f t="array" aca="1" ref="D29" ca="1">INDIRECT("'C Impact of Optimization'!D" &amp; 4 + (ROW(A25)-1)*4)</f>
        <v>0.52600000000000002</v>
      </c>
      <c r="E29" s="75" cm="1">
        <f t="array" aca="1" ref="E29" ca="1">INDIRECT("'C Impact of Optimization'!N" &amp; 3 + (ROW(A25)-1)*4)*100</f>
        <v>-99.878535124362941</v>
      </c>
      <c r="F29" s="75">
        <v>2.8719490663203402E-11</v>
      </c>
      <c r="G29" s="78" t="s">
        <v>186</v>
      </c>
      <c r="H29" s="75" cm="1">
        <f t="array" aca="1" ref="H29" ca="1">INDIRECT("'C Impact of Optimization'!M" &amp; 3 + (ROW(A25)-1)*4)</f>
        <v>21712.976579999999</v>
      </c>
      <c r="I29" s="75" cm="1">
        <f t="array" aca="1" ref="I29" ca="1">INDIRECT("'C Impact of Optimization'!M" &amp; 4 + (ROW(A25)-1)*4)</f>
        <v>5.2074000000000007</v>
      </c>
      <c r="J29" s="75" cm="1">
        <f t="array" aca="1" ref="J29" ca="1">INDIRECT("'C Impact of Optimization'!Q" &amp; 3 + (ROW(A25)-1)*4)*100</f>
        <v>-99.976017106725038</v>
      </c>
      <c r="K29" s="75">
        <v>2.8719490663203402E-11</v>
      </c>
      <c r="L29" s="75" t="s">
        <v>186</v>
      </c>
      <c r="M29" s="79" t="s">
        <v>93</v>
      </c>
      <c r="N29" s="75" cm="1">
        <f t="array" aca="1" ref="N29" ca="1">INDIRECT("'C Impact of Optimization'!D" &amp; 5 + (ROW(A25)-1)*4)</f>
        <v>209.54300000000001</v>
      </c>
      <c r="O29" s="75" cm="1">
        <f t="array" aca="1" ref="O29" ca="1">INDIRECT("'C Impact of Optimization'!D" &amp; 6 + (ROW(A25)-1)*4)</f>
        <v>0.52600000000000002</v>
      </c>
      <c r="P29" s="75" cm="1">
        <f t="array" aca="1" ref="P29" ca="1">INDIRECT("'C Impact of Optimization'!N" &amp; 5 + (ROW(A25)-1)*4)*100</f>
        <v>-99.748977536830139</v>
      </c>
      <c r="Q29" s="75">
        <v>2.8719490663203402E-11</v>
      </c>
      <c r="R29" s="75" t="s">
        <v>186</v>
      </c>
      <c r="S29" s="75" cm="1">
        <f t="array" aca="1" ref="S29" ca="1">INDIRECT("'C Impact of Optimization'!M" &amp; 5 + (ROW(A25)-1)*4)</f>
        <v>10741.17418</v>
      </c>
      <c r="T29" s="75" cm="1">
        <f t="array" aca="1" ref="T29" ca="1">INDIRECT("'C Impact of Optimization'!M" &amp; 6 + (ROW(A25)-1)*4)</f>
        <v>5.5703399999999998</v>
      </c>
      <c r="U29" s="75" cm="1">
        <f t="array" aca="1" ref="U29" ca="1">INDIRECT("'C Impact of Optimization'!Q" &amp; 5 + (ROW(A25)-1)*4)*100</f>
        <v>-99.948140306574942</v>
      </c>
      <c r="V29" s="75">
        <v>2.8719490663203402E-11</v>
      </c>
      <c r="W29" s="75" t="s">
        <v>186</v>
      </c>
      <c r="X29" s="75">
        <f t="shared" ca="1" si="0"/>
        <v>-99.96207870664999</v>
      </c>
    </row>
    <row r="30" spans="2:24" x14ac:dyDescent="0.25">
      <c r="B30" s="27" t="s">
        <v>95</v>
      </c>
      <c r="C30" s="75" cm="1">
        <f t="array" aca="1" ref="C30" ca="1">INDIRECT("'C Impact of Optimization'!D" &amp; 3 + (ROW(A26)-1)*4)</f>
        <v>546.57600000000002</v>
      </c>
      <c r="D30" s="75" cm="1">
        <f t="array" aca="1" ref="D30" ca="1">INDIRECT("'C Impact of Optimization'!D" &amp; 4 + (ROW(A26)-1)*4)</f>
        <v>212.464</v>
      </c>
      <c r="E30" s="75" cm="1">
        <f t="array" aca="1" ref="E30" ca="1">INDIRECT("'C Impact of Optimization'!N" &amp; 3 + (ROW(A26)-1)*4)*100</f>
        <v>-61.128187113960365</v>
      </c>
      <c r="F30" s="75">
        <v>2.8719490663203402E-11</v>
      </c>
      <c r="G30" s="78" t="s">
        <v>186</v>
      </c>
      <c r="H30" s="75" cm="1">
        <f t="array" aca="1" ref="H30" ca="1">INDIRECT("'C Impact of Optimization'!M" &amp; 3 + (ROW(A26)-1)*4)</f>
        <v>29761.063200000001</v>
      </c>
      <c r="I30" s="75" cm="1">
        <f t="array" aca="1" ref="I30" ca="1">INDIRECT("'C Impact of Optimization'!M" &amp; 4 + (ROW(A26)-1)*4)</f>
        <v>11781.1288</v>
      </c>
      <c r="J30" s="75" cm="1">
        <f t="array" aca="1" ref="J30" ca="1">INDIRECT("'C Impact of Optimization'!Q" &amp; 3 + (ROW(A26)-1)*4)*100</f>
        <v>-60.414287887403148</v>
      </c>
      <c r="K30" s="75">
        <v>2.8719490663203402E-11</v>
      </c>
      <c r="L30" s="75" t="s">
        <v>186</v>
      </c>
      <c r="M30" s="80" t="s">
        <v>95</v>
      </c>
      <c r="N30" s="75" cm="1">
        <f t="array" aca="1" ref="N30" ca="1">INDIRECT("'C Impact of Optimization'!D" &amp; 5 + (ROW(A26)-1)*4)</f>
        <v>523.52599999999995</v>
      </c>
      <c r="O30" s="75" cm="1">
        <f t="array" aca="1" ref="O30" ca="1">INDIRECT("'C Impact of Optimization'!D" &amp; 6 + (ROW(A26)-1)*4)</f>
        <v>201.66900000000001</v>
      </c>
      <c r="P30" s="75" cm="1">
        <f t="array" aca="1" ref="P30" ca="1">INDIRECT("'C Impact of Optimization'!N" &amp; 5 + (ROW(A26)-1)*4)*100</f>
        <v>-61.478704018520567</v>
      </c>
      <c r="Q30" s="75">
        <v>2.8719490663203402E-11</v>
      </c>
      <c r="R30" s="75" t="s">
        <v>186</v>
      </c>
      <c r="S30" s="75" cm="1">
        <f t="array" aca="1" ref="S30" ca="1">INDIRECT("'C Impact of Optimization'!M" &amp; 5 + (ROW(A26)-1)*4)</f>
        <v>28505.990699999998</v>
      </c>
      <c r="T30" s="75" cm="1">
        <f t="array" aca="1" ref="T30" ca="1">INDIRECT("'C Impact of Optimization'!M" &amp; 6 + (ROW(A26)-1)*4)</f>
        <v>11031.2943</v>
      </c>
      <c r="U30" s="75" cm="1">
        <f t="array" aca="1" ref="U30" ca="1">INDIRECT("'C Impact of Optimization'!Q" &amp; 5 + (ROW(A26)-1)*4)*100</f>
        <v>-61.301838564060148</v>
      </c>
      <c r="V30" s="75">
        <v>2.8719490663203402E-11</v>
      </c>
      <c r="W30" s="75" t="s">
        <v>186</v>
      </c>
      <c r="X30" s="75">
        <f t="shared" ca="1" si="0"/>
        <v>-60.858063225731648</v>
      </c>
    </row>
    <row r="31" spans="2:24" x14ac:dyDescent="0.25">
      <c r="X31" s="1"/>
    </row>
    <row r="32" spans="2:24" ht="18.75" x14ac:dyDescent="0.3">
      <c r="B32" s="119" t="s">
        <v>155</v>
      </c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1"/>
    </row>
    <row r="33" spans="2:15" ht="15.75" x14ac:dyDescent="0.25">
      <c r="B33" s="114" t="s">
        <v>211</v>
      </c>
      <c r="C33" s="115"/>
      <c r="D33" s="115"/>
      <c r="E33" s="116"/>
      <c r="F33" s="81"/>
      <c r="G33" s="114" t="s">
        <v>211</v>
      </c>
      <c r="H33" s="115"/>
      <c r="I33" s="115"/>
      <c r="J33" s="116"/>
      <c r="K33" s="81"/>
      <c r="L33" s="114" t="s">
        <v>211</v>
      </c>
      <c r="M33" s="115"/>
      <c r="N33" s="115"/>
      <c r="O33" s="116"/>
    </row>
    <row r="34" spans="2:15" x14ac:dyDescent="0.25">
      <c r="B34" s="108" t="s">
        <v>111</v>
      </c>
      <c r="C34" s="109"/>
      <c r="D34" s="109"/>
      <c r="E34" s="110"/>
      <c r="F34" s="82"/>
      <c r="G34" s="108" t="s">
        <v>114</v>
      </c>
      <c r="H34" s="109"/>
      <c r="I34" s="109"/>
      <c r="J34" s="110"/>
      <c r="K34" s="82"/>
      <c r="L34" s="108" t="s">
        <v>221</v>
      </c>
      <c r="M34" s="109"/>
      <c r="N34" s="109"/>
      <c r="O34" s="110"/>
    </row>
    <row r="35" spans="2:15" x14ac:dyDescent="0.25">
      <c r="B35" s="50" t="s">
        <v>155</v>
      </c>
      <c r="C35" s="51" t="s">
        <v>179</v>
      </c>
      <c r="D35" s="51" t="s">
        <v>180</v>
      </c>
      <c r="E35" s="52" t="s">
        <v>181</v>
      </c>
      <c r="F35" s="82"/>
      <c r="G35" s="50" t="s">
        <v>155</v>
      </c>
      <c r="H35" s="51" t="s">
        <v>179</v>
      </c>
      <c r="I35" s="51" t="s">
        <v>180</v>
      </c>
      <c r="J35" s="52" t="s">
        <v>181</v>
      </c>
      <c r="K35" s="82"/>
      <c r="L35" s="50" t="s">
        <v>155</v>
      </c>
      <c r="M35" s="51" t="s">
        <v>179</v>
      </c>
      <c r="N35" s="51" t="s">
        <v>180</v>
      </c>
      <c r="O35" s="52" t="s">
        <v>181</v>
      </c>
    </row>
    <row r="36" spans="2:15" x14ac:dyDescent="0.25">
      <c r="B36" s="5" t="s">
        <v>182</v>
      </c>
      <c r="C36" s="39" cm="1">
        <f t="array" aca="1" ref="C36" ca="1">AVERAGE(_xlfn._xlws.FILTER($J$5:$J$30, ISNUMBER(MATCH($B$5:$B$30, _xlfn.TEXTSPLIT(_xlfn.TEXTJOIN(", ", TRUE, AA6:AA8), ", "), 0))))</f>
        <v>-62.618278899366913</v>
      </c>
      <c r="D36" s="39" cm="1">
        <f t="array" aca="1" ref="D36" ca="1">MIN(_xlfn._xlws.FILTER($J$5:$J$30, ISNUMBER(MATCH($B$5:$B$30, _xlfn.TEXTSPLIT(_xlfn.TEXTJOIN(", ", TRUE, AA6:AA8), ", "), 0))))</f>
        <v>-99.976017106725038</v>
      </c>
      <c r="E36" s="39" cm="1">
        <f t="array" aca="1" ref="E36" ca="1">MAX(_xlfn._xlws.FILTER($J$5:$J$30, ISNUMBER(MATCH($B$5:$B$30, _xlfn.TEXTSPLIT(_xlfn.TEXTJOIN(", ", TRUE, AA6:AA8), ", "), 0))))</f>
        <v>-11.551868959999808</v>
      </c>
      <c r="F36" s="82"/>
      <c r="G36" s="5" t="s">
        <v>182</v>
      </c>
      <c r="H36" s="39" cm="1">
        <f t="array" aca="1" ref="H36" ca="1">AVERAGE(_xlfn._xlws.FILTER($U$5:$U$30, ISNUMBER(MATCH($M$5:$M$30, _xlfn.TEXTSPLIT(_xlfn.TEXTJOIN(", ", TRUE, AD6:AD8), ", "), 0))))</f>
        <v>-64.355468543924744</v>
      </c>
      <c r="I36" s="39" cm="1">
        <f t="array" aca="1" ref="I36" ca="1">MIN(_xlfn._xlws.FILTER($U$5:$U$30, ISNUMBER(MATCH($M$5:$M$30, _xlfn.TEXTSPLIT(_xlfn.TEXTJOIN(", ", TRUE, AD6:AD8), ", "), 0))))</f>
        <v>-99.98024729885077</v>
      </c>
      <c r="J36" s="39" cm="1">
        <f t="array" aca="1" ref="J36" ca="1">MAX(_xlfn._xlws.FILTER($U$5:$U$30, ISNUMBER(MATCH($M$5:$M$30, _xlfn.TEXTSPLIT(_xlfn.TEXTJOIN(", ", TRUE, AD6:AD8), ", "), 0))))</f>
        <v>-6.6666666666666821</v>
      </c>
      <c r="K36" s="82"/>
      <c r="L36" s="5" t="s">
        <v>182</v>
      </c>
      <c r="M36" s="39">
        <f ca="1">AVERAGE(C36,H36)</f>
        <v>-63.486873721645829</v>
      </c>
      <c r="N36" s="39">
        <f ca="1">MIN(D36,I36)</f>
        <v>-99.98024729885077</v>
      </c>
      <c r="O36" s="39">
        <f ca="1">MAX(E36,J36)</f>
        <v>-6.6666666666666821</v>
      </c>
    </row>
    <row r="37" spans="2:15" x14ac:dyDescent="0.25">
      <c r="B37" s="5" t="s">
        <v>183</v>
      </c>
      <c r="C37" s="39" cm="1">
        <f t="array" aca="1" ref="C37" ca="1">AVERAGE(_xlfn._xlws.FILTER($J$5:$J$30, ISNUMBER(MATCH($B$5:$B$30, _xlfn.TEXTSPLIT(_xlfn.TEXTJOIN(", ", TRUE, AA9), ", "), 0))))</f>
        <v>6.6045596462929179E-3</v>
      </c>
      <c r="D37" s="39" cm="1">
        <f t="array" aca="1" ref="D37" ca="1">MIN(_xlfn._xlws.FILTER($J$5:$J$30, ISNUMBER(MATCH($B$5:$B$30, _xlfn.TEXTSPLIT(_xlfn.TEXTJOIN(", ", TRUE, AA9), ", "), 0))))</f>
        <v>-2.8428875485946437</v>
      </c>
      <c r="E37" s="39" cm="1">
        <f t="array" aca="1" ref="E37" ca="1">MAX(_xlfn._xlws.FILTER($J$5:$J$30, ISNUMBER(MATCH($B$5:$B$30, _xlfn.TEXTSPLIT(_xlfn.TEXTJOIN(", ", TRUE, AA9), ", "), 0))))</f>
        <v>2.8560966678872295</v>
      </c>
      <c r="F37" s="82"/>
      <c r="G37" s="5" t="s">
        <v>183</v>
      </c>
      <c r="H37" s="39" cm="1">
        <f t="array" aca="1" ref="H37" ca="1">AVERAGE(_xlfn._xlws.FILTER($U$5:$U$30, ISNUMBER(MATCH($M$5:$M$30, _xlfn.TEXTSPLIT(_xlfn.TEXTJOIN(", ", TRUE, AD9), ", "), 0))))</f>
        <v>1.6786570743405294</v>
      </c>
      <c r="I37" s="39" cm="1">
        <f t="array" aca="1" ref="I37" ca="1">MIN(_xlfn._xlws.FILTER($U$5:$U$30, ISNUMBER(MATCH($M$5:$M$30, _xlfn.TEXTSPLIT(_xlfn.TEXTJOIN(", ", TRUE, AD9), ", "), 0))))</f>
        <v>1.6786570743405294</v>
      </c>
      <c r="J37" s="39" cm="1">
        <f t="array" aca="1" ref="J37" ca="1">MAX(_xlfn._xlws.FILTER($U$5:$U$30, ISNUMBER(MATCH($M$5:$M$30, _xlfn.TEXTSPLIT(_xlfn.TEXTJOIN(", ", TRUE, AD9), ", "), 0))))</f>
        <v>1.6786570743405294</v>
      </c>
      <c r="K37" s="82"/>
      <c r="L37" s="5" t="s">
        <v>183</v>
      </c>
      <c r="M37" s="39">
        <f ca="1">AVERAGE(C37,H37)</f>
        <v>0.84263081699341114</v>
      </c>
      <c r="N37" s="39">
        <f ca="1">MIN(D37,I37)</f>
        <v>-2.8428875485946437</v>
      </c>
      <c r="O37" s="39">
        <f ca="1">MAX(E37,J37)</f>
        <v>2.8560966678872295</v>
      </c>
    </row>
    <row r="38" spans="2:15" x14ac:dyDescent="0.25">
      <c r="B38" s="5" t="s">
        <v>184</v>
      </c>
      <c r="C38" s="39" cm="1">
        <f t="array" aca="1" ref="C38" ca="1">AVERAGE(_xlfn._xlws.FILTER($J$5:$J$30, ISNUMBER(MATCH($B$5:$B$30, _xlfn.TEXTSPLIT(_xlfn.TEXTJOIN(", ", TRUE, AA10:AA12), ", "), 0))))</f>
        <v>364.47063742876833</v>
      </c>
      <c r="D38" s="39" cm="1">
        <f t="array" aca="1" ref="D38" ca="1">MIN(_xlfn._xlws.FILTER($J$5:$J$30, ISNUMBER(MATCH($B$5:$B$30, _xlfn.TEXTSPLIT(_xlfn.TEXTJOIN(", ", TRUE, AA10:AA12), ", "), 0))))</f>
        <v>364.47063742876833</v>
      </c>
      <c r="E38" s="39" cm="1">
        <f t="array" aca="1" ref="E38" ca="1">MAX(_xlfn._xlws.FILTER($J$5:$J$30, ISNUMBER(MATCH($B$5:$B$30, _xlfn.TEXTSPLIT(_xlfn.TEXTJOIN(", ", TRUE, AA10:AA12), ", "), 0))))</f>
        <v>364.47063742876833</v>
      </c>
      <c r="F38" s="82"/>
      <c r="G38" s="5" t="s">
        <v>184</v>
      </c>
      <c r="H38" s="39" cm="1">
        <f t="array" aca="1" ref="H38" ca="1">AVERAGE(_xlfn._xlws.FILTER($U$5:$U$30, ISNUMBER(MATCH($M$5:$M$30, _xlfn.TEXTSPLIT(_xlfn.TEXTJOIN(", ", TRUE, AD10:AD12), ", "), 0))))</f>
        <v>16.205533596837938</v>
      </c>
      <c r="I38" s="39" cm="1">
        <f t="array" aca="1" ref="I38" ca="1">MIN(_xlfn._xlws.FILTER($U$5:$U$30, ISNUMBER(MATCH($M$5:$M$30, _xlfn.TEXTSPLIT(_xlfn.TEXTJOIN(", ", TRUE, AD10:AD12), ", "), 0))))</f>
        <v>16.205533596837938</v>
      </c>
      <c r="J38" s="39" cm="1">
        <f t="array" aca="1" ref="J38" ca="1">MAX(_xlfn._xlws.FILTER($U$5:$U$30, ISNUMBER(MATCH($M$5:$M$30, _xlfn.TEXTSPLIT(_xlfn.TEXTJOIN(", ", TRUE, AD10:AD12), ", "), 0))))</f>
        <v>16.205533596837938</v>
      </c>
      <c r="K38" s="82"/>
      <c r="L38" s="5" t="s">
        <v>184</v>
      </c>
      <c r="M38" s="39">
        <f ca="1">AVERAGE(C38,H38)</f>
        <v>190.33808551280313</v>
      </c>
      <c r="N38" s="39">
        <f ca="1">MIN(D38,I38)</f>
        <v>16.205533596837938</v>
      </c>
      <c r="O38" s="39">
        <f ca="1">MAX(E38,J38)</f>
        <v>364.47063742876833</v>
      </c>
    </row>
    <row r="39" spans="2:15" x14ac:dyDescent="0.25">
      <c r="B39" s="5" t="s">
        <v>121</v>
      </c>
      <c r="C39" s="39" cm="1">
        <f t="array" aca="1" ref="C39" ca="1">AVERAGE(_xlfn._xlws.FILTER($J$5:$J$30, ISNUMBER(MATCH($B$5:$B$30, _xlfn.TEXTSPLIT(_xlfn.TEXTJOIN(", ", TRUE, AA6:AA12), ", "), 0))))</f>
        <v>-41.374483389899154</v>
      </c>
      <c r="D39" s="39" cm="1">
        <f t="array" aca="1" ref="D39" ca="1">MIN(_xlfn._xlws.FILTER($J$5:$J$30, ISNUMBER(MATCH($B$5:$B$30, _xlfn.TEXTSPLIT(_xlfn.TEXTJOIN(", ", TRUE, AA6:AA12), ", "), 0))))</f>
        <v>-99.976017106725038</v>
      </c>
      <c r="E39" s="39" cm="1">
        <f t="array" aca="1" ref="E39" ca="1">MAX(_xlfn._xlws.FILTER($J$5:$J$30, ISNUMBER(MATCH($B$5:$B$30, _xlfn.TEXTSPLIT(_xlfn.TEXTJOIN(", ", TRUE, AA6:AA12), ", "), 0))))</f>
        <v>364.47063742876833</v>
      </c>
      <c r="F39" s="83"/>
      <c r="G39" s="5" t="s">
        <v>121</v>
      </c>
      <c r="H39" s="39" cm="1">
        <f t="array" aca="1" ref="H39" ca="1">AVERAGE(_xlfn._xlws.FILTER($U$5:$U$30, ISNUMBER(MATCH($M$5:$M$30, _xlfn.TEXTSPLIT(_xlfn.TEXTJOIN(", ", TRUE, AD6:AD12), ", "), 0))))</f>
        <v>-58.717194399346752</v>
      </c>
      <c r="I39" s="39" cm="1">
        <f t="array" aca="1" ref="I39" ca="1">MIN(_xlfn._xlws.FILTER($U$5:$U$30, ISNUMBER(MATCH($M$5:$M$30, _xlfn.TEXTSPLIT(_xlfn.TEXTJOIN(", ", TRUE, AD6:AD12), ", "), 0))))</f>
        <v>-99.98024729885077</v>
      </c>
      <c r="J39" s="39" cm="1">
        <f t="array" aca="1" ref="J39" ca="1">MAX(_xlfn._xlws.FILTER($U$5:$U$30, ISNUMBER(MATCH($M$5:$M$30, _xlfn.TEXTSPLIT(_xlfn.TEXTJOIN(", ", TRUE, AD6:AD12), ", "), 0))))</f>
        <v>16.205533596837938</v>
      </c>
      <c r="K39" s="83"/>
      <c r="L39" s="5" t="s">
        <v>121</v>
      </c>
      <c r="M39" s="39">
        <f ca="1">AVERAGE(C39,H39)</f>
        <v>-50.045838894622953</v>
      </c>
      <c r="N39" s="39">
        <f ca="1">MIN(D39,I39)</f>
        <v>-99.98024729885077</v>
      </c>
      <c r="O39" s="39">
        <f ca="1">MAX(E39,J39)</f>
        <v>364.47063742876833</v>
      </c>
    </row>
    <row r="41" spans="2:15" ht="21" x14ac:dyDescent="0.35">
      <c r="B41" s="111" t="s">
        <v>154</v>
      </c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3"/>
    </row>
    <row r="42" spans="2:15" ht="15.75" x14ac:dyDescent="0.25">
      <c r="B42" s="114" t="s">
        <v>211</v>
      </c>
      <c r="C42" s="115"/>
      <c r="D42" s="115"/>
      <c r="E42" s="116"/>
      <c r="F42" s="81"/>
      <c r="G42" s="114" t="s">
        <v>211</v>
      </c>
      <c r="H42" s="115"/>
      <c r="I42" s="115"/>
      <c r="J42" s="116"/>
      <c r="K42" s="81"/>
      <c r="L42" s="114" t="s">
        <v>211</v>
      </c>
      <c r="M42" s="115"/>
      <c r="N42" s="115"/>
      <c r="O42" s="116"/>
    </row>
    <row r="43" spans="2:15" x14ac:dyDescent="0.25">
      <c r="B43" s="108" t="s">
        <v>111</v>
      </c>
      <c r="C43" s="109"/>
      <c r="D43" s="109"/>
      <c r="E43" s="110"/>
      <c r="F43" s="82"/>
      <c r="G43" s="108" t="s">
        <v>114</v>
      </c>
      <c r="H43" s="109"/>
      <c r="I43" s="109"/>
      <c r="J43" s="110"/>
      <c r="K43" s="82"/>
      <c r="L43" s="108" t="s">
        <v>221</v>
      </c>
      <c r="M43" s="109"/>
      <c r="N43" s="109"/>
      <c r="O43" s="110"/>
    </row>
    <row r="44" spans="2:15" x14ac:dyDescent="0.25">
      <c r="B44" s="50" t="s">
        <v>155</v>
      </c>
      <c r="C44" s="108" t="s">
        <v>220</v>
      </c>
      <c r="D44" s="109"/>
      <c r="E44" s="15" t="s">
        <v>219</v>
      </c>
      <c r="F44" s="84"/>
      <c r="G44" s="50" t="s">
        <v>155</v>
      </c>
      <c r="H44" s="108" t="s">
        <v>220</v>
      </c>
      <c r="I44" s="109"/>
      <c r="J44" s="15" t="s">
        <v>219</v>
      </c>
      <c r="K44" s="82"/>
      <c r="L44" s="50" t="s">
        <v>155</v>
      </c>
      <c r="M44" s="108" t="s">
        <v>220</v>
      </c>
      <c r="N44" s="109"/>
      <c r="O44" s="15" t="s">
        <v>219</v>
      </c>
    </row>
    <row r="45" spans="2:15" x14ac:dyDescent="0.25">
      <c r="B45" s="5" t="s">
        <v>182</v>
      </c>
      <c r="C45" s="106" cm="1">
        <f t="array" aca="1" ref="C45" ca="1">COUNT(_xlfn._xlws.FILTER($J$5:$J$30, ISNUMBER(MATCH($B$5:$B$30, _xlfn.TEXTSPLIT(_xlfn.TEXTJOIN(", ", TRUE, AA6:AA8), ", "), 0))))</f>
        <v>23</v>
      </c>
      <c r="D45" s="107"/>
      <c r="E45" s="67">
        <f ca="1">C45/C$48</f>
        <v>0.88461538461538458</v>
      </c>
      <c r="F45" s="82"/>
      <c r="G45" s="5" t="s">
        <v>182</v>
      </c>
      <c r="H45" s="106" cm="1">
        <f t="array" aca="1" ref="H45" ca="1">COUNT(_xlfn._xlws.FILTER($U$5:$U$30, ISNUMBER(MATCH($M$5:$M$30, _xlfn.TEXTSPLIT(_xlfn.TEXTJOIN(", ", TRUE, AD6:AD8), ", "), 0))))</f>
        <v>24</v>
      </c>
      <c r="I45" s="107"/>
      <c r="J45" s="67">
        <f ca="1">H45/H$48</f>
        <v>0.92307692307692313</v>
      </c>
      <c r="K45" s="82"/>
      <c r="L45" s="5" t="s">
        <v>182</v>
      </c>
      <c r="M45" s="106">
        <f ca="1">SUM(C45,H45)</f>
        <v>47</v>
      </c>
      <c r="N45" s="107"/>
      <c r="O45" s="67">
        <f ca="1">M45/M$48</f>
        <v>0.90384615384615385</v>
      </c>
    </row>
    <row r="46" spans="2:15" x14ac:dyDescent="0.25">
      <c r="B46" s="5" t="s">
        <v>183</v>
      </c>
      <c r="C46" s="106" cm="1">
        <f t="array" aca="1" ref="C46" ca="1">COUNT(_xlfn._xlws.FILTER($J$5:$J$30, ISNUMBER(MATCH($B$5:$B$30, _xlfn.TEXTSPLIT(_xlfn.TEXTJOIN(", ", TRUE, AA9), ", "), 0))))</f>
        <v>2</v>
      </c>
      <c r="D46" s="107"/>
      <c r="E46" s="67">
        <f t="shared" ref="E46:E48" ca="1" si="1">C46/C$48</f>
        <v>7.6923076923076927E-2</v>
      </c>
      <c r="F46" s="82"/>
      <c r="G46" s="5" t="s">
        <v>183</v>
      </c>
      <c r="H46" s="106" cm="1">
        <f t="array" aca="1" ref="H46" ca="1">COUNT(_xlfn._xlws.FILTER($U$5:$U$30, ISNUMBER(MATCH($M$5:$M$30, _xlfn.TEXTSPLIT(_xlfn.TEXTJOIN(", ", TRUE, AD9), ", "), 0))))</f>
        <v>1</v>
      </c>
      <c r="I46" s="107"/>
      <c r="J46" s="67">
        <f t="shared" ref="J46:J48" ca="1" si="2">H46/H$48</f>
        <v>3.8461538461538464E-2</v>
      </c>
      <c r="K46" s="82"/>
      <c r="L46" s="5" t="s">
        <v>183</v>
      </c>
      <c r="M46" s="106">
        <f t="shared" ref="M46:M47" ca="1" si="3">SUM(C46,H46)</f>
        <v>3</v>
      </c>
      <c r="N46" s="107"/>
      <c r="O46" s="67">
        <f t="shared" ref="O46:O48" ca="1" si="4">M46/M$48</f>
        <v>5.7692307692307696E-2</v>
      </c>
    </row>
    <row r="47" spans="2:15" x14ac:dyDescent="0.25">
      <c r="B47" s="5" t="s">
        <v>184</v>
      </c>
      <c r="C47" s="106" cm="1">
        <f t="array" aca="1" ref="C47" ca="1">COUNT(_xlfn._xlws.FILTER($J$5:$J$30, ISNUMBER(MATCH($B$5:$B$30, _xlfn.TEXTSPLIT(_xlfn.TEXTJOIN(", ", TRUE, AA10:AA12), ", "), 0))))</f>
        <v>1</v>
      </c>
      <c r="D47" s="107"/>
      <c r="E47" s="67">
        <f t="shared" ca="1" si="1"/>
        <v>3.8461538461538464E-2</v>
      </c>
      <c r="F47" s="82"/>
      <c r="G47" s="5" t="s">
        <v>184</v>
      </c>
      <c r="H47" s="106" cm="1">
        <f t="array" aca="1" ref="H47" ca="1">COUNT(_xlfn._xlws.FILTER($U$5:$U$30, ISNUMBER(MATCH($M$5:$M$30, _xlfn.TEXTSPLIT(_xlfn.TEXTJOIN(", ", TRUE, AD10:AD12), ", "), 0))))</f>
        <v>1</v>
      </c>
      <c r="I47" s="107"/>
      <c r="J47" s="67">
        <f t="shared" ca="1" si="2"/>
        <v>3.8461538461538464E-2</v>
      </c>
      <c r="K47" s="82"/>
      <c r="L47" s="5" t="s">
        <v>184</v>
      </c>
      <c r="M47" s="106">
        <f t="shared" ca="1" si="3"/>
        <v>2</v>
      </c>
      <c r="N47" s="107"/>
      <c r="O47" s="67">
        <f t="shared" ca="1" si="4"/>
        <v>3.8461538461538464E-2</v>
      </c>
    </row>
    <row r="48" spans="2:15" x14ac:dyDescent="0.25">
      <c r="B48" s="5" t="s">
        <v>121</v>
      </c>
      <c r="C48" s="106">
        <f ca="1">SUM(C45:D47)</f>
        <v>26</v>
      </c>
      <c r="D48" s="107"/>
      <c r="E48" s="67">
        <f t="shared" ca="1" si="1"/>
        <v>1</v>
      </c>
      <c r="F48" s="83"/>
      <c r="G48" s="5" t="s">
        <v>121</v>
      </c>
      <c r="H48" s="106">
        <f ca="1">SUM(H45:I47)</f>
        <v>26</v>
      </c>
      <c r="I48" s="107"/>
      <c r="J48" s="67">
        <f t="shared" ca="1" si="2"/>
        <v>1</v>
      </c>
      <c r="K48" s="83"/>
      <c r="L48" s="5" t="s">
        <v>121</v>
      </c>
      <c r="M48" s="106">
        <f ca="1">SUM(M45:N47)</f>
        <v>52</v>
      </c>
      <c r="N48" s="107"/>
      <c r="O48" s="67">
        <f t="shared" ca="1" si="4"/>
        <v>1</v>
      </c>
    </row>
  </sheetData>
  <mergeCells count="39">
    <mergeCell ref="B33:E33"/>
    <mergeCell ref="G33:J33"/>
    <mergeCell ref="L33:O33"/>
    <mergeCell ref="C2:L2"/>
    <mergeCell ref="N2:W2"/>
    <mergeCell ref="C3:G3"/>
    <mergeCell ref="H3:L3"/>
    <mergeCell ref="N3:R3"/>
    <mergeCell ref="S3:U3"/>
    <mergeCell ref="Z3:AA3"/>
    <mergeCell ref="AC3:AD3"/>
    <mergeCell ref="Z4:AA4"/>
    <mergeCell ref="AC4:AD4"/>
    <mergeCell ref="B32:O32"/>
    <mergeCell ref="B34:E34"/>
    <mergeCell ref="G34:J34"/>
    <mergeCell ref="L34:O34"/>
    <mergeCell ref="B41:O41"/>
    <mergeCell ref="B42:E42"/>
    <mergeCell ref="G42:J42"/>
    <mergeCell ref="L42:O42"/>
    <mergeCell ref="B43:E43"/>
    <mergeCell ref="G43:J43"/>
    <mergeCell ref="L43:O43"/>
    <mergeCell ref="C44:D44"/>
    <mergeCell ref="H44:I44"/>
    <mergeCell ref="M44:N44"/>
    <mergeCell ref="C45:D45"/>
    <mergeCell ref="H45:I45"/>
    <mergeCell ref="M45:N45"/>
    <mergeCell ref="C46:D46"/>
    <mergeCell ref="H46:I46"/>
    <mergeCell ref="M46:N46"/>
    <mergeCell ref="C47:D47"/>
    <mergeCell ref="H47:I47"/>
    <mergeCell ref="M47:N47"/>
    <mergeCell ref="C48:D48"/>
    <mergeCell ref="H48:I48"/>
    <mergeCell ref="M48:N48"/>
  </mergeCells>
  <conditionalFormatting sqref="E5:E30">
    <cfRule type="expression" dxfId="195" priority="18">
      <formula>E5 &lt;= -75</formula>
    </cfRule>
    <cfRule type="expression" dxfId="194" priority="19">
      <formula>AND(E5 &lt; 25, E5 &gt;= 3)</formula>
    </cfRule>
    <cfRule type="expression" dxfId="193" priority="15">
      <formula>AND(E5 &gt; -3, E5 &lt; 3)</formula>
    </cfRule>
    <cfRule type="expression" dxfId="192" priority="16">
      <formula>AND(E5 &gt; -25, E5 &lt;= -3)</formula>
    </cfRule>
    <cfRule type="expression" dxfId="191" priority="17">
      <formula>AND(E5 &gt; -75, E5 &lt;= -25)</formula>
    </cfRule>
    <cfRule type="expression" dxfId="190" priority="21">
      <formula>E5 &gt;= 75</formula>
    </cfRule>
    <cfRule type="expression" dxfId="189" priority="20">
      <formula>AND(E5 &lt; 75, E5 &gt;= 25)</formula>
    </cfRule>
  </conditionalFormatting>
  <conditionalFormatting sqref="J5:J30">
    <cfRule type="expression" dxfId="188" priority="32">
      <formula>J5 &lt;= -75</formula>
    </cfRule>
    <cfRule type="expression" dxfId="187" priority="33">
      <formula>AND(J5 &lt; 25, J5 &gt;= 3)</formula>
    </cfRule>
    <cfRule type="expression" dxfId="186" priority="34">
      <formula>AND(J5 &lt; 75, J5 &gt;= 25)</formula>
    </cfRule>
    <cfRule type="expression" dxfId="185" priority="35">
      <formula>J5 &gt;= 75</formula>
    </cfRule>
    <cfRule type="expression" dxfId="184" priority="29">
      <formula>AND(J5 &gt; -3, J5 &lt; 3)</formula>
    </cfRule>
    <cfRule type="expression" dxfId="183" priority="30">
      <formula>AND(J5 &gt; -25, J5 &lt;= -3)</formula>
    </cfRule>
    <cfRule type="expression" dxfId="182" priority="31">
      <formula>AND(J5 &gt; -75, J5 &lt;= -25)</formula>
    </cfRule>
  </conditionalFormatting>
  <conditionalFormatting sqref="P5:P30">
    <cfRule type="expression" dxfId="181" priority="8">
      <formula>AND(P5 &gt; -3, P5 &lt; 3)</formula>
    </cfRule>
    <cfRule type="expression" dxfId="180" priority="9">
      <formula>AND(P5 &gt; -25, P5 &lt;= -3)</formula>
    </cfRule>
    <cfRule type="expression" dxfId="179" priority="10">
      <formula>AND(P5 &gt; -75, P5 &lt;= -25)</formula>
    </cfRule>
    <cfRule type="expression" dxfId="178" priority="11">
      <formula>P5 &lt;= -75</formula>
    </cfRule>
    <cfRule type="expression" dxfId="177" priority="14">
      <formula>P5 &gt;= 75</formula>
    </cfRule>
    <cfRule type="expression" dxfId="176" priority="13">
      <formula>AND(P5 &lt; 75, P5 &gt;= 25)</formula>
    </cfRule>
    <cfRule type="expression" dxfId="175" priority="12">
      <formula>AND(P5 &lt; 25, P5 &gt;= 3)</formula>
    </cfRule>
  </conditionalFormatting>
  <conditionalFormatting sqref="U5:U30">
    <cfRule type="expression" dxfId="174" priority="25">
      <formula>U5 &lt;= -75</formula>
    </cfRule>
    <cfRule type="expression" dxfId="173" priority="26">
      <formula>AND(U5 &lt; 25, U5 &gt;= 3)</formula>
    </cfRule>
    <cfRule type="expression" dxfId="172" priority="27">
      <formula>AND(U5 &lt; 75, U5 &gt;= 25)</formula>
    </cfRule>
    <cfRule type="expression" dxfId="171" priority="28">
      <formula>U5 &gt;= 75</formula>
    </cfRule>
    <cfRule type="expression" dxfId="170" priority="22">
      <formula>AND(U5 &gt; -3, U5 &lt; 3)</formula>
    </cfRule>
    <cfRule type="expression" dxfId="169" priority="23">
      <formula>AND(U5 &gt; -25, U5 &lt;= -3)</formula>
    </cfRule>
    <cfRule type="expression" dxfId="168" priority="24">
      <formula>AND(U5 &gt; -75, U5 &lt;= -25)</formula>
    </cfRule>
  </conditionalFormatting>
  <conditionalFormatting sqref="X5:X30">
    <cfRule type="expression" dxfId="167" priority="2">
      <formula>AND(X5 &gt; -25, X5 &lt;= -3)</formula>
    </cfRule>
    <cfRule type="expression" dxfId="166" priority="3">
      <formula>AND(X5 &gt; -75, X5 &lt;= -25)</formula>
    </cfRule>
    <cfRule type="expression" dxfId="165" priority="4">
      <formula>X5 &lt;= -75</formula>
    </cfRule>
    <cfRule type="expression" dxfId="164" priority="5">
      <formula>AND(X5 &lt; 25, X5 &gt;= 3)</formula>
    </cfRule>
    <cfRule type="expression" dxfId="163" priority="6">
      <formula>AND(X5 &lt; 75, X5 &gt;= 25)</formula>
    </cfRule>
    <cfRule type="expression" dxfId="162" priority="7">
      <formula>X5 &gt;= 75</formula>
    </cfRule>
    <cfRule type="expression" dxfId="161" priority="1">
      <formula>AND(X5 &gt; -3, X5 &lt; 3)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C6903-CB13-4622-BA54-39B9AD1BD161}">
  <dimension ref="A1:V107"/>
  <sheetViews>
    <sheetView zoomScale="85" zoomScaleNormal="85" workbookViewId="0">
      <selection activeCell="F3" sqref="F3:O106"/>
    </sheetView>
  </sheetViews>
  <sheetFormatPr baseColWidth="10" defaultColWidth="9.140625" defaultRowHeight="15" x14ac:dyDescent="0.25"/>
  <cols>
    <col min="1" max="1" width="11.85546875" bestFit="1" customWidth="1"/>
    <col min="2" max="2" width="11" bestFit="1" customWidth="1"/>
    <col min="3" max="3" width="11" customWidth="1"/>
    <col min="4" max="4" width="17" bestFit="1" customWidth="1"/>
    <col min="5" max="5" width="7.140625" bestFit="1" customWidth="1"/>
    <col min="6" max="8" width="11.28515625" bestFit="1" customWidth="1"/>
    <col min="9" max="9" width="11.140625" bestFit="1" customWidth="1"/>
    <col min="10" max="11" width="13.28515625" customWidth="1"/>
    <col min="12" max="12" width="13.42578125" customWidth="1"/>
    <col min="13" max="14" width="14" customWidth="1"/>
    <col min="15" max="15" width="14.85546875" customWidth="1"/>
    <col min="16" max="16" width="8.7109375" customWidth="1"/>
    <col min="17" max="17" width="9.7109375" bestFit="1" customWidth="1"/>
    <col min="18" max="18" width="20.42578125" customWidth="1"/>
    <col min="22" max="22" width="8.5703125" bestFit="1" customWidth="1"/>
    <col min="31" max="36" width="12" bestFit="1" customWidth="1"/>
  </cols>
  <sheetData>
    <row r="1" spans="1:22" x14ac:dyDescent="0.25">
      <c r="A1" s="104" t="s">
        <v>115</v>
      </c>
      <c r="B1" s="122" t="s">
        <v>171</v>
      </c>
      <c r="C1" s="122" t="s">
        <v>172</v>
      </c>
      <c r="D1" s="104" t="s">
        <v>99</v>
      </c>
      <c r="E1" s="104" t="s">
        <v>98</v>
      </c>
      <c r="F1" s="104" t="s">
        <v>100</v>
      </c>
      <c r="G1" s="104" t="s">
        <v>101</v>
      </c>
      <c r="H1" s="104"/>
      <c r="I1" s="104"/>
      <c r="J1" s="104" t="s">
        <v>102</v>
      </c>
      <c r="K1" s="104"/>
      <c r="L1" s="104"/>
      <c r="M1" s="104" t="s">
        <v>103</v>
      </c>
      <c r="N1" s="104"/>
      <c r="O1" s="104"/>
      <c r="P1" s="104" t="s">
        <v>174</v>
      </c>
      <c r="Q1" s="104"/>
      <c r="R1" s="104"/>
      <c r="S1" s="108" t="s">
        <v>104</v>
      </c>
      <c r="T1" s="109"/>
      <c r="U1" s="109"/>
      <c r="V1" s="110"/>
    </row>
    <row r="2" spans="1:22" x14ac:dyDescent="0.25">
      <c r="A2" s="104"/>
      <c r="B2" s="123"/>
      <c r="C2" s="127"/>
      <c r="D2" s="104"/>
      <c r="E2" s="104"/>
      <c r="F2" s="104"/>
      <c r="G2" s="13" t="s">
        <v>105</v>
      </c>
      <c r="H2" s="13" t="s">
        <v>106</v>
      </c>
      <c r="I2" s="13" t="s">
        <v>107</v>
      </c>
      <c r="J2" s="13" t="s">
        <v>108</v>
      </c>
      <c r="K2" s="13" t="s">
        <v>109</v>
      </c>
      <c r="L2" s="13" t="s">
        <v>110</v>
      </c>
      <c r="M2" s="13" t="s">
        <v>108</v>
      </c>
      <c r="N2" s="13" t="s">
        <v>109</v>
      </c>
      <c r="O2" s="13" t="s">
        <v>110</v>
      </c>
      <c r="P2" s="40" t="s">
        <v>108</v>
      </c>
      <c r="Q2" s="40" t="s">
        <v>109</v>
      </c>
      <c r="R2" s="40" t="s">
        <v>110</v>
      </c>
      <c r="S2" s="40" t="s">
        <v>100</v>
      </c>
      <c r="T2" s="40" t="s">
        <v>108</v>
      </c>
      <c r="U2" s="40" t="s">
        <v>109</v>
      </c>
      <c r="V2" s="40" t="s">
        <v>110</v>
      </c>
    </row>
    <row r="3" spans="1:22" x14ac:dyDescent="0.25">
      <c r="A3" s="97" t="s">
        <v>7</v>
      </c>
      <c r="B3" s="45">
        <v>100000000</v>
      </c>
      <c r="C3" s="45">
        <f>100000000/B3</f>
        <v>1</v>
      </c>
      <c r="D3" s="124"/>
      <c r="E3" s="5" t="s">
        <v>111</v>
      </c>
      <c r="F3">
        <v>84.436999999999998</v>
      </c>
      <c r="G3">
        <v>1.43</v>
      </c>
      <c r="H3">
        <v>25.03</v>
      </c>
      <c r="I3">
        <v>157.22</v>
      </c>
      <c r="J3">
        <v>120.74491</v>
      </c>
      <c r="K3">
        <v>2113.45811</v>
      </c>
      <c r="L3">
        <v>13275.18514</v>
      </c>
      <c r="M3">
        <v>85.281369999999995</v>
      </c>
      <c r="N3">
        <v>2099.9481900000001</v>
      </c>
      <c r="O3">
        <v>5560.176449999999</v>
      </c>
      <c r="P3" s="42">
        <f>$C3*M3</f>
        <v>85.281369999999995</v>
      </c>
      <c r="Q3" s="43">
        <f>$C3*N3</f>
        <v>2099.9481900000001</v>
      </c>
      <c r="R3" s="43">
        <f>$C3*O3</f>
        <v>5560.176449999999</v>
      </c>
      <c r="S3" s="128">
        <f>(F4-F3)/F3</f>
        <v>-0.44392860949583707</v>
      </c>
      <c r="T3" s="129">
        <f>(P4-P3)/P3</f>
        <v>-0.44392860949583707</v>
      </c>
      <c r="U3" s="129">
        <f>(Q4-Q3)/Q3</f>
        <v>-0.43543214273300718</v>
      </c>
      <c r="V3" s="130">
        <f>(R4-R3)/R3</f>
        <v>-0.44384416433402929</v>
      </c>
    </row>
    <row r="4" spans="1:22" x14ac:dyDescent="0.25">
      <c r="A4" s="97"/>
      <c r="B4" s="45">
        <v>100000000</v>
      </c>
      <c r="C4" s="45">
        <f t="shared" ref="C4:C67" si="0">100000000/B4</f>
        <v>1</v>
      </c>
      <c r="D4" s="97"/>
      <c r="E4" s="5" t="s">
        <v>114</v>
      </c>
      <c r="F4">
        <v>46.953000000000003</v>
      </c>
      <c r="G4">
        <v>1.43</v>
      </c>
      <c r="H4">
        <v>25.41</v>
      </c>
      <c r="I4">
        <v>157.22999999999999</v>
      </c>
      <c r="J4">
        <v>67.142790000000005</v>
      </c>
      <c r="K4">
        <v>1193.07573</v>
      </c>
      <c r="L4">
        <v>7382.4201899999998</v>
      </c>
      <c r="M4">
        <v>47.422530000000002</v>
      </c>
      <c r="N4">
        <v>1185.5632499999999</v>
      </c>
      <c r="O4">
        <v>3092.32458</v>
      </c>
      <c r="P4" s="18">
        <f t="shared" ref="P4:P67" si="1">C4*M4</f>
        <v>47.422530000000002</v>
      </c>
      <c r="Q4" s="17">
        <f t="shared" ref="Q4:R67" si="2">$C4*N4</f>
        <v>1185.5632499999999</v>
      </c>
      <c r="R4" s="17">
        <f t="shared" si="2"/>
        <v>3092.32458</v>
      </c>
      <c r="S4" s="98"/>
      <c r="T4" s="99"/>
      <c r="U4" s="99"/>
      <c r="V4" s="100"/>
    </row>
    <row r="5" spans="1:22" x14ac:dyDescent="0.25">
      <c r="A5" s="97"/>
      <c r="B5" s="45">
        <v>100000000</v>
      </c>
      <c r="C5" s="45">
        <f t="shared" si="0"/>
        <v>1</v>
      </c>
      <c r="D5" s="97" t="s">
        <v>118</v>
      </c>
      <c r="E5" s="5" t="s">
        <v>111</v>
      </c>
      <c r="F5">
        <v>135.87899999999999</v>
      </c>
      <c r="G5">
        <v>1.42</v>
      </c>
      <c r="H5">
        <v>24.38</v>
      </c>
      <c r="I5">
        <v>155.03</v>
      </c>
      <c r="J5">
        <v>192.94818000000001</v>
      </c>
      <c r="K5">
        <v>3312.73002</v>
      </c>
      <c r="L5">
        <v>21065.321370000001</v>
      </c>
      <c r="M5">
        <v>135.87899999999999</v>
      </c>
      <c r="N5">
        <v>3290.98938</v>
      </c>
      <c r="O5">
        <v>8650.057139999999</v>
      </c>
      <c r="P5" s="18">
        <f t="shared" si="1"/>
        <v>135.87899999999999</v>
      </c>
      <c r="Q5" s="17">
        <f t="shared" si="2"/>
        <v>3290.98938</v>
      </c>
      <c r="R5" s="17">
        <f t="shared" si="2"/>
        <v>8650.057139999999</v>
      </c>
      <c r="S5" s="98">
        <f>(F6-F5)/F5</f>
        <v>-0.68784727588516259</v>
      </c>
      <c r="T5" s="99">
        <f>(P6-P5)/P5</f>
        <v>-0.68472574864401425</v>
      </c>
      <c r="U5" s="99">
        <f>(Q6-Q5)/Q5</f>
        <v>-0.69094044903906682</v>
      </c>
      <c r="V5" s="100">
        <f>(R6-R5)/R5</f>
        <v>-0.69284878041857656</v>
      </c>
    </row>
    <row r="6" spans="1:22" x14ac:dyDescent="0.25">
      <c r="A6" s="97"/>
      <c r="B6" s="45">
        <v>100000000</v>
      </c>
      <c r="C6" s="45">
        <f t="shared" si="0"/>
        <v>1</v>
      </c>
      <c r="D6" s="97"/>
      <c r="E6" s="5" t="s">
        <v>114</v>
      </c>
      <c r="F6">
        <v>42.414999999999999</v>
      </c>
      <c r="G6">
        <v>1.43</v>
      </c>
      <c r="H6">
        <v>24.14</v>
      </c>
      <c r="I6">
        <v>154.01</v>
      </c>
      <c r="J6">
        <v>60.653449999999999</v>
      </c>
      <c r="K6">
        <v>1023.8981</v>
      </c>
      <c r="L6">
        <v>6532.3341499999997</v>
      </c>
      <c r="M6">
        <v>42.839149999999997</v>
      </c>
      <c r="N6">
        <v>1017.1117</v>
      </c>
      <c r="O6">
        <v>2656.8755999999998</v>
      </c>
      <c r="P6" s="18">
        <f t="shared" si="1"/>
        <v>42.839149999999997</v>
      </c>
      <c r="Q6" s="17">
        <f t="shared" si="2"/>
        <v>1017.1117</v>
      </c>
      <c r="R6" s="17">
        <f t="shared" si="2"/>
        <v>2656.8755999999998</v>
      </c>
      <c r="S6" s="98"/>
      <c r="T6" s="99"/>
      <c r="U6" s="99"/>
      <c r="V6" s="100"/>
    </row>
    <row r="7" spans="1:22" x14ac:dyDescent="0.25">
      <c r="A7" s="97" t="s">
        <v>9</v>
      </c>
      <c r="B7" s="45">
        <v>100000</v>
      </c>
      <c r="C7" s="45">
        <f t="shared" si="0"/>
        <v>1000</v>
      </c>
      <c r="D7" s="124"/>
      <c r="E7" s="5" t="s">
        <v>111</v>
      </c>
      <c r="F7">
        <v>5.7590000000000003</v>
      </c>
      <c r="G7">
        <v>1.77</v>
      </c>
      <c r="H7">
        <v>21.26</v>
      </c>
      <c r="I7">
        <v>151.68</v>
      </c>
      <c r="J7">
        <v>10.193429999999999</v>
      </c>
      <c r="K7">
        <v>122.43634</v>
      </c>
      <c r="L7">
        <v>873.52512000000013</v>
      </c>
      <c r="M7">
        <v>7.7746500000000012</v>
      </c>
      <c r="N7">
        <v>119.09612</v>
      </c>
      <c r="O7">
        <v>331.77598999999998</v>
      </c>
      <c r="P7" s="18">
        <f t="shared" si="1"/>
        <v>7774.6500000000015</v>
      </c>
      <c r="Q7" s="17">
        <f t="shared" si="2"/>
        <v>119096.12</v>
      </c>
      <c r="R7" s="17">
        <f t="shared" si="2"/>
        <v>331775.99</v>
      </c>
      <c r="S7" s="98">
        <f>(F8-F7)/F7</f>
        <v>-8.8209758638652547E-2</v>
      </c>
      <c r="T7" s="99">
        <f>(P8-P7)/P7</f>
        <v>-8.8209758638652672E-2</v>
      </c>
      <c r="U7" s="99">
        <f>(Q8-Q7)/Q7</f>
        <v>-8.820975863865245E-2</v>
      </c>
      <c r="V7" s="100">
        <f>(R8-R7)/R7</f>
        <v>-7.8080514506188317E-2</v>
      </c>
    </row>
    <row r="8" spans="1:22" x14ac:dyDescent="0.25">
      <c r="A8" s="97"/>
      <c r="B8" s="45">
        <v>100000</v>
      </c>
      <c r="C8" s="45">
        <f t="shared" si="0"/>
        <v>1000</v>
      </c>
      <c r="D8" s="97"/>
      <c r="E8" s="5" t="s">
        <v>114</v>
      </c>
      <c r="F8">
        <v>5.2510000000000003</v>
      </c>
      <c r="G8">
        <v>1.77</v>
      </c>
      <c r="H8">
        <v>21.26</v>
      </c>
      <c r="I8">
        <v>152.32</v>
      </c>
      <c r="J8">
        <v>9.2942700000000009</v>
      </c>
      <c r="K8">
        <v>111.63625999999999</v>
      </c>
      <c r="L8">
        <v>799.83231999999998</v>
      </c>
      <c r="M8">
        <v>7.0888500000000008</v>
      </c>
      <c r="N8">
        <v>108.59068000000001</v>
      </c>
      <c r="O8">
        <v>305.87074999999999</v>
      </c>
      <c r="P8" s="18">
        <f t="shared" si="1"/>
        <v>7088.85</v>
      </c>
      <c r="Q8" s="17">
        <f t="shared" si="2"/>
        <v>108590.68000000001</v>
      </c>
      <c r="R8" s="17">
        <f t="shared" si="2"/>
        <v>305870.75</v>
      </c>
      <c r="S8" s="98"/>
      <c r="T8" s="99"/>
      <c r="U8" s="99"/>
      <c r="V8" s="100"/>
    </row>
    <row r="9" spans="1:22" x14ac:dyDescent="0.25">
      <c r="A9" s="97"/>
      <c r="B9" s="45">
        <v>100000</v>
      </c>
      <c r="C9" s="45">
        <f t="shared" si="0"/>
        <v>1000</v>
      </c>
      <c r="D9" s="97" t="s">
        <v>118</v>
      </c>
      <c r="E9" s="5" t="s">
        <v>111</v>
      </c>
      <c r="F9">
        <v>6.2830000000000004</v>
      </c>
      <c r="G9">
        <v>1.79</v>
      </c>
      <c r="H9">
        <v>23.38</v>
      </c>
      <c r="I9">
        <v>157.93</v>
      </c>
      <c r="J9">
        <v>11.24657</v>
      </c>
      <c r="K9">
        <v>146.89653999999999</v>
      </c>
      <c r="L9">
        <v>992.27419000000009</v>
      </c>
      <c r="M9">
        <v>8.6077100000000009</v>
      </c>
      <c r="N9">
        <v>143.25239999999999</v>
      </c>
      <c r="O9">
        <v>401.23237999999998</v>
      </c>
      <c r="P9" s="18">
        <f t="shared" si="1"/>
        <v>8607.7100000000009</v>
      </c>
      <c r="Q9" s="17">
        <f t="shared" si="2"/>
        <v>143252.4</v>
      </c>
      <c r="R9" s="17">
        <f t="shared" si="2"/>
        <v>401232.38</v>
      </c>
      <c r="S9" s="98">
        <f>(F10-F9)/F9</f>
        <v>-3.5015120165526124E-2</v>
      </c>
      <c r="T9" s="99">
        <f>(P10-P9)/P9</f>
        <v>-2.7971434911260046E-2</v>
      </c>
      <c r="U9" s="99">
        <f>(Q10-Q9)/Q9</f>
        <v>-4.8558767601799162E-2</v>
      </c>
      <c r="V9" s="100">
        <f>(R10-R9)/R9</f>
        <v>-6.5085898600706169E-2</v>
      </c>
    </row>
    <row r="10" spans="1:22" x14ac:dyDescent="0.25">
      <c r="A10" s="97"/>
      <c r="B10" s="45">
        <v>100000</v>
      </c>
      <c r="C10" s="45">
        <f t="shared" si="0"/>
        <v>1000</v>
      </c>
      <c r="D10" s="97"/>
      <c r="E10" s="5" t="s">
        <v>114</v>
      </c>
      <c r="F10">
        <v>6.0629999999999997</v>
      </c>
      <c r="G10">
        <v>1.8</v>
      </c>
      <c r="H10">
        <v>23.06</v>
      </c>
      <c r="I10">
        <v>155.94</v>
      </c>
      <c r="J10">
        <v>10.913399999999999</v>
      </c>
      <c r="K10">
        <v>139.81278</v>
      </c>
      <c r="L10">
        <v>945.46421999999995</v>
      </c>
      <c r="M10">
        <v>8.3669399999999996</v>
      </c>
      <c r="N10">
        <v>136.29624000000001</v>
      </c>
      <c r="O10">
        <v>375.11781000000002</v>
      </c>
      <c r="P10" s="18">
        <f t="shared" si="1"/>
        <v>8366.9399999999987</v>
      </c>
      <c r="Q10" s="17">
        <f t="shared" si="2"/>
        <v>136296.24000000002</v>
      </c>
      <c r="R10" s="17">
        <f t="shared" si="2"/>
        <v>375117.81</v>
      </c>
      <c r="S10" s="98"/>
      <c r="T10" s="99"/>
      <c r="U10" s="99"/>
      <c r="V10" s="100"/>
    </row>
    <row r="11" spans="1:22" x14ac:dyDescent="0.25">
      <c r="A11" s="97" t="s">
        <v>13</v>
      </c>
      <c r="B11" s="45">
        <v>100000000</v>
      </c>
      <c r="C11" s="45">
        <f t="shared" si="0"/>
        <v>1</v>
      </c>
      <c r="D11" s="124"/>
      <c r="E11" s="5" t="s">
        <v>111</v>
      </c>
      <c r="F11">
        <v>22.041</v>
      </c>
      <c r="G11">
        <v>1.48</v>
      </c>
      <c r="H11">
        <v>23.92</v>
      </c>
      <c r="I11">
        <v>158.24</v>
      </c>
      <c r="J11">
        <v>32.62068</v>
      </c>
      <c r="K11">
        <v>527.22072000000003</v>
      </c>
      <c r="L11">
        <v>3487.76784</v>
      </c>
      <c r="M11">
        <v>23.36346</v>
      </c>
      <c r="N11">
        <v>514.43694000000005</v>
      </c>
      <c r="O11">
        <v>1418.5587599999999</v>
      </c>
      <c r="P11" s="18">
        <f t="shared" si="1"/>
        <v>23.36346</v>
      </c>
      <c r="Q11" s="17">
        <f t="shared" si="2"/>
        <v>514.43694000000005</v>
      </c>
      <c r="R11" s="17">
        <f t="shared" si="2"/>
        <v>1418.5587599999999</v>
      </c>
      <c r="S11" s="98">
        <f>(F12-F11)/F11</f>
        <v>-0.30661040787623067</v>
      </c>
      <c r="T11" s="99">
        <f>(P12-P11)/P11</f>
        <v>-0.30661040787623067</v>
      </c>
      <c r="U11" s="99">
        <f>(Q12-Q11)/Q11</f>
        <v>-0.32057326598669228</v>
      </c>
      <c r="V11" s="100">
        <f>(R12-R11)/R11</f>
        <v>-0.31329004658220849</v>
      </c>
    </row>
    <row r="12" spans="1:22" x14ac:dyDescent="0.25">
      <c r="A12" s="97"/>
      <c r="B12" s="45">
        <v>100000000</v>
      </c>
      <c r="C12" s="45">
        <f t="shared" si="0"/>
        <v>1</v>
      </c>
      <c r="D12" s="97"/>
      <c r="E12" s="5" t="s">
        <v>114</v>
      </c>
      <c r="F12">
        <v>15.282999999999999</v>
      </c>
      <c r="G12">
        <v>1.48</v>
      </c>
      <c r="H12">
        <v>23.45</v>
      </c>
      <c r="I12">
        <v>157.62</v>
      </c>
      <c r="J12">
        <v>22.618839999999999</v>
      </c>
      <c r="K12">
        <v>358.38634999999999</v>
      </c>
      <c r="L12">
        <v>2408.9064600000002</v>
      </c>
      <c r="M12">
        <v>16.19998</v>
      </c>
      <c r="N12">
        <v>349.52220999999997</v>
      </c>
      <c r="O12">
        <v>974.13842</v>
      </c>
      <c r="P12" s="18">
        <f t="shared" si="1"/>
        <v>16.19998</v>
      </c>
      <c r="Q12" s="17">
        <f t="shared" si="2"/>
        <v>349.52220999999997</v>
      </c>
      <c r="R12" s="17">
        <f t="shared" si="2"/>
        <v>974.13842</v>
      </c>
      <c r="S12" s="98"/>
      <c r="T12" s="99"/>
      <c r="U12" s="99"/>
      <c r="V12" s="100"/>
    </row>
    <row r="13" spans="1:22" x14ac:dyDescent="0.25">
      <c r="A13" s="97"/>
      <c r="B13" s="45">
        <v>100000000</v>
      </c>
      <c r="C13" s="45">
        <f t="shared" si="0"/>
        <v>1</v>
      </c>
      <c r="D13" s="97" t="s">
        <v>118</v>
      </c>
      <c r="E13" s="5" t="s">
        <v>111</v>
      </c>
      <c r="F13">
        <v>19.504999999999999</v>
      </c>
      <c r="G13">
        <v>1.47</v>
      </c>
      <c r="H13">
        <v>21.78</v>
      </c>
      <c r="I13">
        <v>154.99</v>
      </c>
      <c r="J13">
        <v>28.672350000000002</v>
      </c>
      <c r="K13">
        <v>424.81889999999999</v>
      </c>
      <c r="L13">
        <v>3023.0799499999998</v>
      </c>
      <c r="M13">
        <v>20.480250000000002</v>
      </c>
      <c r="N13">
        <v>413.50599999999997</v>
      </c>
      <c r="O13">
        <v>1191.95055</v>
      </c>
      <c r="P13" s="18">
        <f>C13*M13</f>
        <v>20.480250000000002</v>
      </c>
      <c r="Q13" s="17">
        <f t="shared" si="2"/>
        <v>413.50599999999997</v>
      </c>
      <c r="R13" s="17">
        <f t="shared" si="2"/>
        <v>1191.95055</v>
      </c>
      <c r="S13" s="98">
        <f>(F14-F13)/F13</f>
        <v>-0.39892335298641368</v>
      </c>
      <c r="T13" s="99">
        <f>(P14-P13)/P13</f>
        <v>-0.39892335298641379</v>
      </c>
      <c r="U13" s="99">
        <f>(Q14-Q13)/Q13</f>
        <v>-0.41054794851828019</v>
      </c>
      <c r="V13" s="100">
        <f>(R14-R13)/R13</f>
        <v>-0.42331657970206898</v>
      </c>
    </row>
    <row r="14" spans="1:22" x14ac:dyDescent="0.25">
      <c r="A14" s="97"/>
      <c r="B14" s="45">
        <v>100000000</v>
      </c>
      <c r="C14" s="45">
        <f t="shared" si="0"/>
        <v>1</v>
      </c>
      <c r="D14" s="97"/>
      <c r="E14" s="5" t="s">
        <v>114</v>
      </c>
      <c r="F14">
        <v>11.724</v>
      </c>
      <c r="G14">
        <v>1.47</v>
      </c>
      <c r="H14">
        <v>21.37</v>
      </c>
      <c r="I14">
        <v>152.51</v>
      </c>
      <c r="J14">
        <v>17.234279999999998</v>
      </c>
      <c r="K14">
        <v>250.54187999999999</v>
      </c>
      <c r="L14">
        <v>1788.0272399999999</v>
      </c>
      <c r="M14">
        <v>12.3102</v>
      </c>
      <c r="N14">
        <v>243.74196000000001</v>
      </c>
      <c r="O14">
        <v>687.37812000000008</v>
      </c>
      <c r="P14" s="18">
        <f t="shared" si="1"/>
        <v>12.3102</v>
      </c>
      <c r="Q14" s="17">
        <f t="shared" si="2"/>
        <v>243.74196000000001</v>
      </c>
      <c r="R14" s="17">
        <f t="shared" si="2"/>
        <v>687.37812000000008</v>
      </c>
      <c r="S14" s="98"/>
      <c r="T14" s="99"/>
      <c r="U14" s="99"/>
      <c r="V14" s="100"/>
    </row>
    <row r="15" spans="1:22" x14ac:dyDescent="0.25">
      <c r="A15" s="97" t="s">
        <v>15</v>
      </c>
      <c r="B15" s="45">
        <v>100000000</v>
      </c>
      <c r="C15" s="45">
        <f t="shared" si="0"/>
        <v>1</v>
      </c>
      <c r="D15" s="124"/>
      <c r="E15" s="5" t="s">
        <v>111</v>
      </c>
      <c r="F15">
        <v>24.632000000000001</v>
      </c>
      <c r="G15">
        <v>1.51</v>
      </c>
      <c r="H15">
        <v>20.49</v>
      </c>
      <c r="I15">
        <v>150.58000000000001</v>
      </c>
      <c r="J15">
        <v>37.194319999999998</v>
      </c>
      <c r="K15">
        <v>504.70967999999999</v>
      </c>
      <c r="L15">
        <v>3709.0865600000011</v>
      </c>
      <c r="M15">
        <v>26.848880000000001</v>
      </c>
      <c r="N15">
        <v>490.42311999999998</v>
      </c>
      <c r="O15">
        <v>1353.7747199999999</v>
      </c>
      <c r="P15" s="18">
        <f t="shared" si="1"/>
        <v>26.848880000000001</v>
      </c>
      <c r="Q15" s="17">
        <f t="shared" si="2"/>
        <v>490.42311999999998</v>
      </c>
      <c r="R15" s="17">
        <f t="shared" si="2"/>
        <v>1353.7747199999999</v>
      </c>
      <c r="S15" s="98">
        <f>(F16-F15)/F15</f>
        <v>-0.70546443650535895</v>
      </c>
      <c r="T15" s="99">
        <f>(P16-P15)/P15</f>
        <v>-0.70546443650535895</v>
      </c>
      <c r="U15" s="99">
        <f>(Q16-Q15)/Q15</f>
        <v>-0.69481322577124838</v>
      </c>
      <c r="V15" s="100">
        <f>(R16-R15)/R15</f>
        <v>-0.69683630227634918</v>
      </c>
    </row>
    <row r="16" spans="1:22" x14ac:dyDescent="0.25">
      <c r="A16" s="97"/>
      <c r="B16" s="45">
        <v>100000000</v>
      </c>
      <c r="C16" s="45">
        <f t="shared" si="0"/>
        <v>1</v>
      </c>
      <c r="D16" s="97"/>
      <c r="E16" s="5" t="s">
        <v>114</v>
      </c>
      <c r="F16">
        <v>7.2549999999999999</v>
      </c>
      <c r="G16">
        <v>1.51</v>
      </c>
      <c r="H16">
        <v>21.21</v>
      </c>
      <c r="I16">
        <v>152.18</v>
      </c>
      <c r="J16">
        <v>10.95505</v>
      </c>
      <c r="K16">
        <v>153.87854999999999</v>
      </c>
      <c r="L16">
        <v>1104.0659000000001</v>
      </c>
      <c r="M16">
        <v>7.9079499999999996</v>
      </c>
      <c r="N16">
        <v>149.67064999999999</v>
      </c>
      <c r="O16">
        <v>410.41534999999999</v>
      </c>
      <c r="P16" s="18">
        <f t="shared" si="1"/>
        <v>7.9079499999999996</v>
      </c>
      <c r="Q16" s="17">
        <f t="shared" si="2"/>
        <v>149.67064999999999</v>
      </c>
      <c r="R16" s="17">
        <f t="shared" si="2"/>
        <v>410.41534999999999</v>
      </c>
      <c r="S16" s="98"/>
      <c r="T16" s="99"/>
      <c r="U16" s="99"/>
      <c r="V16" s="100"/>
    </row>
    <row r="17" spans="1:22" x14ac:dyDescent="0.25">
      <c r="A17" s="97"/>
      <c r="B17" s="45">
        <v>100000000</v>
      </c>
      <c r="C17" s="45">
        <f t="shared" si="0"/>
        <v>1</v>
      </c>
      <c r="D17" s="97" t="s">
        <v>118</v>
      </c>
      <c r="E17" s="5" t="s">
        <v>111</v>
      </c>
      <c r="F17">
        <v>18.050999999999998</v>
      </c>
      <c r="G17">
        <v>1.51</v>
      </c>
      <c r="H17">
        <v>20.45</v>
      </c>
      <c r="I17">
        <v>150.47999999999999</v>
      </c>
      <c r="J17">
        <v>27.257010000000001</v>
      </c>
      <c r="K17">
        <v>369.14294999999993</v>
      </c>
      <c r="L17">
        <v>2716.31448</v>
      </c>
      <c r="M17">
        <v>19.67559</v>
      </c>
      <c r="N17">
        <v>358.67336999999998</v>
      </c>
      <c r="O17">
        <v>990.27785999999992</v>
      </c>
      <c r="P17" s="18">
        <f t="shared" si="1"/>
        <v>19.67559</v>
      </c>
      <c r="Q17" s="17">
        <f t="shared" si="2"/>
        <v>358.67336999999998</v>
      </c>
      <c r="R17" s="17">
        <f t="shared" si="2"/>
        <v>990.27785999999992</v>
      </c>
      <c r="S17" s="98">
        <f>(F18-F17)/F17</f>
        <v>-0.53980388898121978</v>
      </c>
      <c r="T17" s="99">
        <f>(P18-P17)/P17</f>
        <v>-0.53558190631132274</v>
      </c>
      <c r="U17" s="99">
        <f>(Q18-Q17)/Q17</f>
        <v>-0.51664354116950473</v>
      </c>
      <c r="V17" s="100">
        <f>(R18-R17)/R17</f>
        <v>-0.52168461082225936</v>
      </c>
    </row>
    <row r="18" spans="1:22" x14ac:dyDescent="0.25">
      <c r="A18" s="97"/>
      <c r="B18" s="45">
        <v>100000000</v>
      </c>
      <c r="C18" s="45">
        <f t="shared" si="0"/>
        <v>1</v>
      </c>
      <c r="D18" s="97"/>
      <c r="E18" s="5" t="s">
        <v>114</v>
      </c>
      <c r="F18">
        <v>8.3070000000000004</v>
      </c>
      <c r="G18">
        <v>1.52</v>
      </c>
      <c r="H18">
        <v>21.45</v>
      </c>
      <c r="I18">
        <v>152.63999999999999</v>
      </c>
      <c r="J18">
        <v>12.62664</v>
      </c>
      <c r="K18">
        <v>178.18514999999999</v>
      </c>
      <c r="L18">
        <v>1267.9804799999999</v>
      </c>
      <c r="M18">
        <v>9.1377000000000006</v>
      </c>
      <c r="N18">
        <v>173.36708999999999</v>
      </c>
      <c r="O18">
        <v>473.66514000000012</v>
      </c>
      <c r="P18" s="18">
        <f t="shared" si="1"/>
        <v>9.1377000000000006</v>
      </c>
      <c r="Q18" s="17">
        <f t="shared" si="2"/>
        <v>173.36708999999999</v>
      </c>
      <c r="R18" s="17">
        <f t="shared" si="2"/>
        <v>473.66514000000012</v>
      </c>
      <c r="S18" s="98"/>
      <c r="T18" s="99"/>
      <c r="U18" s="99"/>
      <c r="V18" s="100"/>
    </row>
    <row r="19" spans="1:22" x14ac:dyDescent="0.25">
      <c r="A19" s="97" t="s">
        <v>17</v>
      </c>
      <c r="B19" s="45">
        <v>100000000</v>
      </c>
      <c r="C19" s="45">
        <f t="shared" si="0"/>
        <v>1</v>
      </c>
      <c r="D19" s="124"/>
      <c r="E19" s="5" t="s">
        <v>111</v>
      </c>
      <c r="F19">
        <v>5.9340000000000002</v>
      </c>
      <c r="G19">
        <v>8.16</v>
      </c>
      <c r="H19">
        <v>31.97</v>
      </c>
      <c r="I19">
        <v>161.94</v>
      </c>
      <c r="J19">
        <v>48.421439999999997</v>
      </c>
      <c r="K19">
        <v>189.70998</v>
      </c>
      <c r="L19">
        <v>960.95195999999999</v>
      </c>
      <c r="M19">
        <v>26.050260000000002</v>
      </c>
      <c r="N19">
        <v>172.44203999999999</v>
      </c>
      <c r="O19">
        <v>373.48595999999998</v>
      </c>
      <c r="P19" s="18">
        <f t="shared" si="1"/>
        <v>26.050260000000002</v>
      </c>
      <c r="Q19" s="17">
        <f t="shared" si="2"/>
        <v>172.44203999999999</v>
      </c>
      <c r="R19" s="17">
        <f t="shared" si="2"/>
        <v>373.48595999999998</v>
      </c>
      <c r="S19" s="98">
        <f>(F20-F19)/F19</f>
        <v>-0.24924165824064712</v>
      </c>
      <c r="T19" s="99">
        <f>(P20-P19)/P19</f>
        <v>-0.24582134688866827</v>
      </c>
      <c r="U19" s="99">
        <f>(Q20-Q19)/Q19</f>
        <v>-0.29832771637357108</v>
      </c>
      <c r="V19" s="100">
        <f>(R20-R19)/R19</f>
        <v>-0.27274013191821178</v>
      </c>
    </row>
    <row r="20" spans="1:22" x14ac:dyDescent="0.25">
      <c r="A20" s="97"/>
      <c r="B20" s="45">
        <v>100000000</v>
      </c>
      <c r="C20" s="45">
        <f t="shared" si="0"/>
        <v>1</v>
      </c>
      <c r="D20" s="97"/>
      <c r="E20" s="5" t="s">
        <v>114</v>
      </c>
      <c r="F20">
        <v>4.4550000000000001</v>
      </c>
      <c r="G20">
        <v>8.18</v>
      </c>
      <c r="H20">
        <v>30.07</v>
      </c>
      <c r="I20">
        <v>159.97</v>
      </c>
      <c r="J20">
        <v>36.441899999999997</v>
      </c>
      <c r="K20">
        <v>133.96185</v>
      </c>
      <c r="L20">
        <v>712.66634999999997</v>
      </c>
      <c r="M20">
        <v>19.646550000000001</v>
      </c>
      <c r="N20">
        <v>120.9978</v>
      </c>
      <c r="O20">
        <v>271.62135000000001</v>
      </c>
      <c r="P20" s="18">
        <f t="shared" si="1"/>
        <v>19.646550000000001</v>
      </c>
      <c r="Q20" s="17">
        <f t="shared" si="2"/>
        <v>120.9978</v>
      </c>
      <c r="R20" s="17">
        <f t="shared" si="2"/>
        <v>271.62135000000001</v>
      </c>
      <c r="S20" s="98"/>
      <c r="T20" s="99"/>
      <c r="U20" s="99"/>
      <c r="V20" s="100"/>
    </row>
    <row r="21" spans="1:22" x14ac:dyDescent="0.25">
      <c r="A21" s="97"/>
      <c r="B21" s="45">
        <v>100000000</v>
      </c>
      <c r="C21" s="45">
        <f t="shared" si="0"/>
        <v>1</v>
      </c>
      <c r="D21" s="97" t="s">
        <v>118</v>
      </c>
      <c r="E21" s="5" t="s">
        <v>111</v>
      </c>
      <c r="F21">
        <v>2.7749999999999999</v>
      </c>
      <c r="G21">
        <v>8.2100000000000009</v>
      </c>
      <c r="H21">
        <v>29.03</v>
      </c>
      <c r="I21">
        <v>158.91999999999999</v>
      </c>
      <c r="J21">
        <v>22.78275</v>
      </c>
      <c r="K21">
        <v>80.558250000000001</v>
      </c>
      <c r="L21">
        <v>441.00299999999987</v>
      </c>
      <c r="M21">
        <v>12.321</v>
      </c>
      <c r="N21">
        <v>72.483000000000004</v>
      </c>
      <c r="O21">
        <v>166.27799999999999</v>
      </c>
      <c r="P21" s="18">
        <f t="shared" si="1"/>
        <v>12.321</v>
      </c>
      <c r="Q21" s="17">
        <f t="shared" si="2"/>
        <v>72.483000000000004</v>
      </c>
      <c r="R21" s="17">
        <f t="shared" si="2"/>
        <v>166.27799999999999</v>
      </c>
      <c r="S21" s="98">
        <f>(F22-F21)/F21</f>
        <v>-0.24216216216216208</v>
      </c>
      <c r="T21" s="99">
        <f>(P22-P21)/P21</f>
        <v>-0.24386900413927437</v>
      </c>
      <c r="U21" s="99">
        <f>(Q22-Q21)/Q21</f>
        <v>-0.29351641074458834</v>
      </c>
      <c r="V21" s="100">
        <f>(R22-R21)/R21</f>
        <v>-0.25910980406307504</v>
      </c>
    </row>
    <row r="22" spans="1:22" x14ac:dyDescent="0.25">
      <c r="A22" s="97"/>
      <c r="B22" s="45">
        <v>100000000</v>
      </c>
      <c r="C22" s="45">
        <f t="shared" si="0"/>
        <v>1</v>
      </c>
      <c r="D22" s="97"/>
      <c r="E22" s="5" t="s">
        <v>114</v>
      </c>
      <c r="F22">
        <v>2.1030000000000002</v>
      </c>
      <c r="G22">
        <v>8.1999999999999993</v>
      </c>
      <c r="H22">
        <v>27.26</v>
      </c>
      <c r="I22">
        <v>157.58000000000001</v>
      </c>
      <c r="J22">
        <v>17.244599999999998</v>
      </c>
      <c r="K22">
        <v>57.327780000000011</v>
      </c>
      <c r="L22">
        <v>331.39074000000011</v>
      </c>
      <c r="M22">
        <v>9.3162900000000004</v>
      </c>
      <c r="N22">
        <v>51.208050000000007</v>
      </c>
      <c r="O22">
        <v>123.19374000000001</v>
      </c>
      <c r="P22" s="18">
        <f t="shared" si="1"/>
        <v>9.3162900000000004</v>
      </c>
      <c r="Q22" s="17">
        <f t="shared" si="2"/>
        <v>51.208050000000007</v>
      </c>
      <c r="R22" s="17">
        <f t="shared" si="2"/>
        <v>123.19374000000001</v>
      </c>
      <c r="S22" s="98"/>
      <c r="T22" s="99"/>
      <c r="U22" s="99"/>
      <c r="V22" s="100"/>
    </row>
    <row r="23" spans="1:22" x14ac:dyDescent="0.25">
      <c r="A23" s="97" t="s">
        <v>19</v>
      </c>
      <c r="B23" s="45">
        <v>100000000</v>
      </c>
      <c r="C23" s="45">
        <f t="shared" si="0"/>
        <v>1</v>
      </c>
      <c r="D23" s="124"/>
      <c r="E23" s="5" t="s">
        <v>111</v>
      </c>
      <c r="F23">
        <v>24.492000000000001</v>
      </c>
      <c r="G23">
        <v>1.53</v>
      </c>
      <c r="H23">
        <v>25.37</v>
      </c>
      <c r="I23">
        <v>161.04</v>
      </c>
      <c r="J23">
        <v>37.472760000000001</v>
      </c>
      <c r="K23">
        <v>621.36204000000009</v>
      </c>
      <c r="L23">
        <v>3944.1916799999999</v>
      </c>
      <c r="M23">
        <v>27.186119999999999</v>
      </c>
      <c r="N23">
        <v>607.15668000000005</v>
      </c>
      <c r="O23">
        <v>1701.70416</v>
      </c>
      <c r="P23" s="18">
        <f t="shared" si="1"/>
        <v>27.186119999999999</v>
      </c>
      <c r="Q23" s="17">
        <f t="shared" si="2"/>
        <v>607.15668000000005</v>
      </c>
      <c r="R23" s="17">
        <f t="shared" si="2"/>
        <v>1701.70416</v>
      </c>
      <c r="S23" s="98">
        <f>(F24-F23)/F23</f>
        <v>-0.49628450106157113</v>
      </c>
      <c r="T23" s="99">
        <f>(P24-P23)/P23</f>
        <v>-0.47813259118991602</v>
      </c>
      <c r="U23" s="99">
        <f>(Q24-Q23)/Q23</f>
        <v>-0.52920177045569194</v>
      </c>
      <c r="V23" s="100">
        <f>(R24-R23)/R23</f>
        <v>-0.52180376640790493</v>
      </c>
    </row>
    <row r="24" spans="1:22" x14ac:dyDescent="0.25">
      <c r="A24" s="97"/>
      <c r="B24" s="45">
        <v>100000000</v>
      </c>
      <c r="C24" s="45">
        <f t="shared" si="0"/>
        <v>1</v>
      </c>
      <c r="D24" s="97"/>
      <c r="E24" s="5" t="s">
        <v>114</v>
      </c>
      <c r="F24">
        <v>12.337</v>
      </c>
      <c r="G24">
        <v>1.57</v>
      </c>
      <c r="H24">
        <v>23.75</v>
      </c>
      <c r="I24">
        <v>157.52000000000001</v>
      </c>
      <c r="J24">
        <v>19.36909</v>
      </c>
      <c r="K24">
        <v>293.00375000000003</v>
      </c>
      <c r="L24">
        <v>1943.3242399999999</v>
      </c>
      <c r="M24">
        <v>14.18755</v>
      </c>
      <c r="N24">
        <v>285.84829000000002</v>
      </c>
      <c r="O24">
        <v>813.74851999999987</v>
      </c>
      <c r="P24" s="18">
        <f t="shared" si="1"/>
        <v>14.18755</v>
      </c>
      <c r="Q24" s="17">
        <f t="shared" si="2"/>
        <v>285.84829000000002</v>
      </c>
      <c r="R24" s="17">
        <f t="shared" si="2"/>
        <v>813.74851999999987</v>
      </c>
      <c r="S24" s="98"/>
      <c r="T24" s="99"/>
      <c r="U24" s="99"/>
      <c r="V24" s="100"/>
    </row>
    <row r="25" spans="1:22" x14ac:dyDescent="0.25">
      <c r="A25" s="97"/>
      <c r="B25" s="45">
        <v>100000000</v>
      </c>
      <c r="C25" s="45">
        <f t="shared" si="0"/>
        <v>1</v>
      </c>
      <c r="D25" s="97" t="s">
        <v>118</v>
      </c>
      <c r="E25" s="5" t="s">
        <v>111</v>
      </c>
      <c r="F25">
        <v>13.214</v>
      </c>
      <c r="G25">
        <v>1.56</v>
      </c>
      <c r="H25">
        <v>24.63</v>
      </c>
      <c r="I25">
        <v>160.12</v>
      </c>
      <c r="J25">
        <v>20.61384</v>
      </c>
      <c r="K25">
        <v>325.46082000000001</v>
      </c>
      <c r="L25">
        <v>2115.8256799999999</v>
      </c>
      <c r="M25">
        <v>15.06396</v>
      </c>
      <c r="N25">
        <v>317.79669999999999</v>
      </c>
      <c r="O25">
        <v>905.95184000000006</v>
      </c>
      <c r="P25" s="18">
        <f t="shared" si="1"/>
        <v>15.06396</v>
      </c>
      <c r="Q25" s="17">
        <f t="shared" si="2"/>
        <v>317.79669999999999</v>
      </c>
      <c r="R25" s="17">
        <f t="shared" si="2"/>
        <v>905.95184000000006</v>
      </c>
      <c r="S25" s="98">
        <f>(F26-F25)/F25</f>
        <v>-0.65248978356288778</v>
      </c>
      <c r="T25" s="99">
        <f>(P26-P25)/P25</f>
        <v>-0.64944144833098338</v>
      </c>
      <c r="U25" s="99">
        <f>(Q26-Q25)/Q25</f>
        <v>-0.7170790005056692</v>
      </c>
      <c r="V25" s="100">
        <f>(R26-R25)/R25</f>
        <v>-0.69557375147005607</v>
      </c>
    </row>
    <row r="26" spans="1:22" x14ac:dyDescent="0.25">
      <c r="A26" s="97"/>
      <c r="B26" s="45">
        <v>100000000</v>
      </c>
      <c r="C26" s="45">
        <f t="shared" si="0"/>
        <v>1</v>
      </c>
      <c r="D26" s="97"/>
      <c r="E26" s="5" t="s">
        <v>114</v>
      </c>
      <c r="F26">
        <v>4.5919999999999996</v>
      </c>
      <c r="G26">
        <v>1.57</v>
      </c>
      <c r="H26">
        <v>20.16</v>
      </c>
      <c r="I26">
        <v>151.62</v>
      </c>
      <c r="J26">
        <v>7.2094399999999998</v>
      </c>
      <c r="K26">
        <v>92.574719999999999</v>
      </c>
      <c r="L26">
        <v>696.23903999999993</v>
      </c>
      <c r="M26">
        <v>5.2807999999999993</v>
      </c>
      <c r="N26">
        <v>89.911359999999988</v>
      </c>
      <c r="O26">
        <v>275.79552000000001</v>
      </c>
      <c r="P26" s="18">
        <f t="shared" si="1"/>
        <v>5.2807999999999993</v>
      </c>
      <c r="Q26" s="17">
        <f t="shared" si="2"/>
        <v>89.911359999999988</v>
      </c>
      <c r="R26" s="17">
        <f t="shared" si="2"/>
        <v>275.79552000000001</v>
      </c>
      <c r="S26" s="98"/>
      <c r="T26" s="99"/>
      <c r="U26" s="99"/>
      <c r="V26" s="100"/>
    </row>
    <row r="27" spans="1:22" x14ac:dyDescent="0.25">
      <c r="A27" s="97" t="s">
        <v>21</v>
      </c>
      <c r="B27" s="45">
        <v>100000000</v>
      </c>
      <c r="C27" s="45">
        <f t="shared" si="0"/>
        <v>1</v>
      </c>
      <c r="D27" s="124"/>
      <c r="E27" s="5" t="s">
        <v>111</v>
      </c>
      <c r="F27">
        <v>44.048999999999999</v>
      </c>
      <c r="G27">
        <v>1.4</v>
      </c>
      <c r="H27">
        <v>23.43</v>
      </c>
      <c r="I27">
        <v>157.88999999999999</v>
      </c>
      <c r="J27">
        <v>61.668599999999998</v>
      </c>
      <c r="K27">
        <v>1032.06807</v>
      </c>
      <c r="L27">
        <v>6954.8966099999989</v>
      </c>
      <c r="M27">
        <v>43.168019999999999</v>
      </c>
      <c r="N27">
        <v>1006.51965</v>
      </c>
      <c r="O27">
        <v>2844.2439300000001</v>
      </c>
      <c r="P27" s="18">
        <f t="shared" si="1"/>
        <v>43.168019999999999</v>
      </c>
      <c r="Q27" s="17">
        <f t="shared" si="2"/>
        <v>1006.51965</v>
      </c>
      <c r="R27" s="17">
        <f t="shared" si="2"/>
        <v>2844.2439300000001</v>
      </c>
      <c r="S27" s="98">
        <f>(F28-F27)/F27</f>
        <v>-0.34223251379145952</v>
      </c>
      <c r="T27" s="99">
        <f>(P28-P27)/P27</f>
        <v>-0.29524912191942093</v>
      </c>
      <c r="U27" s="99">
        <f>(Q28-Q27)/Q27</f>
        <v>-0.33158157418983331</v>
      </c>
      <c r="V27" s="100">
        <f>(R28-R27)/R27</f>
        <v>-0.34824277888148647</v>
      </c>
    </row>
    <row r="28" spans="1:22" x14ac:dyDescent="0.25">
      <c r="A28" s="97"/>
      <c r="B28" s="45">
        <v>100000000</v>
      </c>
      <c r="C28" s="45">
        <f t="shared" si="0"/>
        <v>1</v>
      </c>
      <c r="D28" s="97"/>
      <c r="E28" s="5" t="s">
        <v>114</v>
      </c>
      <c r="F28">
        <v>28.974</v>
      </c>
      <c r="G28">
        <v>1.47</v>
      </c>
      <c r="H28">
        <v>23.8</v>
      </c>
      <c r="I28">
        <v>157.29</v>
      </c>
      <c r="J28">
        <v>42.59178</v>
      </c>
      <c r="K28">
        <v>689.58120000000008</v>
      </c>
      <c r="L28">
        <v>4557.3204599999999</v>
      </c>
      <c r="M28">
        <v>30.422699999999999</v>
      </c>
      <c r="N28">
        <v>672.77627999999993</v>
      </c>
      <c r="O28">
        <v>1853.7565199999999</v>
      </c>
      <c r="P28" s="18">
        <f t="shared" si="1"/>
        <v>30.422699999999999</v>
      </c>
      <c r="Q28" s="17">
        <f t="shared" si="2"/>
        <v>672.77627999999993</v>
      </c>
      <c r="R28" s="17">
        <f t="shared" si="2"/>
        <v>1853.7565199999999</v>
      </c>
      <c r="S28" s="98"/>
      <c r="T28" s="99"/>
      <c r="U28" s="99"/>
      <c r="V28" s="100"/>
    </row>
    <row r="29" spans="1:22" x14ac:dyDescent="0.25">
      <c r="A29" s="97"/>
      <c r="B29" s="45">
        <v>100000000</v>
      </c>
      <c r="C29" s="45">
        <f t="shared" si="0"/>
        <v>1</v>
      </c>
      <c r="D29" s="97" t="s">
        <v>118</v>
      </c>
      <c r="E29" s="5" t="s">
        <v>111</v>
      </c>
      <c r="F29">
        <v>29.234999999999999</v>
      </c>
      <c r="G29">
        <v>1.44</v>
      </c>
      <c r="H29">
        <v>22.8</v>
      </c>
      <c r="I29">
        <v>153.71</v>
      </c>
      <c r="J29">
        <v>42.098399999999998</v>
      </c>
      <c r="K29">
        <v>666.55799999999999</v>
      </c>
      <c r="L29">
        <v>4493.7118500000006</v>
      </c>
      <c r="M29">
        <v>29.819700000000001</v>
      </c>
      <c r="N29">
        <v>649.60169999999994</v>
      </c>
      <c r="O29">
        <v>1765.5016499999999</v>
      </c>
      <c r="P29" s="18">
        <f t="shared" si="1"/>
        <v>29.819700000000001</v>
      </c>
      <c r="Q29" s="17">
        <f t="shared" si="2"/>
        <v>649.60169999999994</v>
      </c>
      <c r="R29" s="17">
        <f t="shared" si="2"/>
        <v>1765.5016499999999</v>
      </c>
      <c r="S29" s="98">
        <f>(F30-F29)/F29</f>
        <v>-9.8819907644946109E-2</v>
      </c>
      <c r="T29" s="99">
        <f>(P30-P29)/P29</f>
        <v>-7.2314610810973998E-2</v>
      </c>
      <c r="U29" s="99">
        <f>(Q30-Q29)/Q29</f>
        <v>-0.10287562363214238</v>
      </c>
      <c r="V29" s="100">
        <f>(R30-R29)/R29</f>
        <v>-5.9871736738393834E-2</v>
      </c>
    </row>
    <row r="30" spans="1:22" x14ac:dyDescent="0.25">
      <c r="A30" s="97"/>
      <c r="B30" s="45">
        <v>100000000</v>
      </c>
      <c r="C30" s="45">
        <f t="shared" si="0"/>
        <v>1</v>
      </c>
      <c r="D30" s="97"/>
      <c r="E30" s="5" t="s">
        <v>114</v>
      </c>
      <c r="F30">
        <v>26.346</v>
      </c>
      <c r="G30">
        <v>1.47</v>
      </c>
      <c r="H30">
        <v>22.7</v>
      </c>
      <c r="I30">
        <v>156.31</v>
      </c>
      <c r="J30">
        <v>38.728619999999999</v>
      </c>
      <c r="K30">
        <v>598.05420000000004</v>
      </c>
      <c r="L30">
        <v>4118.1432599999998</v>
      </c>
      <c r="M30">
        <v>27.6633</v>
      </c>
      <c r="N30">
        <v>582.77352000000008</v>
      </c>
      <c r="O30">
        <v>1659.798</v>
      </c>
      <c r="P30" s="18">
        <f t="shared" si="1"/>
        <v>27.6633</v>
      </c>
      <c r="Q30" s="17">
        <f t="shared" si="2"/>
        <v>582.77352000000008</v>
      </c>
      <c r="R30" s="17">
        <f t="shared" si="2"/>
        <v>1659.798</v>
      </c>
      <c r="S30" s="98"/>
      <c r="T30" s="99"/>
      <c r="U30" s="99"/>
      <c r="V30" s="100"/>
    </row>
    <row r="31" spans="1:22" x14ac:dyDescent="0.25">
      <c r="A31" s="97" t="s">
        <v>23</v>
      </c>
      <c r="B31" s="45">
        <v>100000000</v>
      </c>
      <c r="C31" s="45">
        <f t="shared" si="0"/>
        <v>1</v>
      </c>
      <c r="D31" s="124"/>
      <c r="E31" s="5" t="s">
        <v>111</v>
      </c>
      <c r="F31">
        <v>10.035</v>
      </c>
      <c r="G31">
        <v>1.39</v>
      </c>
      <c r="H31">
        <v>20.190000000000001</v>
      </c>
      <c r="I31">
        <v>147.30000000000001</v>
      </c>
      <c r="J31">
        <v>13.948650000000001</v>
      </c>
      <c r="K31">
        <v>202.60665</v>
      </c>
      <c r="L31">
        <v>1478.1555000000001</v>
      </c>
      <c r="M31">
        <v>9.7339500000000001</v>
      </c>
      <c r="N31">
        <v>196.78635</v>
      </c>
      <c r="O31">
        <v>575.60760000000005</v>
      </c>
      <c r="P31" s="18">
        <f t="shared" si="1"/>
        <v>9.7339500000000001</v>
      </c>
      <c r="Q31" s="17">
        <f t="shared" si="2"/>
        <v>196.78635</v>
      </c>
      <c r="R31" s="17">
        <f t="shared" si="2"/>
        <v>575.60760000000005</v>
      </c>
      <c r="S31" s="98">
        <f>(F32-F31)/F31</f>
        <v>-0.17937219730941711</v>
      </c>
      <c r="T31" s="99">
        <f>(P32-P31)/P31</f>
        <v>-0.18783227774952627</v>
      </c>
      <c r="U31" s="99">
        <f>(Q32-Q31)/Q31</f>
        <v>-0.18606778366487309</v>
      </c>
      <c r="V31" s="100">
        <f>(R32-R31)/R31</f>
        <v>-0.16992982719477656</v>
      </c>
    </row>
    <row r="32" spans="1:22" x14ac:dyDescent="0.25">
      <c r="A32" s="97"/>
      <c r="B32" s="45">
        <v>100000000</v>
      </c>
      <c r="C32" s="45">
        <f t="shared" si="0"/>
        <v>1</v>
      </c>
      <c r="D32" s="97"/>
      <c r="E32" s="5" t="s">
        <v>114</v>
      </c>
      <c r="F32">
        <v>8.2349999999999994</v>
      </c>
      <c r="G32">
        <v>1.38</v>
      </c>
      <c r="H32">
        <v>20.03</v>
      </c>
      <c r="I32">
        <v>147.96</v>
      </c>
      <c r="J32">
        <v>11.3643</v>
      </c>
      <c r="K32">
        <v>164.94704999999999</v>
      </c>
      <c r="L32">
        <v>1218.4505999999999</v>
      </c>
      <c r="M32">
        <v>7.9055999999999989</v>
      </c>
      <c r="N32">
        <v>160.17075</v>
      </c>
      <c r="O32">
        <v>477.79469999999998</v>
      </c>
      <c r="P32" s="18">
        <f t="shared" si="1"/>
        <v>7.9055999999999989</v>
      </c>
      <c r="Q32" s="17">
        <f t="shared" si="2"/>
        <v>160.17075</v>
      </c>
      <c r="R32" s="17">
        <f t="shared" si="2"/>
        <v>477.79469999999998</v>
      </c>
      <c r="S32" s="98"/>
      <c r="T32" s="99"/>
      <c r="U32" s="99"/>
      <c r="V32" s="100"/>
    </row>
    <row r="33" spans="1:22" x14ac:dyDescent="0.25">
      <c r="A33" s="97"/>
      <c r="B33" s="45">
        <v>100000000</v>
      </c>
      <c r="C33" s="45">
        <f t="shared" si="0"/>
        <v>1</v>
      </c>
      <c r="D33" s="97" t="s">
        <v>118</v>
      </c>
      <c r="E33" s="5" t="s">
        <v>111</v>
      </c>
      <c r="F33">
        <v>5.0970000000000004</v>
      </c>
      <c r="G33">
        <v>1.4</v>
      </c>
      <c r="H33">
        <v>19.3</v>
      </c>
      <c r="I33">
        <v>147.36000000000001</v>
      </c>
      <c r="J33">
        <v>7.1357999999999997</v>
      </c>
      <c r="K33">
        <v>98.372100000000017</v>
      </c>
      <c r="L33">
        <v>751.09392000000014</v>
      </c>
      <c r="M33">
        <v>4.9950599999999996</v>
      </c>
      <c r="N33">
        <v>95.415840000000003</v>
      </c>
      <c r="O33">
        <v>292.66973999999999</v>
      </c>
      <c r="P33" s="18">
        <f t="shared" si="1"/>
        <v>4.9950599999999996</v>
      </c>
      <c r="Q33" s="17">
        <f t="shared" si="2"/>
        <v>95.415840000000003</v>
      </c>
      <c r="R33" s="17">
        <f t="shared" si="2"/>
        <v>292.66973999999999</v>
      </c>
      <c r="S33" s="98">
        <f>(F34-F33)/F33</f>
        <v>-0.16107514224053376</v>
      </c>
      <c r="T33" s="99">
        <f>(P34-P33)/P33</f>
        <v>-0.14395422677605471</v>
      </c>
      <c r="U33" s="99">
        <f>(Q34-Q33)/Q33</f>
        <v>-0.18572304137342388</v>
      </c>
      <c r="V33" s="100">
        <f>(R34-R33)/R33</f>
        <v>-0.16443551697555062</v>
      </c>
    </row>
    <row r="34" spans="1:22" x14ac:dyDescent="0.25">
      <c r="A34" s="97"/>
      <c r="B34" s="45">
        <v>100000000</v>
      </c>
      <c r="C34" s="45">
        <f t="shared" si="0"/>
        <v>1</v>
      </c>
      <c r="D34" s="97"/>
      <c r="E34" s="5" t="s">
        <v>114</v>
      </c>
      <c r="F34">
        <v>4.2759999999999998</v>
      </c>
      <c r="G34">
        <v>1.42</v>
      </c>
      <c r="H34">
        <v>18.75</v>
      </c>
      <c r="I34">
        <v>147.13</v>
      </c>
      <c r="J34">
        <v>6.0719200000000004</v>
      </c>
      <c r="K34">
        <v>80.174999999999997</v>
      </c>
      <c r="L34">
        <v>629.12788</v>
      </c>
      <c r="M34">
        <v>4.2759999999999998</v>
      </c>
      <c r="N34">
        <v>77.69492000000001</v>
      </c>
      <c r="O34">
        <v>244.54444000000001</v>
      </c>
      <c r="P34" s="18">
        <f t="shared" si="1"/>
        <v>4.2759999999999998</v>
      </c>
      <c r="Q34" s="17">
        <f t="shared" si="2"/>
        <v>77.69492000000001</v>
      </c>
      <c r="R34" s="17">
        <f t="shared" si="2"/>
        <v>244.54444000000001</v>
      </c>
      <c r="S34" s="98"/>
      <c r="T34" s="99"/>
      <c r="U34" s="99"/>
      <c r="V34" s="100"/>
    </row>
    <row r="35" spans="1:22" x14ac:dyDescent="0.25">
      <c r="A35" s="97" t="s">
        <v>25</v>
      </c>
      <c r="B35" s="45">
        <v>100000000</v>
      </c>
      <c r="C35" s="45">
        <f t="shared" si="0"/>
        <v>1</v>
      </c>
      <c r="D35" s="124"/>
      <c r="E35" s="5" t="s">
        <v>111</v>
      </c>
      <c r="F35">
        <v>234.32</v>
      </c>
      <c r="G35">
        <v>1.37</v>
      </c>
      <c r="H35">
        <v>22.87</v>
      </c>
      <c r="I35">
        <v>155.26</v>
      </c>
      <c r="J35">
        <v>321.01839999999999</v>
      </c>
      <c r="K35">
        <v>5358.8984</v>
      </c>
      <c r="L35">
        <v>36380.523200000003</v>
      </c>
      <c r="M35">
        <v>222.60400000000001</v>
      </c>
      <c r="N35">
        <v>5222.9928</v>
      </c>
      <c r="O35">
        <v>15146.444799999999</v>
      </c>
      <c r="P35" s="18">
        <f t="shared" si="1"/>
        <v>222.60400000000001</v>
      </c>
      <c r="Q35" s="17">
        <f t="shared" si="2"/>
        <v>5222.9928</v>
      </c>
      <c r="R35" s="17">
        <f t="shared" si="2"/>
        <v>15146.444799999999</v>
      </c>
      <c r="S35" s="98">
        <f>(F36-F35)/F35</f>
        <v>-0.17713383407306249</v>
      </c>
      <c r="T35" s="99">
        <f>(P36-P35)/P35</f>
        <v>-0.18579558318808292</v>
      </c>
      <c r="U35" s="99">
        <f>(Q36-Q35)/Q35</f>
        <v>-0.2007603188731181</v>
      </c>
      <c r="V35" s="100">
        <f>(R36-R35)/R35</f>
        <v>-0.2041214001585375</v>
      </c>
    </row>
    <row r="36" spans="1:22" x14ac:dyDescent="0.25">
      <c r="A36" s="97"/>
      <c r="B36" s="45">
        <v>100000000</v>
      </c>
      <c r="C36" s="45">
        <f t="shared" si="0"/>
        <v>1</v>
      </c>
      <c r="D36" s="97"/>
      <c r="E36" s="5" t="s">
        <v>114</v>
      </c>
      <c r="F36">
        <v>192.81399999999999</v>
      </c>
      <c r="G36">
        <v>1.36</v>
      </c>
      <c r="H36">
        <v>22.23</v>
      </c>
      <c r="I36">
        <v>153.13999999999999</v>
      </c>
      <c r="J36">
        <v>262.22703999999999</v>
      </c>
      <c r="K36">
        <v>4286.25522</v>
      </c>
      <c r="L36">
        <v>29527.535960000001</v>
      </c>
      <c r="M36">
        <v>181.24516</v>
      </c>
      <c r="N36">
        <v>4174.4231</v>
      </c>
      <c r="O36">
        <v>12054.73128</v>
      </c>
      <c r="P36" s="18">
        <f t="shared" si="1"/>
        <v>181.24516</v>
      </c>
      <c r="Q36" s="17">
        <f t="shared" si="2"/>
        <v>4174.4231</v>
      </c>
      <c r="R36" s="17">
        <f t="shared" si="2"/>
        <v>12054.73128</v>
      </c>
      <c r="S36" s="98"/>
      <c r="T36" s="99"/>
      <c r="U36" s="99"/>
      <c r="V36" s="100"/>
    </row>
    <row r="37" spans="1:22" x14ac:dyDescent="0.25">
      <c r="A37" s="97"/>
      <c r="B37" s="45">
        <v>100000000</v>
      </c>
      <c r="C37" s="45">
        <f t="shared" si="0"/>
        <v>1</v>
      </c>
      <c r="D37" s="97" t="s">
        <v>118</v>
      </c>
      <c r="E37" s="5" t="s">
        <v>111</v>
      </c>
      <c r="F37">
        <v>99.337999999999994</v>
      </c>
      <c r="G37">
        <v>1.37</v>
      </c>
      <c r="H37">
        <v>20.71</v>
      </c>
      <c r="I37">
        <v>150.66999999999999</v>
      </c>
      <c r="J37">
        <v>136.09306000000001</v>
      </c>
      <c r="K37">
        <v>2057.28998</v>
      </c>
      <c r="L37">
        <v>14967.256460000001</v>
      </c>
      <c r="M37">
        <v>94.371099999999984</v>
      </c>
      <c r="N37">
        <v>1999.6739399999999</v>
      </c>
      <c r="O37">
        <v>5965.2468999999992</v>
      </c>
      <c r="P37" s="18">
        <f t="shared" si="1"/>
        <v>94.371099999999984</v>
      </c>
      <c r="Q37" s="17">
        <f t="shared" si="2"/>
        <v>1999.6739399999999</v>
      </c>
      <c r="R37" s="17">
        <f t="shared" si="2"/>
        <v>5965.2468999999992</v>
      </c>
      <c r="S37" s="98">
        <f>(F38-F37)/F37</f>
        <v>3.7790170931567023E-2</v>
      </c>
      <c r="T37" s="99">
        <f>(P38-P37)/P37</f>
        <v>2.6866063869129469E-2</v>
      </c>
      <c r="U37" s="99">
        <f>(Q38-Q37)/Q37</f>
        <v>2.4901569702908792E-2</v>
      </c>
      <c r="V37" s="100">
        <f>(R38-R37)/R37</f>
        <v>1.1694198273670959E-2</v>
      </c>
    </row>
    <row r="38" spans="1:22" x14ac:dyDescent="0.25">
      <c r="A38" s="97"/>
      <c r="B38" s="45">
        <v>100000000</v>
      </c>
      <c r="C38" s="45">
        <f t="shared" si="0"/>
        <v>1</v>
      </c>
      <c r="D38" s="97"/>
      <c r="E38" s="5" t="s">
        <v>114</v>
      </c>
      <c r="F38">
        <v>103.092</v>
      </c>
      <c r="G38">
        <v>1.36</v>
      </c>
      <c r="H38">
        <v>20.46</v>
      </c>
      <c r="I38">
        <v>149.16</v>
      </c>
      <c r="J38">
        <v>140.20511999999999</v>
      </c>
      <c r="K38">
        <v>2109.2623199999998</v>
      </c>
      <c r="L38">
        <v>15377.202719999999</v>
      </c>
      <c r="M38">
        <v>96.906479999999988</v>
      </c>
      <c r="N38">
        <v>2049.4689600000002</v>
      </c>
      <c r="O38">
        <v>6035.0056800000002</v>
      </c>
      <c r="P38" s="18">
        <f t="shared" si="1"/>
        <v>96.906479999999988</v>
      </c>
      <c r="Q38" s="17">
        <f t="shared" si="2"/>
        <v>2049.4689600000002</v>
      </c>
      <c r="R38" s="17">
        <f t="shared" si="2"/>
        <v>6035.0056800000002</v>
      </c>
      <c r="S38" s="98"/>
      <c r="T38" s="99"/>
      <c r="U38" s="99"/>
      <c r="V38" s="100"/>
    </row>
    <row r="39" spans="1:22" x14ac:dyDescent="0.25">
      <c r="A39" s="97" t="s">
        <v>31</v>
      </c>
      <c r="B39" s="45">
        <v>100000000</v>
      </c>
      <c r="C39" s="45">
        <f t="shared" si="0"/>
        <v>1</v>
      </c>
      <c r="D39" s="124"/>
      <c r="E39" s="5" t="s">
        <v>111</v>
      </c>
      <c r="F39">
        <v>8.7789999999999999</v>
      </c>
      <c r="G39">
        <v>1.4</v>
      </c>
      <c r="H39">
        <v>20.16</v>
      </c>
      <c r="I39">
        <v>149.83000000000001</v>
      </c>
      <c r="J39">
        <v>12.2906</v>
      </c>
      <c r="K39">
        <v>176.98464000000001</v>
      </c>
      <c r="L39">
        <v>1315.3575699999999</v>
      </c>
      <c r="M39">
        <v>8.6034199999999998</v>
      </c>
      <c r="N39">
        <v>171.89282</v>
      </c>
      <c r="O39">
        <v>497.50592999999998</v>
      </c>
      <c r="P39" s="18">
        <f t="shared" si="1"/>
        <v>8.6034199999999998</v>
      </c>
      <c r="Q39" s="17">
        <f t="shared" si="2"/>
        <v>171.89282</v>
      </c>
      <c r="R39" s="17">
        <f t="shared" si="2"/>
        <v>497.50592999999998</v>
      </c>
      <c r="S39" s="98">
        <f>(F40-F39)/F39</f>
        <v>-8.2241713179177528E-2</v>
      </c>
      <c r="T39" s="99">
        <f>(P40-P39)/P39</f>
        <v>-9.1606593656941057E-2</v>
      </c>
      <c r="U39" s="99">
        <f>(Q40-Q39)/Q39</f>
        <v>-5.6461986021289316E-2</v>
      </c>
      <c r="V39" s="100">
        <f>(R40-R39)/R39</f>
        <v>-3.4952950209055783E-2</v>
      </c>
    </row>
    <row r="40" spans="1:22" x14ac:dyDescent="0.25">
      <c r="A40" s="97"/>
      <c r="B40" s="45">
        <v>100000000</v>
      </c>
      <c r="C40" s="45">
        <f t="shared" si="0"/>
        <v>1</v>
      </c>
      <c r="D40" s="97"/>
      <c r="E40" s="5" t="s">
        <v>114</v>
      </c>
      <c r="F40">
        <v>8.0570000000000004</v>
      </c>
      <c r="G40">
        <v>1.39</v>
      </c>
      <c r="H40">
        <v>20.71</v>
      </c>
      <c r="I40">
        <v>152.75</v>
      </c>
      <c r="J40">
        <v>11.19923</v>
      </c>
      <c r="K40">
        <v>166.86046999999999</v>
      </c>
      <c r="L40">
        <v>1230.7067500000001</v>
      </c>
      <c r="M40">
        <v>7.8152900000000001</v>
      </c>
      <c r="N40">
        <v>162.18741</v>
      </c>
      <c r="O40">
        <v>480.11662999999999</v>
      </c>
      <c r="P40" s="18">
        <f t="shared" si="1"/>
        <v>7.8152900000000001</v>
      </c>
      <c r="Q40" s="17">
        <f t="shared" si="2"/>
        <v>162.18741</v>
      </c>
      <c r="R40" s="17">
        <f t="shared" si="2"/>
        <v>480.11662999999999</v>
      </c>
      <c r="S40" s="98"/>
      <c r="T40" s="99"/>
      <c r="U40" s="99"/>
      <c r="V40" s="100"/>
    </row>
    <row r="41" spans="1:22" x14ac:dyDescent="0.25">
      <c r="A41" s="97"/>
      <c r="B41" s="45">
        <v>100000000</v>
      </c>
      <c r="C41" s="45">
        <f t="shared" si="0"/>
        <v>1</v>
      </c>
      <c r="D41" s="97" t="s">
        <v>118</v>
      </c>
      <c r="E41" s="5" t="s">
        <v>111</v>
      </c>
      <c r="F41">
        <v>4.3979999999999997</v>
      </c>
      <c r="G41">
        <v>1.43</v>
      </c>
      <c r="H41">
        <v>18.989999999999998</v>
      </c>
      <c r="I41">
        <v>149.99</v>
      </c>
      <c r="J41">
        <v>6.2891399999999988</v>
      </c>
      <c r="K41">
        <v>83.518019999999993</v>
      </c>
      <c r="L41">
        <v>659.65602000000001</v>
      </c>
      <c r="M41">
        <v>4.44198</v>
      </c>
      <c r="N41">
        <v>80.967179999999999</v>
      </c>
      <c r="O41">
        <v>249.93834000000001</v>
      </c>
      <c r="P41" s="18">
        <f t="shared" si="1"/>
        <v>4.44198</v>
      </c>
      <c r="Q41" s="17">
        <f t="shared" si="2"/>
        <v>80.967179999999999</v>
      </c>
      <c r="R41" s="17">
        <f t="shared" si="2"/>
        <v>249.93834000000001</v>
      </c>
      <c r="S41" s="98">
        <f>(F42-F41)/F41</f>
        <v>-7.1623465211459653E-2</v>
      </c>
      <c r="T41" s="99">
        <f>(P42-P41)/P41</f>
        <v>-8.0815312090554176E-2</v>
      </c>
      <c r="U41" s="99">
        <f>(Q42-Q41)/Q41</f>
        <v>-5.2965164403650893E-2</v>
      </c>
      <c r="V41" s="100">
        <f>(R42-R41)/R41</f>
        <v>-5.5450796384420298E-2</v>
      </c>
    </row>
    <row r="42" spans="1:22" x14ac:dyDescent="0.25">
      <c r="A42" s="97"/>
      <c r="B42" s="45">
        <v>100000000</v>
      </c>
      <c r="C42" s="45">
        <f t="shared" si="0"/>
        <v>1</v>
      </c>
      <c r="D42" s="97"/>
      <c r="E42" s="5" t="s">
        <v>114</v>
      </c>
      <c r="F42">
        <v>4.0830000000000002</v>
      </c>
      <c r="G42">
        <v>1.42</v>
      </c>
      <c r="H42">
        <v>19.36</v>
      </c>
      <c r="I42">
        <v>150.97999999999999</v>
      </c>
      <c r="J42">
        <v>5.79786</v>
      </c>
      <c r="K42">
        <v>79.046880000000002</v>
      </c>
      <c r="L42">
        <v>616.45133999999996</v>
      </c>
      <c r="M42">
        <v>4.0830000000000002</v>
      </c>
      <c r="N42">
        <v>76.678740000000005</v>
      </c>
      <c r="O42">
        <v>236.07906</v>
      </c>
      <c r="P42" s="18">
        <f t="shared" si="1"/>
        <v>4.0830000000000002</v>
      </c>
      <c r="Q42" s="17">
        <f t="shared" si="2"/>
        <v>76.678740000000005</v>
      </c>
      <c r="R42" s="17">
        <f t="shared" si="2"/>
        <v>236.07906</v>
      </c>
      <c r="S42" s="98"/>
      <c r="T42" s="99"/>
      <c r="U42" s="99"/>
      <c r="V42" s="100"/>
    </row>
    <row r="43" spans="1:22" x14ac:dyDescent="0.25">
      <c r="A43" s="97" t="s">
        <v>33</v>
      </c>
      <c r="B43" s="45">
        <v>100000000</v>
      </c>
      <c r="C43" s="45">
        <f t="shared" si="0"/>
        <v>1</v>
      </c>
      <c r="D43" s="124"/>
      <c r="E43" s="5" t="s">
        <v>111</v>
      </c>
      <c r="F43">
        <v>8.4120000000000008</v>
      </c>
      <c r="G43">
        <v>1.43</v>
      </c>
      <c r="H43">
        <v>20.78</v>
      </c>
      <c r="I43">
        <v>153.93</v>
      </c>
      <c r="J43">
        <v>12.029159999999999</v>
      </c>
      <c r="K43">
        <v>174.80135999999999</v>
      </c>
      <c r="L43">
        <v>1294.85916</v>
      </c>
      <c r="M43">
        <v>8.4961200000000012</v>
      </c>
      <c r="N43">
        <v>169.92240000000001</v>
      </c>
      <c r="O43">
        <v>487.05480000000011</v>
      </c>
      <c r="P43" s="18">
        <f t="shared" si="1"/>
        <v>8.4961200000000012</v>
      </c>
      <c r="Q43" s="17">
        <f t="shared" si="2"/>
        <v>169.92240000000001</v>
      </c>
      <c r="R43" s="17">
        <f t="shared" si="2"/>
        <v>487.05480000000011</v>
      </c>
      <c r="S43" s="98">
        <f>(F44-F43)/F43</f>
        <v>3.0551592962434575E-2</v>
      </c>
      <c r="T43" s="99">
        <f>(P44-P43)/P43</f>
        <v>1.0144630725554538E-2</v>
      </c>
      <c r="U43" s="99">
        <f>(Q44-Q43)/Q43</f>
        <v>5.2999251423002387E-2</v>
      </c>
      <c r="V43" s="100">
        <f>(R44-R43)/R43</f>
        <v>4.8706387864363328E-2</v>
      </c>
    </row>
    <row r="44" spans="1:22" x14ac:dyDescent="0.25">
      <c r="A44" s="97"/>
      <c r="B44" s="45">
        <v>100000000</v>
      </c>
      <c r="C44" s="45">
        <f t="shared" si="0"/>
        <v>1</v>
      </c>
      <c r="D44" s="97"/>
      <c r="E44" s="5" t="s">
        <v>114</v>
      </c>
      <c r="F44">
        <v>8.6690000000000005</v>
      </c>
      <c r="G44">
        <v>1.41</v>
      </c>
      <c r="H44">
        <v>21.22</v>
      </c>
      <c r="I44">
        <v>154.94999999999999</v>
      </c>
      <c r="J44">
        <v>12.22329</v>
      </c>
      <c r="K44">
        <v>183.95617999999999</v>
      </c>
      <c r="L44">
        <v>1343.2615499999999</v>
      </c>
      <c r="M44">
        <v>8.5823099999999997</v>
      </c>
      <c r="N44">
        <v>178.92815999999999</v>
      </c>
      <c r="O44">
        <v>510.77748000000003</v>
      </c>
      <c r="P44" s="18">
        <f t="shared" si="1"/>
        <v>8.5823099999999997</v>
      </c>
      <c r="Q44" s="17">
        <f t="shared" si="2"/>
        <v>178.92815999999999</v>
      </c>
      <c r="R44" s="17">
        <f t="shared" si="2"/>
        <v>510.77748000000003</v>
      </c>
      <c r="S44" s="98"/>
      <c r="T44" s="99"/>
      <c r="U44" s="99"/>
      <c r="V44" s="100"/>
    </row>
    <row r="45" spans="1:22" x14ac:dyDescent="0.25">
      <c r="A45" s="97"/>
      <c r="B45" s="45">
        <v>100000000</v>
      </c>
      <c r="C45" s="45">
        <f t="shared" si="0"/>
        <v>1</v>
      </c>
      <c r="D45" s="97" t="s">
        <v>118</v>
      </c>
      <c r="E45" s="5" t="s">
        <v>111</v>
      </c>
      <c r="F45">
        <v>4.3099999999999996</v>
      </c>
      <c r="G45">
        <v>1.45</v>
      </c>
      <c r="H45">
        <v>19.62</v>
      </c>
      <c r="I45">
        <v>152.72</v>
      </c>
      <c r="J45">
        <v>6.2494999999999994</v>
      </c>
      <c r="K45">
        <v>84.56219999999999</v>
      </c>
      <c r="L45">
        <v>658.22319999999991</v>
      </c>
      <c r="M45">
        <v>4.4392999999999994</v>
      </c>
      <c r="N45">
        <v>82.062399999999982</v>
      </c>
      <c r="O45">
        <v>244.37700000000001</v>
      </c>
      <c r="P45" s="18">
        <f t="shared" si="1"/>
        <v>4.4392999999999994</v>
      </c>
      <c r="Q45" s="17">
        <f t="shared" si="2"/>
        <v>82.062399999999982</v>
      </c>
      <c r="R45" s="17">
        <f t="shared" si="2"/>
        <v>244.37700000000001</v>
      </c>
      <c r="S45" s="98">
        <f>(F46-F45)/F45</f>
        <v>0.17911832946635739</v>
      </c>
      <c r="T45" s="99">
        <f>(P46-P45)/P45</f>
        <v>0.15622282792332134</v>
      </c>
      <c r="U45" s="99">
        <f>(Q46-Q45)/Q45</f>
        <v>0.21627541968063352</v>
      </c>
      <c r="V45" s="100">
        <f>(R46-R45)/R45</f>
        <v>0.19346738850219125</v>
      </c>
    </row>
    <row r="46" spans="1:22" x14ac:dyDescent="0.25">
      <c r="A46" s="97"/>
      <c r="B46" s="45">
        <v>100000000</v>
      </c>
      <c r="C46" s="45">
        <f t="shared" si="0"/>
        <v>1</v>
      </c>
      <c r="D46" s="97"/>
      <c r="E46" s="5" t="s">
        <v>114</v>
      </c>
      <c r="F46">
        <v>5.0819999999999999</v>
      </c>
      <c r="G46">
        <v>1.43</v>
      </c>
      <c r="H46">
        <v>20.22</v>
      </c>
      <c r="I46">
        <v>153.41</v>
      </c>
      <c r="J46">
        <v>7.2672599999999994</v>
      </c>
      <c r="K46">
        <v>102.75803999999999</v>
      </c>
      <c r="L46">
        <v>779.62961999999993</v>
      </c>
      <c r="M46">
        <v>5.1328199999999997</v>
      </c>
      <c r="N46">
        <v>99.810479999999998</v>
      </c>
      <c r="O46">
        <v>291.65598</v>
      </c>
      <c r="P46" s="18">
        <f t="shared" si="1"/>
        <v>5.1328199999999997</v>
      </c>
      <c r="Q46" s="17">
        <f t="shared" si="2"/>
        <v>99.810479999999998</v>
      </c>
      <c r="R46" s="17">
        <f t="shared" si="2"/>
        <v>291.65598</v>
      </c>
      <c r="S46" s="98"/>
      <c r="T46" s="99"/>
      <c r="U46" s="99"/>
      <c r="V46" s="100"/>
    </row>
    <row r="47" spans="1:22" x14ac:dyDescent="0.25">
      <c r="A47" s="125" t="s">
        <v>37</v>
      </c>
      <c r="B47" s="45">
        <v>100000000</v>
      </c>
      <c r="C47" s="45">
        <f t="shared" si="0"/>
        <v>1</v>
      </c>
      <c r="D47" s="125"/>
      <c r="E47" s="5" t="s">
        <v>111</v>
      </c>
      <c r="F47">
        <v>129.93700000000001</v>
      </c>
      <c r="G47">
        <v>1.42</v>
      </c>
      <c r="H47">
        <v>21.73</v>
      </c>
      <c r="I47">
        <v>151.63999999999999</v>
      </c>
      <c r="J47">
        <v>184.51053999999999</v>
      </c>
      <c r="K47">
        <v>2823.5310100000002</v>
      </c>
      <c r="L47">
        <v>19703.646680000002</v>
      </c>
      <c r="M47">
        <v>129.93700000000001</v>
      </c>
      <c r="N47">
        <v>2748.1675500000001</v>
      </c>
      <c r="O47">
        <v>7536.3459999999995</v>
      </c>
      <c r="P47" s="18">
        <f t="shared" si="1"/>
        <v>129.93700000000001</v>
      </c>
      <c r="Q47" s="17">
        <f t="shared" si="2"/>
        <v>2748.1675500000001</v>
      </c>
      <c r="R47" s="17">
        <f t="shared" si="2"/>
        <v>7536.3459999999995</v>
      </c>
      <c r="S47" s="98">
        <f>(F48-F47)/F47</f>
        <v>2.7590293757743977E-2</v>
      </c>
      <c r="T47" s="99">
        <f>(P48-P47)/P47</f>
        <v>-3.2374150549881711E-3</v>
      </c>
      <c r="U47" s="99">
        <f>(Q48-Q47)/Q47</f>
        <v>5.7266704863027651E-3</v>
      </c>
      <c r="V47" s="100">
        <f>(R48-R47)/R47</f>
        <v>8.101512324407624E-3</v>
      </c>
    </row>
    <row r="48" spans="1:22" x14ac:dyDescent="0.25">
      <c r="A48" s="126"/>
      <c r="B48" s="45">
        <v>100000000</v>
      </c>
      <c r="C48" s="45">
        <f t="shared" si="0"/>
        <v>1</v>
      </c>
      <c r="D48" s="124"/>
      <c r="E48" s="5" t="s">
        <v>114</v>
      </c>
      <c r="F48">
        <v>133.52199999999999</v>
      </c>
      <c r="G48">
        <v>1.39</v>
      </c>
      <c r="H48">
        <v>21.28</v>
      </c>
      <c r="I48">
        <v>150.54</v>
      </c>
      <c r="J48">
        <v>185.59558000000001</v>
      </c>
      <c r="K48">
        <v>2841.34816</v>
      </c>
      <c r="L48">
        <v>20100.401880000001</v>
      </c>
      <c r="M48">
        <v>129.51634000000001</v>
      </c>
      <c r="N48">
        <v>2763.9054000000001</v>
      </c>
      <c r="O48">
        <v>7597.4017999999996</v>
      </c>
      <c r="P48" s="18">
        <f t="shared" si="1"/>
        <v>129.51634000000001</v>
      </c>
      <c r="Q48" s="17">
        <f t="shared" si="2"/>
        <v>2763.9054000000001</v>
      </c>
      <c r="R48" s="17">
        <f t="shared" si="2"/>
        <v>7597.4017999999996</v>
      </c>
      <c r="S48" s="98"/>
      <c r="T48" s="99"/>
      <c r="U48" s="99"/>
      <c r="V48" s="100"/>
    </row>
    <row r="49" spans="1:22" x14ac:dyDescent="0.25">
      <c r="A49" s="126"/>
      <c r="B49" s="45">
        <v>100000000</v>
      </c>
      <c r="C49" s="45">
        <f t="shared" si="0"/>
        <v>1</v>
      </c>
      <c r="D49" s="125" t="s">
        <v>118</v>
      </c>
      <c r="E49" s="5" t="s">
        <v>111</v>
      </c>
      <c r="F49">
        <v>124.295</v>
      </c>
      <c r="G49">
        <v>1.4</v>
      </c>
      <c r="H49">
        <v>21.72</v>
      </c>
      <c r="I49">
        <v>152.43</v>
      </c>
      <c r="J49">
        <v>174.01300000000001</v>
      </c>
      <c r="K49">
        <v>2699.6873999999998</v>
      </c>
      <c r="L49">
        <v>18946.28685</v>
      </c>
      <c r="M49">
        <v>121.8091</v>
      </c>
      <c r="N49">
        <v>2627.5963000000002</v>
      </c>
      <c r="O49">
        <v>7307.3030500000004</v>
      </c>
      <c r="P49" s="18">
        <f t="shared" si="1"/>
        <v>121.8091</v>
      </c>
      <c r="Q49" s="17">
        <f t="shared" si="2"/>
        <v>2627.5963000000002</v>
      </c>
      <c r="R49" s="17">
        <f t="shared" si="2"/>
        <v>7307.3030500000004</v>
      </c>
      <c r="S49" s="98">
        <f>(F50-F49)/F49</f>
        <v>1.6814835673196856E-2</v>
      </c>
      <c r="T49" s="99">
        <f>(P50-P49)/P49</f>
        <v>-3.9364875038071998E-3</v>
      </c>
      <c r="U49" s="99">
        <f>(Q50-Q49)/Q49</f>
        <v>-6.7537201205528398E-3</v>
      </c>
      <c r="V49" s="100">
        <f>(R50-R49)/R49</f>
        <v>-2.4175998831744129E-2</v>
      </c>
    </row>
    <row r="50" spans="1:22" x14ac:dyDescent="0.25">
      <c r="A50" s="124"/>
      <c r="B50" s="45">
        <v>100000000</v>
      </c>
      <c r="C50" s="45">
        <f t="shared" si="0"/>
        <v>1</v>
      </c>
      <c r="D50" s="124"/>
      <c r="E50" s="5" t="s">
        <v>114</v>
      </c>
      <c r="F50">
        <v>126.38500000000001</v>
      </c>
      <c r="G50">
        <v>1.38</v>
      </c>
      <c r="H50">
        <v>21.23</v>
      </c>
      <c r="I50">
        <v>150.06</v>
      </c>
      <c r="J50">
        <v>174.41130000000001</v>
      </c>
      <c r="K50">
        <v>2683.15355</v>
      </c>
      <c r="L50">
        <v>18965.3331</v>
      </c>
      <c r="M50">
        <v>121.3296</v>
      </c>
      <c r="N50">
        <v>2609.85025</v>
      </c>
      <c r="O50">
        <v>7130.6417000000001</v>
      </c>
      <c r="P50" s="18">
        <f t="shared" si="1"/>
        <v>121.3296</v>
      </c>
      <c r="Q50" s="17">
        <f t="shared" si="2"/>
        <v>2609.85025</v>
      </c>
      <c r="R50" s="17">
        <f t="shared" si="2"/>
        <v>7130.6417000000001</v>
      </c>
      <c r="S50" s="98"/>
      <c r="T50" s="99"/>
      <c r="U50" s="99"/>
      <c r="V50" s="100"/>
    </row>
    <row r="51" spans="1:22" x14ac:dyDescent="0.25">
      <c r="A51" s="97" t="s">
        <v>39</v>
      </c>
      <c r="B51" s="45">
        <v>100000000</v>
      </c>
      <c r="C51" s="45">
        <f t="shared" si="0"/>
        <v>1</v>
      </c>
      <c r="D51" s="124"/>
      <c r="E51" s="5" t="s">
        <v>111</v>
      </c>
      <c r="F51">
        <v>69.477000000000004</v>
      </c>
      <c r="G51">
        <v>1.52</v>
      </c>
      <c r="H51">
        <v>24.09</v>
      </c>
      <c r="I51">
        <v>156.1</v>
      </c>
      <c r="J51">
        <v>105.60504</v>
      </c>
      <c r="K51">
        <v>1673.70093</v>
      </c>
      <c r="L51">
        <v>10845.359700000001</v>
      </c>
      <c r="M51">
        <v>76.424700000000016</v>
      </c>
      <c r="N51">
        <v>1633.40427</v>
      </c>
      <c r="O51">
        <v>4629.2525100000003</v>
      </c>
      <c r="P51" s="18">
        <f t="shared" si="1"/>
        <v>76.424700000000016</v>
      </c>
      <c r="Q51" s="17">
        <f t="shared" si="2"/>
        <v>1633.40427</v>
      </c>
      <c r="R51" s="17">
        <f t="shared" si="2"/>
        <v>4629.2525100000003</v>
      </c>
      <c r="S51" s="98">
        <f>(F52-F51)/F51</f>
        <v>-0.11972307382299184</v>
      </c>
      <c r="T51" s="99">
        <f>(P52-P51)/P51</f>
        <v>-0.10371803880159179</v>
      </c>
      <c r="U51" s="99">
        <f>(Q52-Q51)/Q51</f>
        <v>-0.11073683552939415</v>
      </c>
      <c r="V51" s="100">
        <f>(R52-R51)/R51</f>
        <v>-9.3432347677227884E-2</v>
      </c>
    </row>
    <row r="52" spans="1:22" x14ac:dyDescent="0.25">
      <c r="A52" s="97"/>
      <c r="B52" s="45">
        <v>100000000</v>
      </c>
      <c r="C52" s="45">
        <f t="shared" si="0"/>
        <v>1</v>
      </c>
      <c r="D52" s="97"/>
      <c r="E52" s="5" t="s">
        <v>114</v>
      </c>
      <c r="F52">
        <v>61.158999999999999</v>
      </c>
      <c r="G52">
        <v>1.54</v>
      </c>
      <c r="H52">
        <v>24.33</v>
      </c>
      <c r="I52">
        <v>158.08000000000001</v>
      </c>
      <c r="J52">
        <v>94.18486</v>
      </c>
      <c r="K52">
        <v>1487.99847</v>
      </c>
      <c r="L52">
        <v>9668.014720000001</v>
      </c>
      <c r="M52">
        <v>68.498080000000002</v>
      </c>
      <c r="N52">
        <v>1452.5262499999999</v>
      </c>
      <c r="O52">
        <v>4196.7305800000004</v>
      </c>
      <c r="P52" s="18">
        <f t="shared" si="1"/>
        <v>68.498080000000002</v>
      </c>
      <c r="Q52" s="17">
        <f t="shared" si="2"/>
        <v>1452.5262499999999</v>
      </c>
      <c r="R52" s="17">
        <f t="shared" si="2"/>
        <v>4196.7305800000004</v>
      </c>
      <c r="S52" s="98"/>
      <c r="T52" s="99"/>
      <c r="U52" s="99"/>
      <c r="V52" s="100"/>
    </row>
    <row r="53" spans="1:22" x14ac:dyDescent="0.25">
      <c r="A53" s="97"/>
      <c r="B53" s="45">
        <v>100000000</v>
      </c>
      <c r="C53" s="45">
        <f t="shared" si="0"/>
        <v>1</v>
      </c>
      <c r="D53" s="97" t="s">
        <v>118</v>
      </c>
      <c r="E53" s="5" t="s">
        <v>111</v>
      </c>
      <c r="F53">
        <v>64.256</v>
      </c>
      <c r="G53">
        <v>1.53</v>
      </c>
      <c r="H53">
        <v>23.77</v>
      </c>
      <c r="I53">
        <v>153.55000000000001</v>
      </c>
      <c r="J53">
        <v>98.311679999999996</v>
      </c>
      <c r="K53">
        <v>1527.3651199999999</v>
      </c>
      <c r="L53">
        <v>9866.5088000000014</v>
      </c>
      <c r="M53">
        <v>71.324160000000006</v>
      </c>
      <c r="N53">
        <v>1490.09664</v>
      </c>
      <c r="O53">
        <v>4117.52448</v>
      </c>
      <c r="P53" s="18">
        <f t="shared" si="1"/>
        <v>71.324160000000006</v>
      </c>
      <c r="Q53" s="17">
        <f t="shared" si="2"/>
        <v>1490.09664</v>
      </c>
      <c r="R53" s="17">
        <f t="shared" si="2"/>
        <v>4117.52448</v>
      </c>
      <c r="S53" s="98">
        <f>(F54-F53)/F53</f>
        <v>7.1370766932270888E-2</v>
      </c>
      <c r="T53" s="99">
        <f>(P54-P53)/P53</f>
        <v>8.1022755823552645E-2</v>
      </c>
      <c r="U53" s="99">
        <f>(Q54-Q53)/Q53</f>
        <v>5.8434854265559576E-2</v>
      </c>
      <c r="V53" s="100">
        <f>(R54-R53)/R53</f>
        <v>0.14710905616765138</v>
      </c>
    </row>
    <row r="54" spans="1:22" x14ac:dyDescent="0.25">
      <c r="A54" s="97"/>
      <c r="B54" s="45">
        <v>100000000</v>
      </c>
      <c r="C54" s="45">
        <f t="shared" si="0"/>
        <v>1</v>
      </c>
      <c r="D54" s="97"/>
      <c r="E54" s="5" t="s">
        <v>114</v>
      </c>
      <c r="F54">
        <v>68.841999999999999</v>
      </c>
      <c r="G54">
        <v>1.54</v>
      </c>
      <c r="H54">
        <v>23.49</v>
      </c>
      <c r="I54">
        <v>158.08000000000001</v>
      </c>
      <c r="J54">
        <v>106.01667999999999</v>
      </c>
      <c r="K54">
        <v>1617.0985800000001</v>
      </c>
      <c r="L54">
        <v>10882.54336</v>
      </c>
      <c r="M54">
        <v>77.103040000000007</v>
      </c>
      <c r="N54">
        <v>1577.17022</v>
      </c>
      <c r="O54">
        <v>4723.2496199999996</v>
      </c>
      <c r="P54" s="18">
        <f t="shared" si="1"/>
        <v>77.103040000000007</v>
      </c>
      <c r="Q54" s="17">
        <f t="shared" si="2"/>
        <v>1577.17022</v>
      </c>
      <c r="R54" s="17">
        <f t="shared" si="2"/>
        <v>4723.2496199999996</v>
      </c>
      <c r="S54" s="98"/>
      <c r="T54" s="99"/>
      <c r="U54" s="99"/>
      <c r="V54" s="100"/>
    </row>
    <row r="55" spans="1:22" x14ac:dyDescent="0.25">
      <c r="A55" s="97" t="s">
        <v>49</v>
      </c>
      <c r="B55" s="45">
        <v>100000000</v>
      </c>
      <c r="C55" s="45">
        <f t="shared" si="0"/>
        <v>1</v>
      </c>
      <c r="D55" s="124"/>
      <c r="E55" s="5" t="s">
        <v>111</v>
      </c>
      <c r="F55">
        <v>180.571</v>
      </c>
      <c r="G55">
        <v>1.36</v>
      </c>
      <c r="H55">
        <v>20.75</v>
      </c>
      <c r="I55">
        <v>150.85</v>
      </c>
      <c r="J55">
        <v>245.57656</v>
      </c>
      <c r="K55">
        <v>3746.84825</v>
      </c>
      <c r="L55">
        <v>27239.13535</v>
      </c>
      <c r="M55">
        <v>214.87949</v>
      </c>
      <c r="N55">
        <v>3642.1170699999998</v>
      </c>
      <c r="O55">
        <v>10698.831749999999</v>
      </c>
      <c r="P55" s="18">
        <f t="shared" si="1"/>
        <v>214.87949</v>
      </c>
      <c r="Q55" s="17">
        <f t="shared" si="2"/>
        <v>3642.1170699999998</v>
      </c>
      <c r="R55" s="17">
        <f t="shared" si="2"/>
        <v>10698.831749999999</v>
      </c>
      <c r="S55" s="98">
        <f>(F56-F55)/F55</f>
        <v>-6.1504892812245568E-2</v>
      </c>
      <c r="T55" s="99">
        <f>(P56-P55)/P55</f>
        <v>-6.9391406318025012E-2</v>
      </c>
      <c r="U55" s="99">
        <f>(Q56-Q55)/Q55</f>
        <v>-5.7317259711258998E-2</v>
      </c>
      <c r="V55" s="100">
        <f>(R56-R55)/R55</f>
        <v>-6.8791099551593515E-2</v>
      </c>
    </row>
    <row r="56" spans="1:22" x14ac:dyDescent="0.25">
      <c r="A56" s="97"/>
      <c r="B56" s="45">
        <v>100000000</v>
      </c>
      <c r="C56" s="45">
        <f t="shared" si="0"/>
        <v>1</v>
      </c>
      <c r="D56" s="97"/>
      <c r="E56" s="5" t="s">
        <v>114</v>
      </c>
      <c r="F56">
        <v>169.465</v>
      </c>
      <c r="G56">
        <v>1.35</v>
      </c>
      <c r="H56">
        <v>20.84</v>
      </c>
      <c r="I56">
        <v>150.4</v>
      </c>
      <c r="J56">
        <v>228.77775</v>
      </c>
      <c r="K56">
        <v>3531.6505999999999</v>
      </c>
      <c r="L56">
        <v>25487.536</v>
      </c>
      <c r="M56">
        <v>199.96870000000001</v>
      </c>
      <c r="N56">
        <v>3433.3609000000001</v>
      </c>
      <c r="O56">
        <v>9962.84735</v>
      </c>
      <c r="P56" s="18">
        <f t="shared" si="1"/>
        <v>199.96870000000001</v>
      </c>
      <c r="Q56" s="17">
        <f t="shared" si="2"/>
        <v>3433.3609000000001</v>
      </c>
      <c r="R56" s="17">
        <f t="shared" si="2"/>
        <v>9962.84735</v>
      </c>
      <c r="S56" s="98"/>
      <c r="T56" s="99"/>
      <c r="U56" s="99"/>
      <c r="V56" s="100"/>
    </row>
    <row r="57" spans="1:22" x14ac:dyDescent="0.25">
      <c r="A57" s="97"/>
      <c r="B57" s="45">
        <v>100000000</v>
      </c>
      <c r="C57" s="45">
        <f t="shared" si="0"/>
        <v>1</v>
      </c>
      <c r="D57" s="97" t="s">
        <v>118</v>
      </c>
      <c r="E57" s="5" t="s">
        <v>111</v>
      </c>
      <c r="F57">
        <v>158.15899999999999</v>
      </c>
      <c r="G57">
        <v>1.35</v>
      </c>
      <c r="H57">
        <v>21.37</v>
      </c>
      <c r="I57">
        <v>151.87</v>
      </c>
      <c r="J57">
        <v>213.51464999999999</v>
      </c>
      <c r="K57">
        <v>3379.8578299999999</v>
      </c>
      <c r="L57">
        <v>24019.607329999999</v>
      </c>
      <c r="M57">
        <v>186.62762000000001</v>
      </c>
      <c r="N57">
        <v>3288.1256100000001</v>
      </c>
      <c r="O57">
        <v>9532.2429300000003</v>
      </c>
      <c r="P57" s="18">
        <f t="shared" si="1"/>
        <v>186.62762000000001</v>
      </c>
      <c r="Q57" s="17">
        <f t="shared" si="2"/>
        <v>3288.1256100000001</v>
      </c>
      <c r="R57" s="17">
        <f t="shared" si="2"/>
        <v>9532.2429300000003</v>
      </c>
      <c r="S57" s="98">
        <f>(F58-F57)/F57</f>
        <v>-6.718555377815999E-2</v>
      </c>
      <c r="T57" s="99">
        <f>(P58-P57)/P57</f>
        <v>-6.7185553778159948E-2</v>
      </c>
      <c r="U57" s="99">
        <f>(Q58-Q57)/Q57</f>
        <v>-8.0646079697667364E-2</v>
      </c>
      <c r="V57" s="100">
        <f>(R58-R57)/R57</f>
        <v>-0.10324756903777324</v>
      </c>
    </row>
    <row r="58" spans="1:22" x14ac:dyDescent="0.25">
      <c r="A58" s="97"/>
      <c r="B58" s="45">
        <v>100000000</v>
      </c>
      <c r="C58" s="45">
        <f t="shared" si="0"/>
        <v>1</v>
      </c>
      <c r="D58" s="97"/>
      <c r="E58" s="5" t="s">
        <v>114</v>
      </c>
      <c r="F58">
        <v>147.53299999999999</v>
      </c>
      <c r="G58">
        <v>1.35</v>
      </c>
      <c r="H58">
        <v>21.07</v>
      </c>
      <c r="I58">
        <v>149.55000000000001</v>
      </c>
      <c r="J58">
        <v>199.16954999999999</v>
      </c>
      <c r="K58">
        <v>3108.5203099999999</v>
      </c>
      <c r="L58">
        <v>22063.560150000001</v>
      </c>
      <c r="M58">
        <v>174.08894000000001</v>
      </c>
      <c r="N58">
        <v>3022.9511699999989</v>
      </c>
      <c r="O58">
        <v>8548.0620199999994</v>
      </c>
      <c r="P58" s="18">
        <f t="shared" si="1"/>
        <v>174.08894000000001</v>
      </c>
      <c r="Q58" s="17">
        <f t="shared" si="2"/>
        <v>3022.9511699999989</v>
      </c>
      <c r="R58" s="17">
        <f t="shared" si="2"/>
        <v>8548.0620199999994</v>
      </c>
      <c r="S58" s="98"/>
      <c r="T58" s="99"/>
      <c r="U58" s="99"/>
      <c r="V58" s="100"/>
    </row>
    <row r="59" spans="1:22" x14ac:dyDescent="0.25">
      <c r="A59" s="97" t="s">
        <v>51</v>
      </c>
      <c r="B59" s="45">
        <v>100000000</v>
      </c>
      <c r="C59" s="45">
        <f t="shared" si="0"/>
        <v>1</v>
      </c>
      <c r="D59" s="124"/>
      <c r="E59" s="5" t="s">
        <v>111</v>
      </c>
      <c r="F59">
        <v>175.72200000000001</v>
      </c>
      <c r="G59">
        <v>4.09</v>
      </c>
      <c r="H59">
        <v>25.93</v>
      </c>
      <c r="I59">
        <v>149.18</v>
      </c>
      <c r="J59">
        <v>718.70298000000003</v>
      </c>
      <c r="K59">
        <v>4556.4714599999998</v>
      </c>
      <c r="L59">
        <v>26214.20796</v>
      </c>
      <c r="M59">
        <v>644.89974000000007</v>
      </c>
      <c r="N59">
        <v>4454.5527000000002</v>
      </c>
      <c r="O59">
        <v>10378.141320000001</v>
      </c>
      <c r="P59" s="18">
        <f t="shared" si="1"/>
        <v>644.89974000000007</v>
      </c>
      <c r="Q59" s="17">
        <f t="shared" si="2"/>
        <v>4454.5527000000002</v>
      </c>
      <c r="R59" s="17">
        <f t="shared" si="2"/>
        <v>10378.141320000001</v>
      </c>
      <c r="S59" s="98">
        <f>(F60-F59)/F59</f>
        <v>-0.25899432057454386</v>
      </c>
      <c r="T59" s="99">
        <f>(P60-P59)/P59</f>
        <v>-0.24284160821649589</v>
      </c>
      <c r="U59" s="99">
        <f>(Q60-Q59)/Q59</f>
        <v>-0.24759423319876767</v>
      </c>
      <c r="V59" s="100">
        <f>(R60-R59)/R59</f>
        <v>-0.24193086436020894</v>
      </c>
    </row>
    <row r="60" spans="1:22" x14ac:dyDescent="0.25">
      <c r="A60" s="97"/>
      <c r="B60" s="45">
        <v>100000000</v>
      </c>
      <c r="C60" s="45">
        <f t="shared" si="0"/>
        <v>1</v>
      </c>
      <c r="D60" s="97"/>
      <c r="E60" s="5" t="s">
        <v>114</v>
      </c>
      <c r="F60">
        <v>130.21100000000001</v>
      </c>
      <c r="G60">
        <v>4.17</v>
      </c>
      <c r="H60">
        <v>26.32</v>
      </c>
      <c r="I60">
        <v>150.54</v>
      </c>
      <c r="J60">
        <v>542.97987000000001</v>
      </c>
      <c r="K60">
        <v>3427.1535199999998</v>
      </c>
      <c r="L60">
        <v>19601.963940000001</v>
      </c>
      <c r="M60">
        <v>488.29124999999999</v>
      </c>
      <c r="N60">
        <v>3351.63114</v>
      </c>
      <c r="O60">
        <v>7867.3486200000007</v>
      </c>
      <c r="P60" s="18">
        <f t="shared" si="1"/>
        <v>488.29124999999999</v>
      </c>
      <c r="Q60" s="17">
        <f t="shared" si="2"/>
        <v>3351.63114</v>
      </c>
      <c r="R60" s="17">
        <f t="shared" si="2"/>
        <v>7867.3486200000007</v>
      </c>
      <c r="S60" s="98"/>
      <c r="T60" s="99"/>
      <c r="U60" s="99"/>
      <c r="V60" s="100"/>
    </row>
    <row r="61" spans="1:22" x14ac:dyDescent="0.25">
      <c r="A61" s="97"/>
      <c r="B61" s="45">
        <v>100000000</v>
      </c>
      <c r="C61" s="45">
        <f t="shared" si="0"/>
        <v>1</v>
      </c>
      <c r="D61" s="97" t="s">
        <v>118</v>
      </c>
      <c r="E61" s="5" t="s">
        <v>111</v>
      </c>
      <c r="F61">
        <v>153.12299999999999</v>
      </c>
      <c r="G61">
        <v>4.16</v>
      </c>
      <c r="H61">
        <v>26.31</v>
      </c>
      <c r="I61">
        <v>149.66</v>
      </c>
      <c r="J61">
        <v>636.99167999999997</v>
      </c>
      <c r="K61">
        <v>4028.6661300000001</v>
      </c>
      <c r="L61">
        <v>22916.388180000002</v>
      </c>
      <c r="M61">
        <v>572.68002000000001</v>
      </c>
      <c r="N61">
        <v>3939.8547899999999</v>
      </c>
      <c r="O61">
        <v>9116.9434199999996</v>
      </c>
      <c r="P61" s="18">
        <f t="shared" si="1"/>
        <v>572.68002000000001</v>
      </c>
      <c r="Q61" s="17">
        <f t="shared" si="2"/>
        <v>3939.8547899999999</v>
      </c>
      <c r="R61" s="17">
        <f t="shared" si="2"/>
        <v>9116.9434199999996</v>
      </c>
      <c r="S61" s="98">
        <f>(F62-F61)/F61</f>
        <v>-0.14194471111459406</v>
      </c>
      <c r="T61" s="99">
        <f>(P62-P61)/P61</f>
        <v>-0.13965044563629098</v>
      </c>
      <c r="U61" s="99">
        <f>(Q62-Q61)/Q61</f>
        <v>-0.16162028905638925</v>
      </c>
      <c r="V61" s="100">
        <f>(R62-R61)/R61</f>
        <v>-0.1549149791696304</v>
      </c>
    </row>
    <row r="62" spans="1:22" x14ac:dyDescent="0.25">
      <c r="A62" s="97"/>
      <c r="B62" s="45">
        <v>100000000</v>
      </c>
      <c r="C62" s="45">
        <f t="shared" si="0"/>
        <v>1</v>
      </c>
      <c r="D62" s="97"/>
      <c r="E62" s="5" t="s">
        <v>114</v>
      </c>
      <c r="F62">
        <v>131.38800000000001</v>
      </c>
      <c r="G62">
        <v>4.17</v>
      </c>
      <c r="H62">
        <v>25.72</v>
      </c>
      <c r="I62">
        <v>148.76</v>
      </c>
      <c r="J62">
        <v>547.88796000000002</v>
      </c>
      <c r="K62">
        <v>3379.29936</v>
      </c>
      <c r="L62">
        <v>19545.278880000002</v>
      </c>
      <c r="M62">
        <v>492.70499999999998</v>
      </c>
      <c r="N62">
        <v>3303.0943200000002</v>
      </c>
      <c r="O62">
        <v>7704.5923200000007</v>
      </c>
      <c r="P62" s="18">
        <f t="shared" si="1"/>
        <v>492.70499999999998</v>
      </c>
      <c r="Q62" s="17">
        <f t="shared" si="2"/>
        <v>3303.0943200000002</v>
      </c>
      <c r="R62" s="17">
        <f t="shared" si="2"/>
        <v>7704.5923200000007</v>
      </c>
      <c r="S62" s="98"/>
      <c r="T62" s="99"/>
      <c r="U62" s="99"/>
      <c r="V62" s="100"/>
    </row>
    <row r="63" spans="1:22" x14ac:dyDescent="0.25">
      <c r="A63" s="97" t="s">
        <v>55</v>
      </c>
      <c r="B63" s="45">
        <v>100000000</v>
      </c>
      <c r="C63" s="45">
        <f t="shared" si="0"/>
        <v>1</v>
      </c>
      <c r="D63" s="124"/>
      <c r="E63" s="5" t="s">
        <v>111</v>
      </c>
      <c r="F63">
        <v>201.018</v>
      </c>
      <c r="G63">
        <v>2.1</v>
      </c>
      <c r="H63">
        <v>19.11</v>
      </c>
      <c r="I63">
        <v>149.22999999999999</v>
      </c>
      <c r="J63">
        <v>422.13780000000003</v>
      </c>
      <c r="K63">
        <v>3841.4539799999998</v>
      </c>
      <c r="L63">
        <v>29997.916140000001</v>
      </c>
      <c r="M63">
        <v>337.71024</v>
      </c>
      <c r="N63">
        <v>3724.8635399999998</v>
      </c>
      <c r="O63">
        <v>12107.31414</v>
      </c>
      <c r="P63" s="18">
        <f t="shared" si="1"/>
        <v>337.71024</v>
      </c>
      <c r="Q63" s="17">
        <f t="shared" si="2"/>
        <v>3724.8635399999998</v>
      </c>
      <c r="R63" s="17">
        <f t="shared" si="2"/>
        <v>12107.31414</v>
      </c>
      <c r="S63" s="98">
        <f>(F64-F63)/F63</f>
        <v>0.19090330219184351</v>
      </c>
      <c r="T63" s="99">
        <f>(P64-P63)/P63</f>
        <v>0.18381459205974926</v>
      </c>
      <c r="U63" s="99">
        <f>(Q64-Q63)/Q63</f>
        <v>0.18640447698118895</v>
      </c>
      <c r="V63" s="100">
        <f>(R64-R63)/R63</f>
        <v>0.18437834636047523</v>
      </c>
    </row>
    <row r="64" spans="1:22" x14ac:dyDescent="0.25">
      <c r="A64" s="97"/>
      <c r="B64" s="45">
        <v>100000000</v>
      </c>
      <c r="C64" s="45">
        <f t="shared" si="0"/>
        <v>1</v>
      </c>
      <c r="D64" s="97"/>
      <c r="E64" s="5" t="s">
        <v>114</v>
      </c>
      <c r="F64">
        <v>239.393</v>
      </c>
      <c r="G64">
        <v>2.09</v>
      </c>
      <c r="H64">
        <v>19.04</v>
      </c>
      <c r="I64">
        <v>148.9</v>
      </c>
      <c r="J64">
        <v>500.33136999999999</v>
      </c>
      <c r="K64">
        <v>4558.0427199999986</v>
      </c>
      <c r="L64">
        <v>35645.617700000003</v>
      </c>
      <c r="M64">
        <v>399.78631000000001</v>
      </c>
      <c r="N64">
        <v>4419.1947799999998</v>
      </c>
      <c r="O64">
        <v>14339.6407</v>
      </c>
      <c r="P64" s="18">
        <f t="shared" si="1"/>
        <v>399.78631000000001</v>
      </c>
      <c r="Q64" s="17">
        <f t="shared" si="2"/>
        <v>4419.1947799999998</v>
      </c>
      <c r="R64" s="17">
        <f t="shared" si="2"/>
        <v>14339.6407</v>
      </c>
      <c r="S64" s="98"/>
      <c r="T64" s="99"/>
      <c r="U64" s="99"/>
      <c r="V64" s="100"/>
    </row>
    <row r="65" spans="1:22" x14ac:dyDescent="0.25">
      <c r="A65" s="97"/>
      <c r="B65" s="45">
        <v>100000000</v>
      </c>
      <c r="C65" s="45">
        <f t="shared" si="0"/>
        <v>1</v>
      </c>
      <c r="D65" s="97" t="s">
        <v>118</v>
      </c>
      <c r="E65" s="5" t="s">
        <v>111</v>
      </c>
      <c r="F65">
        <v>190.18899999999999</v>
      </c>
      <c r="G65">
        <v>2.09</v>
      </c>
      <c r="H65">
        <v>19.02</v>
      </c>
      <c r="I65">
        <v>148.55000000000001</v>
      </c>
      <c r="J65">
        <v>397.49500999999998</v>
      </c>
      <c r="K65">
        <v>3617.3947800000001</v>
      </c>
      <c r="L65">
        <v>28252.575949999999</v>
      </c>
      <c r="M65">
        <v>317.61563000000001</v>
      </c>
      <c r="N65">
        <v>3507.0851600000001</v>
      </c>
      <c r="O65">
        <v>11325.75495</v>
      </c>
      <c r="P65" s="18">
        <f t="shared" si="1"/>
        <v>317.61563000000001</v>
      </c>
      <c r="Q65" s="17">
        <f t="shared" si="2"/>
        <v>3507.0851600000001</v>
      </c>
      <c r="R65" s="17">
        <f t="shared" si="2"/>
        <v>11325.75495</v>
      </c>
      <c r="S65" s="98">
        <f>(F66-F65)/F65</f>
        <v>0.21195757903979731</v>
      </c>
      <c r="T65" s="99">
        <f>(P66-P65)/P65</f>
        <v>0.21921481005201149</v>
      </c>
      <c r="U65" s="99">
        <f>(Q66-Q65)/Q65</f>
        <v>0.19684097149212076</v>
      </c>
      <c r="V65" s="100">
        <f>(R66-R65)/R65</f>
        <v>0.2058519992965237</v>
      </c>
    </row>
    <row r="66" spans="1:22" x14ac:dyDescent="0.25">
      <c r="A66" s="97"/>
      <c r="B66" s="45">
        <v>100000000</v>
      </c>
      <c r="C66" s="45">
        <f t="shared" si="0"/>
        <v>1</v>
      </c>
      <c r="D66" s="97"/>
      <c r="E66" s="5" t="s">
        <v>114</v>
      </c>
      <c r="F66">
        <v>230.501</v>
      </c>
      <c r="G66">
        <v>2.1</v>
      </c>
      <c r="H66">
        <v>18.79</v>
      </c>
      <c r="I66">
        <v>148.26</v>
      </c>
      <c r="J66">
        <v>484.05210000000011</v>
      </c>
      <c r="K66">
        <v>4331.1137900000003</v>
      </c>
      <c r="L66">
        <v>34174.078260000002</v>
      </c>
      <c r="M66">
        <v>387.24167999999997</v>
      </c>
      <c r="N66">
        <v>4197.4232099999999</v>
      </c>
      <c r="O66">
        <v>13657.18425</v>
      </c>
      <c r="P66" s="18">
        <f t="shared" si="1"/>
        <v>387.24167999999997</v>
      </c>
      <c r="Q66" s="17">
        <f t="shared" si="2"/>
        <v>4197.4232099999999</v>
      </c>
      <c r="R66" s="17">
        <f t="shared" si="2"/>
        <v>13657.18425</v>
      </c>
      <c r="S66" s="98"/>
      <c r="T66" s="99"/>
      <c r="U66" s="99"/>
      <c r="V66" s="100"/>
    </row>
    <row r="67" spans="1:22" x14ac:dyDescent="0.25">
      <c r="A67" s="97" t="s">
        <v>57</v>
      </c>
      <c r="B67" s="45">
        <v>100000000</v>
      </c>
      <c r="C67" s="45">
        <f t="shared" si="0"/>
        <v>1</v>
      </c>
      <c r="D67" s="124"/>
      <c r="E67" s="5" t="s">
        <v>111</v>
      </c>
      <c r="F67">
        <v>5.8109999999999999</v>
      </c>
      <c r="G67">
        <v>1.51</v>
      </c>
      <c r="H67">
        <v>20.6</v>
      </c>
      <c r="I67">
        <v>153.79</v>
      </c>
      <c r="J67">
        <v>8.7746099999999991</v>
      </c>
      <c r="K67">
        <v>119.70659999999999</v>
      </c>
      <c r="L67">
        <v>893.67368999999997</v>
      </c>
      <c r="M67">
        <v>6.33399</v>
      </c>
      <c r="N67">
        <v>116.33622</v>
      </c>
      <c r="O67">
        <v>339.94349999999997</v>
      </c>
      <c r="P67" s="18">
        <f t="shared" si="1"/>
        <v>6.33399</v>
      </c>
      <c r="Q67" s="17">
        <f t="shared" si="2"/>
        <v>116.33622</v>
      </c>
      <c r="R67" s="17">
        <f t="shared" si="2"/>
        <v>339.94349999999997</v>
      </c>
      <c r="S67" s="98">
        <f>(F68-F67)/F67</f>
        <v>1.3766993632765458E-2</v>
      </c>
      <c r="T67" s="99">
        <f>(P68-P67)/P67</f>
        <v>2.306760825324956E-2</v>
      </c>
      <c r="U67" s="99">
        <f>(Q68-Q67)/Q67</f>
        <v>4.1111358096386524E-2</v>
      </c>
      <c r="V67" s="100">
        <f>(R68-R67)/R67</f>
        <v>3.317586598949547E-2</v>
      </c>
    </row>
    <row r="68" spans="1:22" x14ac:dyDescent="0.25">
      <c r="A68" s="97"/>
      <c r="B68" s="45">
        <v>100000000</v>
      </c>
      <c r="C68" s="45">
        <f t="shared" ref="C68:C106" si="3">100000000/B68</f>
        <v>1</v>
      </c>
      <c r="D68" s="97"/>
      <c r="E68" s="5" t="s">
        <v>114</v>
      </c>
      <c r="F68">
        <v>5.891</v>
      </c>
      <c r="G68">
        <v>1.52</v>
      </c>
      <c r="H68">
        <v>21.14</v>
      </c>
      <c r="I68">
        <v>154.91</v>
      </c>
      <c r="J68">
        <v>8.9543200000000009</v>
      </c>
      <c r="K68">
        <v>124.53574</v>
      </c>
      <c r="L68">
        <v>912.57480999999996</v>
      </c>
      <c r="M68">
        <v>6.4801000000000002</v>
      </c>
      <c r="N68">
        <v>121.11896</v>
      </c>
      <c r="O68">
        <v>351.22142000000002</v>
      </c>
      <c r="P68" s="18">
        <f t="shared" ref="P68:P106" si="4">C68*M68</f>
        <v>6.4801000000000002</v>
      </c>
      <c r="Q68" s="17">
        <f t="shared" ref="Q68:R106" si="5">$C68*N68</f>
        <v>121.11896</v>
      </c>
      <c r="R68" s="17">
        <f t="shared" si="5"/>
        <v>351.22142000000002</v>
      </c>
      <c r="S68" s="98"/>
      <c r="T68" s="99"/>
      <c r="U68" s="99"/>
      <c r="V68" s="100"/>
    </row>
    <row r="69" spans="1:22" x14ac:dyDescent="0.25">
      <c r="A69" s="97"/>
      <c r="B69" s="45">
        <v>100000000</v>
      </c>
      <c r="C69" s="45">
        <f t="shared" si="3"/>
        <v>1</v>
      </c>
      <c r="D69" s="97" t="s">
        <v>118</v>
      </c>
      <c r="E69" s="5" t="s">
        <v>111</v>
      </c>
      <c r="F69">
        <v>2.984</v>
      </c>
      <c r="G69">
        <v>1.55</v>
      </c>
      <c r="H69">
        <v>19.350000000000001</v>
      </c>
      <c r="I69">
        <v>153.56</v>
      </c>
      <c r="J69">
        <v>4.6252000000000004</v>
      </c>
      <c r="K69">
        <v>57.740400000000001</v>
      </c>
      <c r="L69">
        <v>458.22304000000003</v>
      </c>
      <c r="M69">
        <v>3.3719199999999998</v>
      </c>
      <c r="N69">
        <v>56.009680000000003</v>
      </c>
      <c r="O69">
        <v>173.84783999999999</v>
      </c>
      <c r="P69" s="18">
        <f t="shared" si="4"/>
        <v>3.3719199999999998</v>
      </c>
      <c r="Q69" s="17">
        <f t="shared" si="5"/>
        <v>56.009680000000003</v>
      </c>
      <c r="R69" s="17">
        <f t="shared" si="5"/>
        <v>173.84783999999999</v>
      </c>
      <c r="S69" s="98">
        <f>(F70-F69)/F69</f>
        <v>0.12734584450402142</v>
      </c>
      <c r="T69" s="99">
        <f>(P70-P69)/P69</f>
        <v>0.12734584450402153</v>
      </c>
      <c r="U69" s="99">
        <f>(Q70-Q69)/Q69</f>
        <v>0.17779712364005648</v>
      </c>
      <c r="V69" s="100">
        <f>(R70-R69)/R69</f>
        <v>0.16449833371527653</v>
      </c>
    </row>
    <row r="70" spans="1:22" x14ac:dyDescent="0.25">
      <c r="A70" s="97"/>
      <c r="B70" s="45">
        <v>100000000</v>
      </c>
      <c r="C70" s="45">
        <f t="shared" si="3"/>
        <v>1</v>
      </c>
      <c r="D70" s="97"/>
      <c r="E70" s="5" t="s">
        <v>114</v>
      </c>
      <c r="F70">
        <v>3.3639999999999999</v>
      </c>
      <c r="G70">
        <v>1.55</v>
      </c>
      <c r="H70">
        <v>20.190000000000001</v>
      </c>
      <c r="I70">
        <v>155.47</v>
      </c>
      <c r="J70">
        <v>5.2141999999999999</v>
      </c>
      <c r="K70">
        <v>67.919160000000005</v>
      </c>
      <c r="L70">
        <v>523.00108</v>
      </c>
      <c r="M70">
        <v>3.80132</v>
      </c>
      <c r="N70">
        <v>65.968040000000002</v>
      </c>
      <c r="O70">
        <v>202.44551999999999</v>
      </c>
      <c r="P70" s="18">
        <f t="shared" si="4"/>
        <v>3.80132</v>
      </c>
      <c r="Q70" s="17">
        <f t="shared" si="5"/>
        <v>65.968040000000002</v>
      </c>
      <c r="R70" s="17">
        <f t="shared" si="5"/>
        <v>202.44551999999999</v>
      </c>
      <c r="S70" s="98"/>
      <c r="T70" s="99"/>
      <c r="U70" s="99"/>
      <c r="V70" s="100"/>
    </row>
    <row r="71" spans="1:22" x14ac:dyDescent="0.25">
      <c r="A71" s="97" t="s">
        <v>61</v>
      </c>
      <c r="B71" s="45">
        <v>100000000</v>
      </c>
      <c r="C71" s="45">
        <f t="shared" si="3"/>
        <v>1</v>
      </c>
      <c r="D71" s="124"/>
      <c r="E71" s="5" t="s">
        <v>111</v>
      </c>
      <c r="F71">
        <v>159.39599999999999</v>
      </c>
      <c r="G71">
        <v>2.2200000000000002</v>
      </c>
      <c r="H71">
        <v>18.93</v>
      </c>
      <c r="I71">
        <v>149.91999999999999</v>
      </c>
      <c r="J71">
        <v>353.85912000000002</v>
      </c>
      <c r="K71">
        <v>3017.3662800000002</v>
      </c>
      <c r="L71">
        <v>23896.64832</v>
      </c>
      <c r="M71">
        <v>353.85912000000002</v>
      </c>
      <c r="N71">
        <v>2924.9166</v>
      </c>
      <c r="O71">
        <v>9576.5116799999996</v>
      </c>
      <c r="P71" s="18">
        <f t="shared" si="4"/>
        <v>353.85912000000002</v>
      </c>
      <c r="Q71" s="17">
        <f t="shared" si="5"/>
        <v>2924.9166</v>
      </c>
      <c r="R71" s="17">
        <f t="shared" si="5"/>
        <v>9576.5116799999996</v>
      </c>
      <c r="S71" s="98">
        <f>(F72-F71)/F71</f>
        <v>0.95551958643880663</v>
      </c>
      <c r="T71" s="99">
        <f>(P72-P71)/P71</f>
        <v>0.93790229286728577</v>
      </c>
      <c r="U71" s="99">
        <f>(Q72-Q71)/Q71</f>
        <v>1.0492992723279699</v>
      </c>
      <c r="V71" s="100">
        <f>(R72-R71)/R71</f>
        <v>1.0105267119561432</v>
      </c>
    </row>
    <row r="72" spans="1:22" x14ac:dyDescent="0.25">
      <c r="A72" s="97"/>
      <c r="B72" s="45">
        <v>100000000</v>
      </c>
      <c r="C72" s="45">
        <f t="shared" si="3"/>
        <v>1</v>
      </c>
      <c r="D72" s="97"/>
      <c r="E72" s="5" t="s">
        <v>114</v>
      </c>
      <c r="F72">
        <v>311.702</v>
      </c>
      <c r="G72">
        <v>2.2000000000000002</v>
      </c>
      <c r="H72">
        <v>19.809999999999999</v>
      </c>
      <c r="I72">
        <v>151.6</v>
      </c>
      <c r="J72">
        <v>685.74440000000004</v>
      </c>
      <c r="K72">
        <v>6174.8166199999996</v>
      </c>
      <c r="L72">
        <v>47254.023200000003</v>
      </c>
      <c r="M72">
        <v>685.74440000000004</v>
      </c>
      <c r="N72">
        <v>5994.0294599999997</v>
      </c>
      <c r="O72">
        <v>19253.832539999999</v>
      </c>
      <c r="P72" s="18">
        <f t="shared" si="4"/>
        <v>685.74440000000004</v>
      </c>
      <c r="Q72" s="17">
        <f t="shared" si="5"/>
        <v>5994.0294599999997</v>
      </c>
      <c r="R72" s="17">
        <f t="shared" si="5"/>
        <v>19253.832539999999</v>
      </c>
      <c r="S72" s="98"/>
      <c r="T72" s="99"/>
      <c r="U72" s="99"/>
      <c r="V72" s="100"/>
    </row>
    <row r="73" spans="1:22" x14ac:dyDescent="0.25">
      <c r="A73" s="97"/>
      <c r="B73" s="45">
        <v>100000000</v>
      </c>
      <c r="C73" s="45">
        <f t="shared" si="3"/>
        <v>1</v>
      </c>
      <c r="D73" s="97" t="s">
        <v>118</v>
      </c>
      <c r="E73" s="5" t="s">
        <v>111</v>
      </c>
      <c r="F73">
        <v>413.02800000000002</v>
      </c>
      <c r="G73">
        <v>2.17</v>
      </c>
      <c r="H73">
        <v>20.23</v>
      </c>
      <c r="I73">
        <v>152.63999999999999</v>
      </c>
      <c r="J73">
        <v>896.27076</v>
      </c>
      <c r="K73">
        <v>8355.5564400000003</v>
      </c>
      <c r="L73">
        <v>63044.593919999999</v>
      </c>
      <c r="M73">
        <v>896.27076</v>
      </c>
      <c r="N73">
        <v>8116.0001999999986</v>
      </c>
      <c r="O73">
        <v>25942.288680000001</v>
      </c>
      <c r="P73" s="18">
        <f t="shared" si="4"/>
        <v>896.27076</v>
      </c>
      <c r="Q73" s="17">
        <f t="shared" si="5"/>
        <v>8116.0001999999986</v>
      </c>
      <c r="R73" s="17">
        <f t="shared" si="5"/>
        <v>25942.288680000001</v>
      </c>
      <c r="S73" s="98">
        <f>(F74-F73)/F73</f>
        <v>4.7967692262994167E-2</v>
      </c>
      <c r="T73" s="99">
        <f>(P74-P73)/P73</f>
        <v>5.7626380670948087E-2</v>
      </c>
      <c r="U73" s="99">
        <f>(Q74-Q73)/Q73</f>
        <v>3.8901305103467322E-2</v>
      </c>
      <c r="V73" s="100">
        <f>(R74-R73)/R73</f>
        <v>4.079325972561023E-2</v>
      </c>
    </row>
    <row r="74" spans="1:22" x14ac:dyDescent="0.25">
      <c r="A74" s="97"/>
      <c r="B74" s="45">
        <v>100000000</v>
      </c>
      <c r="C74" s="45">
        <f t="shared" si="3"/>
        <v>1</v>
      </c>
      <c r="D74" s="97"/>
      <c r="E74" s="5" t="s">
        <v>114</v>
      </c>
      <c r="F74">
        <v>432.84</v>
      </c>
      <c r="G74">
        <v>2.19</v>
      </c>
      <c r="H74">
        <v>20.059999999999999</v>
      </c>
      <c r="I74">
        <v>152.21</v>
      </c>
      <c r="J74">
        <v>947.91959999999995</v>
      </c>
      <c r="K74">
        <v>8682.7703999999994</v>
      </c>
      <c r="L74">
        <v>65882.576400000005</v>
      </c>
      <c r="M74">
        <v>947.91959999999995</v>
      </c>
      <c r="N74">
        <v>8431.7232000000004</v>
      </c>
      <c r="O74">
        <v>27000.5592</v>
      </c>
      <c r="P74" s="18">
        <f t="shared" si="4"/>
        <v>947.91959999999995</v>
      </c>
      <c r="Q74" s="17">
        <f t="shared" si="5"/>
        <v>8431.7232000000004</v>
      </c>
      <c r="R74" s="17">
        <f t="shared" si="5"/>
        <v>27000.5592</v>
      </c>
      <c r="S74" s="98"/>
      <c r="T74" s="99"/>
      <c r="U74" s="99"/>
      <c r="V74" s="100"/>
    </row>
    <row r="75" spans="1:22" x14ac:dyDescent="0.25">
      <c r="A75" s="97" t="s">
        <v>63</v>
      </c>
      <c r="B75" s="45">
        <v>100000000</v>
      </c>
      <c r="C75" s="45">
        <f t="shared" si="3"/>
        <v>1</v>
      </c>
      <c r="D75" s="124"/>
      <c r="E75" s="5" t="s">
        <v>111</v>
      </c>
      <c r="F75">
        <v>10.210000000000001</v>
      </c>
      <c r="G75">
        <v>2.83</v>
      </c>
      <c r="H75">
        <v>25.31</v>
      </c>
      <c r="I75">
        <v>150.4</v>
      </c>
      <c r="J75">
        <v>28.894300000000001</v>
      </c>
      <c r="K75">
        <v>258.4151</v>
      </c>
      <c r="L75">
        <v>1535.5840000000001</v>
      </c>
      <c r="M75">
        <v>24.606100000000001</v>
      </c>
      <c r="N75">
        <v>252.4933</v>
      </c>
      <c r="O75">
        <v>577.47760000000005</v>
      </c>
      <c r="P75" s="18">
        <f t="shared" si="4"/>
        <v>24.606100000000001</v>
      </c>
      <c r="Q75" s="17">
        <f t="shared" si="5"/>
        <v>252.4933</v>
      </c>
      <c r="R75" s="17">
        <f t="shared" si="5"/>
        <v>577.47760000000005</v>
      </c>
      <c r="S75" s="98">
        <f>(F76-F75)/F75</f>
        <v>-0.11968658178256623</v>
      </c>
      <c r="T75" s="99">
        <f>(P76-P75)/P75</f>
        <v>-0.14525585119137133</v>
      </c>
      <c r="U75" s="99">
        <f>(Q76-Q75)/Q75</f>
        <v>-0.12217837067359807</v>
      </c>
      <c r="V75" s="100">
        <f>(R76-R75)/R75</f>
        <v>-0.10381105691372278</v>
      </c>
    </row>
    <row r="76" spans="1:22" x14ac:dyDescent="0.25">
      <c r="A76" s="97"/>
      <c r="B76" s="45">
        <v>100000000</v>
      </c>
      <c r="C76" s="45">
        <f t="shared" si="3"/>
        <v>1</v>
      </c>
      <c r="D76" s="97"/>
      <c r="E76" s="5" t="s">
        <v>114</v>
      </c>
      <c r="F76">
        <v>8.9879999999999995</v>
      </c>
      <c r="G76">
        <v>2.76</v>
      </c>
      <c r="H76">
        <v>25.24</v>
      </c>
      <c r="I76">
        <v>151.43</v>
      </c>
      <c r="J76">
        <v>24.80688</v>
      </c>
      <c r="K76">
        <v>226.85712000000001</v>
      </c>
      <c r="L76">
        <v>1361.0528400000001</v>
      </c>
      <c r="M76">
        <v>21.03192</v>
      </c>
      <c r="N76">
        <v>221.64408</v>
      </c>
      <c r="O76">
        <v>517.52904000000001</v>
      </c>
      <c r="P76" s="18">
        <f t="shared" si="4"/>
        <v>21.03192</v>
      </c>
      <c r="Q76" s="17">
        <f t="shared" si="5"/>
        <v>221.64408</v>
      </c>
      <c r="R76" s="17">
        <f t="shared" si="5"/>
        <v>517.52904000000001</v>
      </c>
      <c r="S76" s="98"/>
      <c r="T76" s="99"/>
      <c r="U76" s="99"/>
      <c r="V76" s="100"/>
    </row>
    <row r="77" spans="1:22" x14ac:dyDescent="0.25">
      <c r="A77" s="97"/>
      <c r="B77" s="45">
        <v>100000000</v>
      </c>
      <c r="C77" s="45">
        <f t="shared" si="3"/>
        <v>1</v>
      </c>
      <c r="D77" s="97" t="s">
        <v>118</v>
      </c>
      <c r="E77" s="5" t="s">
        <v>111</v>
      </c>
      <c r="F77">
        <v>4.0830000000000002</v>
      </c>
      <c r="G77">
        <v>2.82</v>
      </c>
      <c r="H77">
        <v>23.71</v>
      </c>
      <c r="I77">
        <v>150.06</v>
      </c>
      <c r="J77">
        <v>11.514060000000001</v>
      </c>
      <c r="K77">
        <v>96.807930000000013</v>
      </c>
      <c r="L77">
        <v>612.69497999999999</v>
      </c>
      <c r="M77">
        <v>9.7992000000000008</v>
      </c>
      <c r="N77">
        <v>94.439790000000002</v>
      </c>
      <c r="O77">
        <v>229.50542999999999</v>
      </c>
      <c r="P77" s="18">
        <f t="shared" si="4"/>
        <v>9.7992000000000008</v>
      </c>
      <c r="Q77" s="17">
        <f t="shared" si="5"/>
        <v>94.439790000000002</v>
      </c>
      <c r="R77" s="17">
        <f t="shared" si="5"/>
        <v>229.50542999999999</v>
      </c>
      <c r="S77" s="98">
        <f>(F78-F77)/F77</f>
        <v>0.30467793289248096</v>
      </c>
      <c r="T77" s="99">
        <f>(P78-P77)/P77</f>
        <v>0.27206098457016892</v>
      </c>
      <c r="U77" s="99">
        <f>(Q78-Q77)/Q77</f>
        <v>0.3469826648280348</v>
      </c>
      <c r="V77" s="100">
        <f>(R78-R77)/R77</f>
        <v>0.33902988700528802</v>
      </c>
    </row>
    <row r="78" spans="1:22" x14ac:dyDescent="0.25">
      <c r="A78" s="97"/>
      <c r="B78" s="45">
        <v>100000000</v>
      </c>
      <c r="C78" s="45">
        <f t="shared" si="3"/>
        <v>1</v>
      </c>
      <c r="D78" s="97"/>
      <c r="E78" s="5" t="s">
        <v>114</v>
      </c>
      <c r="F78">
        <v>5.327</v>
      </c>
      <c r="G78">
        <v>2.76</v>
      </c>
      <c r="H78">
        <v>24.46</v>
      </c>
      <c r="I78">
        <v>151.54</v>
      </c>
      <c r="J78">
        <v>14.70252</v>
      </c>
      <c r="K78">
        <v>130.29841999999999</v>
      </c>
      <c r="L78">
        <v>807.25357999999994</v>
      </c>
      <c r="M78">
        <v>12.46518</v>
      </c>
      <c r="N78">
        <v>127.20876</v>
      </c>
      <c r="O78">
        <v>307.31463000000002</v>
      </c>
      <c r="P78" s="18">
        <f t="shared" si="4"/>
        <v>12.46518</v>
      </c>
      <c r="Q78" s="17">
        <f t="shared" si="5"/>
        <v>127.20876</v>
      </c>
      <c r="R78" s="17">
        <f t="shared" si="5"/>
        <v>307.31463000000002</v>
      </c>
      <c r="S78" s="98"/>
      <c r="T78" s="99"/>
      <c r="U78" s="99"/>
      <c r="V78" s="100"/>
    </row>
    <row r="79" spans="1:22" x14ac:dyDescent="0.25">
      <c r="A79" s="97" t="s">
        <v>65</v>
      </c>
      <c r="B79" s="45">
        <v>100000000</v>
      </c>
      <c r="C79" s="45">
        <f t="shared" si="3"/>
        <v>1</v>
      </c>
      <c r="D79" s="124"/>
      <c r="E79" s="5" t="s">
        <v>111</v>
      </c>
      <c r="F79">
        <v>10.664</v>
      </c>
      <c r="G79">
        <v>3.12</v>
      </c>
      <c r="H79">
        <v>28.97</v>
      </c>
      <c r="I79">
        <v>161.12</v>
      </c>
      <c r="J79">
        <v>33.271680000000003</v>
      </c>
      <c r="K79">
        <v>308.93608</v>
      </c>
      <c r="L79">
        <v>1718.1836800000001</v>
      </c>
      <c r="M79">
        <v>28.7928</v>
      </c>
      <c r="N79">
        <v>302.75096000000002</v>
      </c>
      <c r="O79">
        <v>697.9588</v>
      </c>
      <c r="P79" s="18">
        <f t="shared" si="4"/>
        <v>28.7928</v>
      </c>
      <c r="Q79" s="17">
        <f t="shared" si="5"/>
        <v>302.75096000000002</v>
      </c>
      <c r="R79" s="17">
        <f t="shared" si="5"/>
        <v>697.9588</v>
      </c>
      <c r="S79" s="98">
        <f>(F80-F79)/F79</f>
        <v>-3.0570142535633959E-2</v>
      </c>
      <c r="T79" s="99">
        <f>(P80-P79)/P79</f>
        <v>-6.288447111777945E-2</v>
      </c>
      <c r="U79" s="99">
        <f>(Q80-Q79)/Q79</f>
        <v>-3.0570142535634039E-2</v>
      </c>
      <c r="V79" s="100">
        <f>(R80-R79)/R79</f>
        <v>-4.1382729181149464E-2</v>
      </c>
    </row>
    <row r="80" spans="1:22" x14ac:dyDescent="0.25">
      <c r="A80" s="97"/>
      <c r="B80" s="45">
        <v>100000000</v>
      </c>
      <c r="C80" s="45">
        <f t="shared" si="3"/>
        <v>1</v>
      </c>
      <c r="D80" s="97"/>
      <c r="E80" s="5" t="s">
        <v>114</v>
      </c>
      <c r="F80">
        <v>10.337999999999999</v>
      </c>
      <c r="G80">
        <v>3.03</v>
      </c>
      <c r="H80">
        <v>28.97</v>
      </c>
      <c r="I80">
        <v>160.4</v>
      </c>
      <c r="J80">
        <v>31.32414</v>
      </c>
      <c r="K80">
        <v>299.49185999999997</v>
      </c>
      <c r="L80">
        <v>1658.2152000000001</v>
      </c>
      <c r="M80">
        <v>26.98218</v>
      </c>
      <c r="N80">
        <v>293.49581999999998</v>
      </c>
      <c r="O80">
        <v>669.07535999999993</v>
      </c>
      <c r="P80" s="18">
        <f t="shared" si="4"/>
        <v>26.98218</v>
      </c>
      <c r="Q80" s="17">
        <f t="shared" si="5"/>
        <v>293.49581999999998</v>
      </c>
      <c r="R80" s="17">
        <f t="shared" si="5"/>
        <v>669.07535999999993</v>
      </c>
      <c r="S80" s="98"/>
      <c r="T80" s="99"/>
      <c r="U80" s="99"/>
      <c r="V80" s="100"/>
    </row>
    <row r="81" spans="1:22" x14ac:dyDescent="0.25">
      <c r="A81" s="97"/>
      <c r="B81" s="45">
        <v>100000000</v>
      </c>
      <c r="C81" s="45">
        <f t="shared" si="3"/>
        <v>1</v>
      </c>
      <c r="D81" s="97" t="s">
        <v>118</v>
      </c>
      <c r="E81" s="5" t="s">
        <v>111</v>
      </c>
      <c r="F81">
        <v>5.7990000000000004</v>
      </c>
      <c r="G81">
        <v>3.08</v>
      </c>
      <c r="H81">
        <v>26.83</v>
      </c>
      <c r="I81">
        <v>157.87</v>
      </c>
      <c r="J81">
        <v>17.86092</v>
      </c>
      <c r="K81">
        <v>155.58716999999999</v>
      </c>
      <c r="L81">
        <v>915.48813000000007</v>
      </c>
      <c r="M81">
        <v>15.42534</v>
      </c>
      <c r="N81">
        <v>152.22375</v>
      </c>
      <c r="O81">
        <v>360.63981000000001</v>
      </c>
      <c r="P81" s="18">
        <f t="shared" si="4"/>
        <v>15.42534</v>
      </c>
      <c r="Q81" s="17">
        <f t="shared" si="5"/>
        <v>152.22375</v>
      </c>
      <c r="R81" s="17">
        <f t="shared" si="5"/>
        <v>360.63981000000001</v>
      </c>
      <c r="S81" s="98">
        <f>(F82-F81)/F81</f>
        <v>1.2243490256940805E-2</v>
      </c>
      <c r="T81" s="99">
        <f>(P82-P81)/P81</f>
        <v>-1.4394496328768104E-2</v>
      </c>
      <c r="U81" s="99">
        <f>(Q82-Q81)/Q81</f>
        <v>1.3785956527808684E-2</v>
      </c>
      <c r="V81" s="100">
        <f>(R82-R81)/R81</f>
        <v>-3.0565399865311281E-3</v>
      </c>
    </row>
    <row r="82" spans="1:22" x14ac:dyDescent="0.25">
      <c r="A82" s="97"/>
      <c r="B82" s="45">
        <v>100000000</v>
      </c>
      <c r="C82" s="45">
        <f t="shared" si="3"/>
        <v>1</v>
      </c>
      <c r="D82" s="97"/>
      <c r="E82" s="5" t="s">
        <v>114</v>
      </c>
      <c r="F82">
        <v>5.87</v>
      </c>
      <c r="G82">
        <v>3.01</v>
      </c>
      <c r="H82">
        <v>26.87</v>
      </c>
      <c r="I82">
        <v>156.91999999999999</v>
      </c>
      <c r="J82">
        <v>17.668700000000001</v>
      </c>
      <c r="K82">
        <v>157.7269</v>
      </c>
      <c r="L82">
        <v>921.1203999999999</v>
      </c>
      <c r="M82">
        <v>15.2033</v>
      </c>
      <c r="N82">
        <v>154.32230000000001</v>
      </c>
      <c r="O82">
        <v>359.53750000000002</v>
      </c>
      <c r="P82" s="18">
        <f t="shared" si="4"/>
        <v>15.2033</v>
      </c>
      <c r="Q82" s="17">
        <f t="shared" si="5"/>
        <v>154.32230000000001</v>
      </c>
      <c r="R82" s="17">
        <f t="shared" si="5"/>
        <v>359.53750000000002</v>
      </c>
      <c r="S82" s="98"/>
      <c r="T82" s="99"/>
      <c r="U82" s="99"/>
      <c r="V82" s="100"/>
    </row>
    <row r="83" spans="1:22" x14ac:dyDescent="0.25">
      <c r="A83" s="97" t="s">
        <v>71</v>
      </c>
      <c r="B83" s="45">
        <v>100000000</v>
      </c>
      <c r="C83" s="45">
        <f t="shared" si="3"/>
        <v>1</v>
      </c>
      <c r="D83" s="124"/>
      <c r="E83" s="5" t="s">
        <v>111</v>
      </c>
      <c r="F83">
        <v>71.462999999999994</v>
      </c>
      <c r="G83">
        <v>2.09</v>
      </c>
      <c r="H83">
        <v>18.57</v>
      </c>
      <c r="I83">
        <v>149.11000000000001</v>
      </c>
      <c r="J83">
        <v>149.35767000000001</v>
      </c>
      <c r="K83">
        <v>1327.06791</v>
      </c>
      <c r="L83">
        <v>10655.84793</v>
      </c>
      <c r="M83">
        <v>119.34321</v>
      </c>
      <c r="N83">
        <v>1285.6193699999999</v>
      </c>
      <c r="O83">
        <v>4262.05332</v>
      </c>
      <c r="P83" s="18">
        <f t="shared" si="4"/>
        <v>119.34321</v>
      </c>
      <c r="Q83" s="17">
        <f t="shared" si="5"/>
        <v>1285.6193699999999</v>
      </c>
      <c r="R83" s="17">
        <f t="shared" si="5"/>
        <v>4262.05332</v>
      </c>
      <c r="S83" s="98">
        <f>(F84-F83)/F83</f>
        <v>-0.12511369519891408</v>
      </c>
      <c r="T83" s="99">
        <f>(P84-P83)/P83</f>
        <v>-0.12511369519891416</v>
      </c>
      <c r="U83" s="99">
        <f>(Q84-Q83)/Q83</f>
        <v>-0.13046319456123306</v>
      </c>
      <c r="V83" s="100">
        <f>(R84-R83)/R83</f>
        <v>-0.13259511732246471</v>
      </c>
    </row>
    <row r="84" spans="1:22" x14ac:dyDescent="0.25">
      <c r="A84" s="97"/>
      <c r="B84" s="45">
        <v>100000000</v>
      </c>
      <c r="C84" s="45">
        <f t="shared" si="3"/>
        <v>1</v>
      </c>
      <c r="D84" s="97"/>
      <c r="E84" s="5" t="s">
        <v>114</v>
      </c>
      <c r="F84">
        <v>62.521999999999998</v>
      </c>
      <c r="G84">
        <v>2.09</v>
      </c>
      <c r="H84">
        <v>18.46</v>
      </c>
      <c r="I84">
        <v>148.6</v>
      </c>
      <c r="J84">
        <v>130.67097999999999</v>
      </c>
      <c r="K84">
        <v>1154.1561200000001</v>
      </c>
      <c r="L84">
        <v>9290.7691999999988</v>
      </c>
      <c r="M84">
        <v>104.41173999999999</v>
      </c>
      <c r="N84">
        <v>1117.89336</v>
      </c>
      <c r="O84">
        <v>3696.9258599999998</v>
      </c>
      <c r="P84" s="18">
        <f t="shared" si="4"/>
        <v>104.41173999999999</v>
      </c>
      <c r="Q84" s="17">
        <f t="shared" si="5"/>
        <v>1117.89336</v>
      </c>
      <c r="R84" s="17">
        <f t="shared" si="5"/>
        <v>3696.9258599999998</v>
      </c>
      <c r="S84" s="98"/>
      <c r="T84" s="99"/>
      <c r="U84" s="99"/>
      <c r="V84" s="100"/>
    </row>
    <row r="85" spans="1:22" x14ac:dyDescent="0.25">
      <c r="A85" s="97"/>
      <c r="B85" s="45">
        <v>100000000</v>
      </c>
      <c r="C85" s="45">
        <f t="shared" si="3"/>
        <v>1</v>
      </c>
      <c r="D85" s="97" t="s">
        <v>118</v>
      </c>
      <c r="E85" s="5" t="s">
        <v>111</v>
      </c>
      <c r="F85">
        <v>53.167999999999999</v>
      </c>
      <c r="G85">
        <v>2.09</v>
      </c>
      <c r="H85">
        <v>18.23</v>
      </c>
      <c r="I85">
        <v>148.31</v>
      </c>
      <c r="J85">
        <v>111.12112</v>
      </c>
      <c r="K85">
        <v>969.25264000000004</v>
      </c>
      <c r="L85">
        <v>7885.3460800000003</v>
      </c>
      <c r="M85">
        <v>88.790559999999999</v>
      </c>
      <c r="N85">
        <v>938.41519999999991</v>
      </c>
      <c r="O85">
        <v>3128.4051199999999</v>
      </c>
      <c r="P85" s="18">
        <f t="shared" si="4"/>
        <v>88.790559999999999</v>
      </c>
      <c r="Q85" s="17">
        <f t="shared" si="5"/>
        <v>938.41519999999991</v>
      </c>
      <c r="R85" s="17">
        <f t="shared" si="5"/>
        <v>3128.4051199999999</v>
      </c>
      <c r="S85" s="98">
        <f>(F86-F85)/F85</f>
        <v>-0.12118191393319286</v>
      </c>
      <c r="T85" s="99">
        <f>(P86-P85)/P85</f>
        <v>-0.1159195301842898</v>
      </c>
      <c r="U85" s="99">
        <f>(Q86-Q85)/Q85</f>
        <v>-0.11719860249492965</v>
      </c>
      <c r="V85" s="100">
        <f>(R86-R85)/R85</f>
        <v>-0.12028577040559246</v>
      </c>
    </row>
    <row r="86" spans="1:22" x14ac:dyDescent="0.25">
      <c r="A86" s="97"/>
      <c r="B86" s="45">
        <v>100000000</v>
      </c>
      <c r="C86" s="45">
        <f t="shared" si="3"/>
        <v>1</v>
      </c>
      <c r="D86" s="97"/>
      <c r="E86" s="5" t="s">
        <v>114</v>
      </c>
      <c r="F86">
        <v>46.725000000000001</v>
      </c>
      <c r="G86">
        <v>2.1</v>
      </c>
      <c r="H86">
        <v>18.309999999999999</v>
      </c>
      <c r="I86">
        <v>148.37</v>
      </c>
      <c r="J86">
        <v>98.122500000000002</v>
      </c>
      <c r="K86">
        <v>855.53474999999992</v>
      </c>
      <c r="L86">
        <v>6932.5882500000007</v>
      </c>
      <c r="M86">
        <v>78.498000000000005</v>
      </c>
      <c r="N86">
        <v>828.43425000000002</v>
      </c>
      <c r="O86">
        <v>2752.1025</v>
      </c>
      <c r="P86" s="18">
        <f t="shared" si="4"/>
        <v>78.498000000000005</v>
      </c>
      <c r="Q86" s="17">
        <f t="shared" si="5"/>
        <v>828.43425000000002</v>
      </c>
      <c r="R86" s="17">
        <f t="shared" si="5"/>
        <v>2752.1025</v>
      </c>
      <c r="S86" s="98"/>
      <c r="T86" s="99"/>
      <c r="U86" s="99"/>
      <c r="V86" s="100"/>
    </row>
    <row r="87" spans="1:22" x14ac:dyDescent="0.25">
      <c r="A87" s="97" t="s">
        <v>79</v>
      </c>
      <c r="B87" s="45">
        <v>100000000</v>
      </c>
      <c r="C87" s="45">
        <f t="shared" si="3"/>
        <v>1</v>
      </c>
      <c r="D87" s="124"/>
      <c r="E87" s="5" t="s">
        <v>111</v>
      </c>
      <c r="F87">
        <v>204.03899999999999</v>
      </c>
      <c r="G87">
        <v>2.0299999999999998</v>
      </c>
      <c r="H87">
        <v>19.32</v>
      </c>
      <c r="I87">
        <v>150.88</v>
      </c>
      <c r="J87">
        <v>414.19916999999992</v>
      </c>
      <c r="K87">
        <v>3942.0334800000001</v>
      </c>
      <c r="L87">
        <v>30785.404320000001</v>
      </c>
      <c r="M87">
        <v>328.50279</v>
      </c>
      <c r="N87">
        <v>3823.6908599999988</v>
      </c>
      <c r="O87">
        <v>12391.28847</v>
      </c>
      <c r="P87" s="18">
        <f t="shared" si="4"/>
        <v>328.50279</v>
      </c>
      <c r="Q87" s="17">
        <f t="shared" si="5"/>
        <v>3823.6908599999988</v>
      </c>
      <c r="R87" s="17">
        <f t="shared" si="5"/>
        <v>12391.28847</v>
      </c>
      <c r="S87" s="98">
        <f>(F88-F87)/F87</f>
        <v>-0.3547851146104421</v>
      </c>
      <c r="T87" s="99">
        <f>(P88-P87)/P87</f>
        <v>-0.32272474763456349</v>
      </c>
      <c r="U87" s="99">
        <f>(Q88-Q87)/Q87</f>
        <v>-0.38198467488033261</v>
      </c>
      <c r="V87" s="100">
        <f>(R88-R87)/R87</f>
        <v>-0.37571502279778657</v>
      </c>
    </row>
    <row r="88" spans="1:22" x14ac:dyDescent="0.25">
      <c r="A88" s="97"/>
      <c r="B88" s="45">
        <v>100000000</v>
      </c>
      <c r="C88" s="45">
        <f t="shared" si="3"/>
        <v>1</v>
      </c>
      <c r="D88" s="97"/>
      <c r="E88" s="5" t="s">
        <v>114</v>
      </c>
      <c r="F88">
        <v>131.649</v>
      </c>
      <c r="G88">
        <v>2.11</v>
      </c>
      <c r="H88">
        <v>18.53</v>
      </c>
      <c r="I88">
        <v>148.91</v>
      </c>
      <c r="J88">
        <v>277.77938999999998</v>
      </c>
      <c r="K88">
        <v>2439.45597</v>
      </c>
      <c r="L88">
        <v>19603.852589999999</v>
      </c>
      <c r="M88">
        <v>222.48680999999999</v>
      </c>
      <c r="N88">
        <v>2363.0995499999999</v>
      </c>
      <c r="O88">
        <v>7735.69524</v>
      </c>
      <c r="P88" s="18">
        <f t="shared" si="4"/>
        <v>222.48680999999999</v>
      </c>
      <c r="Q88" s="17">
        <f t="shared" si="5"/>
        <v>2363.0995499999999</v>
      </c>
      <c r="R88" s="17">
        <f t="shared" si="5"/>
        <v>7735.69524</v>
      </c>
      <c r="S88" s="98"/>
      <c r="T88" s="99"/>
      <c r="U88" s="99"/>
      <c r="V88" s="100"/>
    </row>
    <row r="89" spans="1:22" x14ac:dyDescent="0.25">
      <c r="A89" s="97"/>
      <c r="B89" s="45">
        <v>100000000</v>
      </c>
      <c r="C89" s="45">
        <f t="shared" si="3"/>
        <v>1</v>
      </c>
      <c r="D89" s="97" t="s">
        <v>118</v>
      </c>
      <c r="E89" s="5" t="s">
        <v>111</v>
      </c>
      <c r="F89">
        <v>157.25899999999999</v>
      </c>
      <c r="G89">
        <v>2.06</v>
      </c>
      <c r="H89">
        <v>18.52</v>
      </c>
      <c r="I89">
        <v>148.78</v>
      </c>
      <c r="J89">
        <v>323.95353999999998</v>
      </c>
      <c r="K89">
        <v>2912.4366799999998</v>
      </c>
      <c r="L89">
        <v>23396.994019999998</v>
      </c>
      <c r="M89">
        <v>257.90476000000001</v>
      </c>
      <c r="N89">
        <v>2821.2264599999999</v>
      </c>
      <c r="O89">
        <v>9220.0951699999987</v>
      </c>
      <c r="P89" s="18">
        <f t="shared" si="4"/>
        <v>257.90476000000001</v>
      </c>
      <c r="Q89" s="17">
        <f t="shared" si="5"/>
        <v>2821.2264599999999</v>
      </c>
      <c r="R89" s="17">
        <f t="shared" si="5"/>
        <v>9220.0951699999987</v>
      </c>
      <c r="S89" s="98">
        <f>(F90-F89)/F89</f>
        <v>-1.6069032614985386E-2</v>
      </c>
      <c r="T89" s="99">
        <f>(P90-P89)/P89</f>
        <v>-1.6069032614985504E-2</v>
      </c>
      <c r="U89" s="99">
        <f>(Q90-Q89)/Q89</f>
        <v>-3.5265010239553647E-2</v>
      </c>
      <c r="V89" s="100">
        <f>(R90-R89)/R89</f>
        <v>5.0763369723440021E-3</v>
      </c>
    </row>
    <row r="90" spans="1:22" x14ac:dyDescent="0.25">
      <c r="A90" s="97"/>
      <c r="B90" s="45">
        <v>100000000</v>
      </c>
      <c r="C90" s="45">
        <f t="shared" si="3"/>
        <v>1</v>
      </c>
      <c r="D90" s="97"/>
      <c r="E90" s="5" t="s">
        <v>114</v>
      </c>
      <c r="F90">
        <v>154.732</v>
      </c>
      <c r="G90">
        <v>2.06</v>
      </c>
      <c r="H90">
        <v>18.170000000000002</v>
      </c>
      <c r="I90">
        <v>150.04</v>
      </c>
      <c r="J90">
        <v>318.74792000000002</v>
      </c>
      <c r="K90">
        <v>2811.4804399999998</v>
      </c>
      <c r="L90">
        <v>23215.989280000002</v>
      </c>
      <c r="M90">
        <v>253.76048</v>
      </c>
      <c r="N90">
        <v>2721.7358800000002</v>
      </c>
      <c r="O90">
        <v>9266.89948</v>
      </c>
      <c r="P90" s="18">
        <f t="shared" si="4"/>
        <v>253.76048</v>
      </c>
      <c r="Q90" s="17">
        <f t="shared" si="5"/>
        <v>2721.7358800000002</v>
      </c>
      <c r="R90" s="17">
        <f t="shared" si="5"/>
        <v>9266.89948</v>
      </c>
      <c r="S90" s="98"/>
      <c r="T90" s="99"/>
      <c r="U90" s="99"/>
      <c r="V90" s="100"/>
    </row>
    <row r="91" spans="1:22" x14ac:dyDescent="0.25">
      <c r="A91" s="97" t="s">
        <v>87</v>
      </c>
      <c r="B91" s="45">
        <v>100000000</v>
      </c>
      <c r="C91" s="45">
        <f t="shared" si="3"/>
        <v>1</v>
      </c>
      <c r="D91" s="124"/>
      <c r="E91" s="5" t="s">
        <v>111</v>
      </c>
      <c r="F91">
        <v>6.492</v>
      </c>
      <c r="G91">
        <v>2.57</v>
      </c>
      <c r="H91">
        <v>27.4</v>
      </c>
      <c r="I91">
        <v>153.86000000000001</v>
      </c>
      <c r="J91">
        <v>16.684439999999999</v>
      </c>
      <c r="K91">
        <v>177.88079999999999</v>
      </c>
      <c r="L91">
        <v>998.85912000000008</v>
      </c>
      <c r="M91">
        <v>13.957800000000001</v>
      </c>
      <c r="N91">
        <v>174.11544000000001</v>
      </c>
      <c r="O91">
        <v>419.90256000000011</v>
      </c>
      <c r="P91" s="18">
        <f t="shared" si="4"/>
        <v>13.957800000000001</v>
      </c>
      <c r="Q91" s="17">
        <f t="shared" si="5"/>
        <v>174.11544000000001</v>
      </c>
      <c r="R91" s="17">
        <f t="shared" si="5"/>
        <v>419.90256000000011</v>
      </c>
      <c r="S91" s="98">
        <f>(F92-F91)/F91</f>
        <v>-4.1281577325939588E-2</v>
      </c>
      <c r="T91" s="99">
        <f>(P92-P91)/P91</f>
        <v>-7.2495665506025403E-2</v>
      </c>
      <c r="U91" s="99">
        <f>(Q92-Q91)/Q91</f>
        <v>-6.5589128683820414E-2</v>
      </c>
      <c r="V91" s="100">
        <f>(R92-R91)/R91</f>
        <v>-1.0895480132343356E-2</v>
      </c>
    </row>
    <row r="92" spans="1:22" x14ac:dyDescent="0.25">
      <c r="A92" s="97"/>
      <c r="B92" s="45">
        <v>100000000</v>
      </c>
      <c r="C92" s="45">
        <f t="shared" si="3"/>
        <v>1</v>
      </c>
      <c r="D92" s="97"/>
      <c r="E92" s="5" t="s">
        <v>114</v>
      </c>
      <c r="F92">
        <v>6.2240000000000002</v>
      </c>
      <c r="G92">
        <v>2.5</v>
      </c>
      <c r="H92">
        <v>26.72</v>
      </c>
      <c r="I92">
        <v>155.91999999999999</v>
      </c>
      <c r="J92">
        <v>15.56</v>
      </c>
      <c r="K92">
        <v>166.30528000000001</v>
      </c>
      <c r="L92">
        <v>970.44607999999994</v>
      </c>
      <c r="M92">
        <v>12.945919999999999</v>
      </c>
      <c r="N92">
        <v>162.69535999999999</v>
      </c>
      <c r="O92">
        <v>415.32751999999999</v>
      </c>
      <c r="P92" s="18">
        <f t="shared" si="4"/>
        <v>12.945919999999999</v>
      </c>
      <c r="Q92" s="17">
        <f t="shared" si="5"/>
        <v>162.69535999999999</v>
      </c>
      <c r="R92" s="17">
        <f t="shared" si="5"/>
        <v>415.32751999999999</v>
      </c>
      <c r="S92" s="98"/>
      <c r="T92" s="99"/>
      <c r="U92" s="99"/>
      <c r="V92" s="100"/>
    </row>
    <row r="93" spans="1:22" x14ac:dyDescent="0.25">
      <c r="A93" s="97"/>
      <c r="B93" s="45">
        <v>100000000</v>
      </c>
      <c r="C93" s="45">
        <f t="shared" si="3"/>
        <v>1</v>
      </c>
      <c r="D93" s="97" t="s">
        <v>118</v>
      </c>
      <c r="E93" s="5" t="s">
        <v>111</v>
      </c>
      <c r="F93">
        <v>2.5310000000000001</v>
      </c>
      <c r="G93">
        <v>2.58</v>
      </c>
      <c r="H93">
        <v>22.35</v>
      </c>
      <c r="I93">
        <v>148.56</v>
      </c>
      <c r="J93">
        <v>6.5299800000000001</v>
      </c>
      <c r="K93">
        <v>56.567850000000007</v>
      </c>
      <c r="L93">
        <v>376.00536000000011</v>
      </c>
      <c r="M93">
        <v>5.4669600000000003</v>
      </c>
      <c r="N93">
        <v>55.099870000000003</v>
      </c>
      <c r="O93">
        <v>150.29078000000001</v>
      </c>
      <c r="P93" s="18">
        <f t="shared" si="4"/>
        <v>5.4669600000000003</v>
      </c>
      <c r="Q93" s="17">
        <f t="shared" si="5"/>
        <v>55.099870000000003</v>
      </c>
      <c r="R93" s="17">
        <f t="shared" si="5"/>
        <v>150.29078000000001</v>
      </c>
      <c r="S93" s="98">
        <f>(F94-F93)/F93</f>
        <v>-2.3706045041485598E-2</v>
      </c>
      <c r="T93" s="99">
        <f>(P94-P93)/P93</f>
        <v>-6.8904839252527841E-2</v>
      </c>
      <c r="U93" s="99">
        <f>(Q94-Q93)/Q93</f>
        <v>1.4076258256144397E-3</v>
      </c>
      <c r="V93" s="100">
        <f>(R94-R93)/R93</f>
        <v>1.2958413017751323E-2</v>
      </c>
    </row>
    <row r="94" spans="1:22" x14ac:dyDescent="0.25">
      <c r="A94" s="97"/>
      <c r="B94" s="45">
        <v>100000000</v>
      </c>
      <c r="C94" s="45">
        <f t="shared" si="3"/>
        <v>1</v>
      </c>
      <c r="D94" s="97"/>
      <c r="E94" s="5" t="s">
        <v>114</v>
      </c>
      <c r="F94">
        <v>2.4710000000000001</v>
      </c>
      <c r="G94">
        <v>2.48</v>
      </c>
      <c r="H94">
        <v>22.91</v>
      </c>
      <c r="I94">
        <v>150.80000000000001</v>
      </c>
      <c r="J94">
        <v>6.1280799999999997</v>
      </c>
      <c r="K94">
        <v>56.610610000000001</v>
      </c>
      <c r="L94">
        <v>372.62680000000012</v>
      </c>
      <c r="M94">
        <v>5.0902600000000007</v>
      </c>
      <c r="N94">
        <v>55.177430000000001</v>
      </c>
      <c r="O94">
        <v>152.23831000000001</v>
      </c>
      <c r="P94" s="18">
        <f t="shared" si="4"/>
        <v>5.0902600000000007</v>
      </c>
      <c r="Q94" s="17">
        <f t="shared" si="5"/>
        <v>55.177430000000001</v>
      </c>
      <c r="R94" s="17">
        <f t="shared" si="5"/>
        <v>152.23831000000001</v>
      </c>
      <c r="S94" s="98"/>
      <c r="T94" s="99"/>
      <c r="U94" s="99"/>
      <c r="V94" s="100"/>
    </row>
    <row r="95" spans="1:22" x14ac:dyDescent="0.25">
      <c r="A95" s="97" t="s">
        <v>91</v>
      </c>
      <c r="B95" s="45">
        <v>100000000</v>
      </c>
      <c r="C95" s="45">
        <f t="shared" si="3"/>
        <v>1</v>
      </c>
      <c r="D95" s="124"/>
      <c r="E95" s="5" t="s">
        <v>111</v>
      </c>
      <c r="F95">
        <v>100.944</v>
      </c>
      <c r="G95">
        <v>1.52</v>
      </c>
      <c r="H95">
        <v>19.71</v>
      </c>
      <c r="I95">
        <v>149.97999999999999</v>
      </c>
      <c r="J95">
        <v>153.43487999999999</v>
      </c>
      <c r="K95">
        <v>1989.6062400000001</v>
      </c>
      <c r="L95">
        <v>15139.581120000001</v>
      </c>
      <c r="M95">
        <v>111.0384</v>
      </c>
      <c r="N95">
        <v>1931.05872</v>
      </c>
      <c r="O95">
        <v>5721.5059200000014</v>
      </c>
      <c r="P95" s="18">
        <f t="shared" si="4"/>
        <v>111.0384</v>
      </c>
      <c r="Q95" s="17">
        <f t="shared" si="5"/>
        <v>1931.05872</v>
      </c>
      <c r="R95" s="17">
        <f t="shared" si="5"/>
        <v>5721.5059200000014</v>
      </c>
      <c r="S95" s="98">
        <f>(F96-F95)/F95</f>
        <v>-0.45641147566967827</v>
      </c>
      <c r="T95" s="99">
        <f>(P96-P95)/P95</f>
        <v>-0.40205262323664609</v>
      </c>
      <c r="U95" s="99">
        <f>(Q96-Q95)/Q95</f>
        <v>-0.45385408062578231</v>
      </c>
      <c r="V95" s="100">
        <f>(R96-R95)/R95</f>
        <v>-0.44557423091856219</v>
      </c>
    </row>
    <row r="96" spans="1:22" x14ac:dyDescent="0.25">
      <c r="A96" s="97"/>
      <c r="B96" s="45">
        <v>100000000</v>
      </c>
      <c r="C96" s="45">
        <f t="shared" si="3"/>
        <v>1</v>
      </c>
      <c r="D96" s="97"/>
      <c r="E96" s="5" t="s">
        <v>114</v>
      </c>
      <c r="F96">
        <v>54.872</v>
      </c>
      <c r="G96">
        <v>1.63</v>
      </c>
      <c r="H96">
        <v>19.8</v>
      </c>
      <c r="I96">
        <v>151.11000000000001</v>
      </c>
      <c r="J96">
        <v>89.441359999999989</v>
      </c>
      <c r="K96">
        <v>1086.4656</v>
      </c>
      <c r="L96">
        <v>8291.7079200000007</v>
      </c>
      <c r="M96">
        <v>66.395119999999991</v>
      </c>
      <c r="N96">
        <v>1054.63984</v>
      </c>
      <c r="O96">
        <v>3172.1503200000002</v>
      </c>
      <c r="P96" s="18">
        <f t="shared" si="4"/>
        <v>66.395119999999991</v>
      </c>
      <c r="Q96" s="17">
        <f t="shared" si="5"/>
        <v>1054.63984</v>
      </c>
      <c r="R96" s="17">
        <f t="shared" si="5"/>
        <v>3172.1503200000002</v>
      </c>
      <c r="S96" s="98"/>
      <c r="T96" s="99"/>
      <c r="U96" s="99"/>
      <c r="V96" s="100"/>
    </row>
    <row r="97" spans="1:22" x14ac:dyDescent="0.25">
      <c r="A97" s="97"/>
      <c r="B97" s="45">
        <v>100000000</v>
      </c>
      <c r="C97" s="45">
        <f t="shared" si="3"/>
        <v>1</v>
      </c>
      <c r="D97" s="97" t="s">
        <v>118</v>
      </c>
      <c r="E97" s="5" t="s">
        <v>111</v>
      </c>
      <c r="F97">
        <v>83.373000000000005</v>
      </c>
      <c r="G97">
        <v>1.57</v>
      </c>
      <c r="H97">
        <v>20</v>
      </c>
      <c r="I97">
        <v>152.32</v>
      </c>
      <c r="J97">
        <v>130.89561</v>
      </c>
      <c r="K97">
        <v>1667.46</v>
      </c>
      <c r="L97">
        <v>12699.37536</v>
      </c>
      <c r="M97">
        <v>95.878950000000003</v>
      </c>
      <c r="N97">
        <v>1619.10366</v>
      </c>
      <c r="O97">
        <v>4920.6744600000002</v>
      </c>
      <c r="P97" s="18">
        <f t="shared" si="4"/>
        <v>95.878950000000003</v>
      </c>
      <c r="Q97" s="17">
        <f t="shared" si="5"/>
        <v>1619.10366</v>
      </c>
      <c r="R97" s="17">
        <f t="shared" si="5"/>
        <v>4920.6744600000002</v>
      </c>
      <c r="S97" s="98">
        <f>(F98-F97)/F97</f>
        <v>-0.36876446811317815</v>
      </c>
      <c r="T97" s="99">
        <f>(P98-P97)/P97</f>
        <v>-0.29191840336173902</v>
      </c>
      <c r="U97" s="99">
        <f>(Q98-Q97)/Q97</f>
        <v>-0.32163308184974393</v>
      </c>
      <c r="V97" s="100">
        <f>(R98-R97)/R97</f>
        <v>-0.3427749333370857</v>
      </c>
    </row>
    <row r="98" spans="1:22" x14ac:dyDescent="0.25">
      <c r="A98" s="97"/>
      <c r="B98" s="45">
        <v>100000000</v>
      </c>
      <c r="C98" s="45">
        <f t="shared" si="3"/>
        <v>1</v>
      </c>
      <c r="D98" s="97"/>
      <c r="E98" s="5" t="s">
        <v>114</v>
      </c>
      <c r="F98">
        <v>52.628</v>
      </c>
      <c r="G98">
        <v>1.71</v>
      </c>
      <c r="H98">
        <v>21.45</v>
      </c>
      <c r="I98">
        <v>154.74</v>
      </c>
      <c r="J98">
        <v>89.993880000000004</v>
      </c>
      <c r="K98">
        <v>1128.8706</v>
      </c>
      <c r="L98">
        <v>8143.6567200000009</v>
      </c>
      <c r="M98">
        <v>67.890119999999996</v>
      </c>
      <c r="N98">
        <v>1098.34636</v>
      </c>
      <c r="O98">
        <v>3233.9906000000001</v>
      </c>
      <c r="P98" s="18">
        <f t="shared" si="4"/>
        <v>67.890119999999996</v>
      </c>
      <c r="Q98" s="17">
        <f t="shared" si="5"/>
        <v>1098.34636</v>
      </c>
      <c r="R98" s="17">
        <f t="shared" si="5"/>
        <v>3233.9906000000001</v>
      </c>
      <c r="S98" s="98"/>
      <c r="T98" s="99"/>
      <c r="U98" s="99"/>
      <c r="V98" s="100"/>
    </row>
    <row r="99" spans="1:22" x14ac:dyDescent="0.25">
      <c r="A99" s="97" t="s">
        <v>93</v>
      </c>
      <c r="B99" s="45">
        <v>100000</v>
      </c>
      <c r="C99" s="45">
        <f t="shared" si="3"/>
        <v>1000</v>
      </c>
      <c r="D99" s="124"/>
      <c r="E99" s="5" t="s">
        <v>111</v>
      </c>
      <c r="F99">
        <v>7.3639999999999999</v>
      </c>
      <c r="G99">
        <v>1.52</v>
      </c>
      <c r="H99">
        <v>19.059999999999999</v>
      </c>
      <c r="I99">
        <v>149.35</v>
      </c>
      <c r="J99">
        <v>11.19328</v>
      </c>
      <c r="K99">
        <v>140.35784000000001</v>
      </c>
      <c r="L99">
        <v>1099.8134</v>
      </c>
      <c r="M99">
        <v>8.1004000000000005</v>
      </c>
      <c r="N99">
        <v>136.08672000000001</v>
      </c>
      <c r="O99">
        <v>414.15136000000001</v>
      </c>
      <c r="P99" s="18">
        <f t="shared" si="4"/>
        <v>8100.4000000000005</v>
      </c>
      <c r="Q99" s="17">
        <f t="shared" si="5"/>
        <v>136086.72</v>
      </c>
      <c r="R99" s="17">
        <f t="shared" si="5"/>
        <v>414151.36</v>
      </c>
      <c r="S99" s="98">
        <f>(F100-F99)/F99</f>
        <v>-0.21279196089082023</v>
      </c>
      <c r="T99" s="99">
        <f>(P100-P99)/P99</f>
        <v>-0.21994839760999457</v>
      </c>
      <c r="U99" s="99">
        <f>(Q100-Q99)/Q99</f>
        <v>-0.22301544191821215</v>
      </c>
      <c r="V99" s="100">
        <f>(R100-R99)/R99</f>
        <v>-0.22594942100395377</v>
      </c>
    </row>
    <row r="100" spans="1:22" x14ac:dyDescent="0.25">
      <c r="A100" s="97"/>
      <c r="B100" s="45">
        <v>100000</v>
      </c>
      <c r="C100" s="45">
        <f t="shared" si="3"/>
        <v>1000</v>
      </c>
      <c r="D100" s="97"/>
      <c r="E100" s="5" t="s">
        <v>114</v>
      </c>
      <c r="F100">
        <v>5.7969999999999997</v>
      </c>
      <c r="G100">
        <v>1.51</v>
      </c>
      <c r="H100">
        <v>18.82</v>
      </c>
      <c r="I100">
        <v>148.41</v>
      </c>
      <c r="J100">
        <v>8.7534700000000001</v>
      </c>
      <c r="K100">
        <v>109.09954</v>
      </c>
      <c r="L100">
        <v>860.33276999999998</v>
      </c>
      <c r="M100">
        <v>6.3187300000000004</v>
      </c>
      <c r="N100">
        <v>105.73728</v>
      </c>
      <c r="O100">
        <v>320.57409999999999</v>
      </c>
      <c r="P100" s="18">
        <f t="shared" si="4"/>
        <v>6318.7300000000005</v>
      </c>
      <c r="Q100" s="17">
        <f t="shared" si="5"/>
        <v>105737.28</v>
      </c>
      <c r="R100" s="17">
        <f t="shared" si="5"/>
        <v>320574.09999999998</v>
      </c>
      <c r="S100" s="98"/>
      <c r="T100" s="99"/>
      <c r="U100" s="99"/>
      <c r="V100" s="100"/>
    </row>
    <row r="101" spans="1:22" x14ac:dyDescent="0.25">
      <c r="A101" s="97"/>
      <c r="B101" s="45">
        <v>100000</v>
      </c>
      <c r="C101" s="45">
        <f t="shared" si="3"/>
        <v>1000</v>
      </c>
      <c r="D101" s="97" t="s">
        <v>118</v>
      </c>
      <c r="E101" s="5" t="s">
        <v>111</v>
      </c>
      <c r="F101">
        <v>6.2990000000000004</v>
      </c>
      <c r="G101">
        <v>1.52</v>
      </c>
      <c r="H101">
        <v>20.239999999999998</v>
      </c>
      <c r="I101">
        <v>152.69999999999999</v>
      </c>
      <c r="J101">
        <v>9.5744800000000012</v>
      </c>
      <c r="K101">
        <v>127.49176</v>
      </c>
      <c r="L101">
        <v>961.85730000000001</v>
      </c>
      <c r="M101">
        <v>6.9289000000000014</v>
      </c>
      <c r="N101">
        <v>123.83834</v>
      </c>
      <c r="O101">
        <v>375.35741000000002</v>
      </c>
      <c r="P101" s="18">
        <f t="shared" si="4"/>
        <v>6928.9000000000015</v>
      </c>
      <c r="Q101" s="17">
        <f t="shared" si="5"/>
        <v>123838.34</v>
      </c>
      <c r="R101" s="17">
        <f t="shared" si="5"/>
        <v>375357.41000000003</v>
      </c>
      <c r="S101" s="98">
        <f>(F102-F101)/F101</f>
        <v>-0.31290681060485792</v>
      </c>
      <c r="T101" s="99">
        <f>(P102-P101)/P101</f>
        <v>-0.30666050888308394</v>
      </c>
      <c r="U101" s="99">
        <f>(Q102-Q101)/Q101</f>
        <v>-0.33073069293402996</v>
      </c>
      <c r="V101" s="100">
        <f>(R102-R101)/R101</f>
        <v>-0.31728834126386379</v>
      </c>
    </row>
    <row r="102" spans="1:22" x14ac:dyDescent="0.25">
      <c r="A102" s="97"/>
      <c r="B102" s="45">
        <v>100000</v>
      </c>
      <c r="C102" s="45">
        <f t="shared" si="3"/>
        <v>1000</v>
      </c>
      <c r="D102" s="97"/>
      <c r="E102" s="5" t="s">
        <v>114</v>
      </c>
      <c r="F102">
        <v>4.3280000000000003</v>
      </c>
      <c r="G102">
        <v>1.53</v>
      </c>
      <c r="H102">
        <v>19.73</v>
      </c>
      <c r="I102">
        <v>152.32</v>
      </c>
      <c r="J102">
        <v>6.6218400000000006</v>
      </c>
      <c r="K102">
        <v>85.391440000000003</v>
      </c>
      <c r="L102">
        <v>659.24095999999997</v>
      </c>
      <c r="M102">
        <v>4.8040800000000008</v>
      </c>
      <c r="N102">
        <v>82.881199999999993</v>
      </c>
      <c r="O102">
        <v>256.26087999999999</v>
      </c>
      <c r="P102" s="18">
        <f t="shared" si="4"/>
        <v>4804.0800000000008</v>
      </c>
      <c r="Q102" s="17">
        <f t="shared" si="5"/>
        <v>82881.2</v>
      </c>
      <c r="R102" s="17">
        <f t="shared" si="5"/>
        <v>256260.87999999998</v>
      </c>
      <c r="S102" s="98"/>
      <c r="T102" s="99"/>
      <c r="U102" s="99"/>
      <c r="V102" s="100"/>
    </row>
    <row r="103" spans="1:22" x14ac:dyDescent="0.25">
      <c r="A103" s="97" t="s">
        <v>95</v>
      </c>
      <c r="B103" s="45">
        <v>100000</v>
      </c>
      <c r="C103" s="45">
        <f t="shared" si="3"/>
        <v>1000</v>
      </c>
      <c r="D103" s="124"/>
      <c r="E103" s="5" t="s">
        <v>111</v>
      </c>
      <c r="F103">
        <v>10.768000000000001</v>
      </c>
      <c r="G103">
        <v>2.39</v>
      </c>
      <c r="H103">
        <v>26.19</v>
      </c>
      <c r="I103">
        <v>157.04</v>
      </c>
      <c r="J103">
        <v>25.735520000000001</v>
      </c>
      <c r="K103">
        <v>282.01391999999998</v>
      </c>
      <c r="L103">
        <v>1691.0067200000001</v>
      </c>
      <c r="M103">
        <v>21.212959999999999</v>
      </c>
      <c r="N103">
        <v>275.76848000000001</v>
      </c>
      <c r="O103">
        <v>674.50752</v>
      </c>
      <c r="P103" s="18">
        <f t="shared" si="4"/>
        <v>21212.959999999999</v>
      </c>
      <c r="Q103" s="17">
        <f t="shared" si="5"/>
        <v>275768.48000000004</v>
      </c>
      <c r="R103" s="17">
        <f t="shared" si="5"/>
        <v>674507.52</v>
      </c>
      <c r="S103" s="98">
        <f>(F104-F103)/F103</f>
        <v>-2.6745913818722163E-2</v>
      </c>
      <c r="T103" s="99">
        <f>(P104-P103)/P103</f>
        <v>-2.180553774673602E-2</v>
      </c>
      <c r="U103" s="99">
        <f>(Q104-Q103)/Q103</f>
        <v>-3.928686846299502E-2</v>
      </c>
      <c r="V103" s="100">
        <f>(R104-R103)/R103</f>
        <v>-4.7721217400215121E-2</v>
      </c>
    </row>
    <row r="104" spans="1:22" x14ac:dyDescent="0.25">
      <c r="A104" s="97"/>
      <c r="B104" s="45">
        <v>100000</v>
      </c>
      <c r="C104" s="45">
        <f t="shared" si="3"/>
        <v>1000</v>
      </c>
      <c r="D104" s="97"/>
      <c r="E104" s="5" t="s">
        <v>114</v>
      </c>
      <c r="F104">
        <v>10.48</v>
      </c>
      <c r="G104">
        <v>2.4</v>
      </c>
      <c r="H104">
        <v>25.86</v>
      </c>
      <c r="I104">
        <v>155.69</v>
      </c>
      <c r="J104">
        <v>25.152000000000001</v>
      </c>
      <c r="K104">
        <v>271.01280000000003</v>
      </c>
      <c r="L104">
        <v>1631.6312</v>
      </c>
      <c r="M104">
        <v>20.750399999999999</v>
      </c>
      <c r="N104">
        <v>264.93439999999998</v>
      </c>
      <c r="O104">
        <v>642.31920000000002</v>
      </c>
      <c r="P104" s="18">
        <f t="shared" si="4"/>
        <v>20750.399999999998</v>
      </c>
      <c r="Q104" s="17">
        <f t="shared" si="5"/>
        <v>264934.39999999997</v>
      </c>
      <c r="R104" s="17">
        <f t="shared" si="5"/>
        <v>642319.20000000007</v>
      </c>
      <c r="S104" s="98"/>
      <c r="T104" s="99"/>
      <c r="U104" s="99"/>
      <c r="V104" s="100"/>
    </row>
    <row r="105" spans="1:22" x14ac:dyDescent="0.25">
      <c r="A105" s="97"/>
      <c r="B105" s="45">
        <v>100000</v>
      </c>
      <c r="C105" s="45">
        <f t="shared" si="3"/>
        <v>1000</v>
      </c>
      <c r="D105" s="97" t="s">
        <v>118</v>
      </c>
      <c r="E105" s="5" t="s">
        <v>111</v>
      </c>
      <c r="F105">
        <v>14.17</v>
      </c>
      <c r="G105">
        <v>2.39</v>
      </c>
      <c r="H105">
        <v>27.81</v>
      </c>
      <c r="I105">
        <v>160.62</v>
      </c>
      <c r="J105">
        <v>33.866300000000003</v>
      </c>
      <c r="K105">
        <v>394.0677</v>
      </c>
      <c r="L105">
        <v>2275.9854</v>
      </c>
      <c r="M105">
        <v>27.914899999999999</v>
      </c>
      <c r="N105">
        <v>385.84910000000002</v>
      </c>
      <c r="O105">
        <v>938.47910000000002</v>
      </c>
      <c r="P105" s="18">
        <f t="shared" si="4"/>
        <v>27914.899999999998</v>
      </c>
      <c r="Q105" s="17">
        <f t="shared" si="5"/>
        <v>385849.10000000003</v>
      </c>
      <c r="R105" s="17">
        <f t="shared" si="5"/>
        <v>938479.1</v>
      </c>
      <c r="S105" s="98">
        <f>(F106-F105)/F105</f>
        <v>-4.2766407904022571E-2</v>
      </c>
      <c r="T105" s="99">
        <f>(P106-P105)/P105</f>
        <v>-3.7907354137037941E-2</v>
      </c>
      <c r="U105" s="99">
        <f>(Q106-Q105)/Q105</f>
        <v>-4.5227162639487929E-2</v>
      </c>
      <c r="V105" s="100">
        <f>(R106-R105)/R105</f>
        <v>-7.6442299034682817E-2</v>
      </c>
    </row>
    <row r="106" spans="1:22" x14ac:dyDescent="0.25">
      <c r="A106" s="97"/>
      <c r="B106" s="45">
        <v>100000</v>
      </c>
      <c r="C106" s="45">
        <f t="shared" si="3"/>
        <v>1000</v>
      </c>
      <c r="D106" s="97"/>
      <c r="E106" s="5" t="s">
        <v>114</v>
      </c>
      <c r="F106">
        <v>13.564</v>
      </c>
      <c r="G106">
        <v>2.4</v>
      </c>
      <c r="H106">
        <v>27.74</v>
      </c>
      <c r="I106">
        <v>158.29</v>
      </c>
      <c r="J106">
        <v>32.553600000000003</v>
      </c>
      <c r="K106">
        <v>376.26535999999999</v>
      </c>
      <c r="L106">
        <v>2147.04556</v>
      </c>
      <c r="M106">
        <v>26.856719999999999</v>
      </c>
      <c r="N106">
        <v>368.39823999999999</v>
      </c>
      <c r="O106">
        <v>866.7396</v>
      </c>
      <c r="P106" s="21">
        <f t="shared" si="4"/>
        <v>26856.719999999998</v>
      </c>
      <c r="Q106" s="20">
        <f t="shared" si="5"/>
        <v>368398.24</v>
      </c>
      <c r="R106" s="20">
        <f t="shared" si="5"/>
        <v>866739.6</v>
      </c>
      <c r="S106" s="101"/>
      <c r="T106" s="102"/>
      <c r="U106" s="102"/>
      <c r="V106" s="103"/>
    </row>
    <row r="107" spans="1:22" x14ac:dyDescent="0.25">
      <c r="F107" s="1"/>
      <c r="G107" s="1"/>
      <c r="H107" s="1"/>
      <c r="I107" s="1"/>
      <c r="J107" s="1"/>
      <c r="K107" s="1"/>
      <c r="L107" s="1"/>
      <c r="M107" s="1"/>
      <c r="N107" s="1"/>
      <c r="O107" s="1"/>
    </row>
  </sheetData>
  <mergeCells count="297">
    <mergeCell ref="T103:T104"/>
    <mergeCell ref="U103:U104"/>
    <mergeCell ref="V103:V104"/>
    <mergeCell ref="T105:T106"/>
    <mergeCell ref="U105:U106"/>
    <mergeCell ref="V105:V106"/>
    <mergeCell ref="T97:T98"/>
    <mergeCell ref="U97:U98"/>
    <mergeCell ref="V97:V98"/>
    <mergeCell ref="T99:T100"/>
    <mergeCell ref="U99:U100"/>
    <mergeCell ref="V99:V100"/>
    <mergeCell ref="T101:T102"/>
    <mergeCell ref="U101:U102"/>
    <mergeCell ref="V101:V102"/>
    <mergeCell ref="T91:T92"/>
    <mergeCell ref="U91:U92"/>
    <mergeCell ref="V91:V92"/>
    <mergeCell ref="T93:T94"/>
    <mergeCell ref="U93:U94"/>
    <mergeCell ref="V93:V94"/>
    <mergeCell ref="T95:T96"/>
    <mergeCell ref="U95:U96"/>
    <mergeCell ref="V95:V96"/>
    <mergeCell ref="T85:T86"/>
    <mergeCell ref="U85:U86"/>
    <mergeCell ref="V85:V86"/>
    <mergeCell ref="T87:T88"/>
    <mergeCell ref="U87:U88"/>
    <mergeCell ref="V87:V88"/>
    <mergeCell ref="T89:T90"/>
    <mergeCell ref="U89:U90"/>
    <mergeCell ref="V89:V90"/>
    <mergeCell ref="T79:T80"/>
    <mergeCell ref="U79:U80"/>
    <mergeCell ref="V79:V80"/>
    <mergeCell ref="S81:S82"/>
    <mergeCell ref="T81:T82"/>
    <mergeCell ref="U81:U82"/>
    <mergeCell ref="V81:V82"/>
    <mergeCell ref="S83:S84"/>
    <mergeCell ref="T83:T84"/>
    <mergeCell ref="U83:U84"/>
    <mergeCell ref="V83:V84"/>
    <mergeCell ref="T73:T74"/>
    <mergeCell ref="U73:U74"/>
    <mergeCell ref="V73:V74"/>
    <mergeCell ref="T75:T76"/>
    <mergeCell ref="U75:U76"/>
    <mergeCell ref="V75:V76"/>
    <mergeCell ref="T77:T78"/>
    <mergeCell ref="U77:U78"/>
    <mergeCell ref="V77:V78"/>
    <mergeCell ref="T67:T68"/>
    <mergeCell ref="U67:U68"/>
    <mergeCell ref="V67:V68"/>
    <mergeCell ref="T69:T70"/>
    <mergeCell ref="U69:U70"/>
    <mergeCell ref="V69:V70"/>
    <mergeCell ref="T71:T72"/>
    <mergeCell ref="U71:U72"/>
    <mergeCell ref="V71:V72"/>
    <mergeCell ref="T61:T62"/>
    <mergeCell ref="U61:U62"/>
    <mergeCell ref="V61:V62"/>
    <mergeCell ref="T63:T64"/>
    <mergeCell ref="U63:U64"/>
    <mergeCell ref="V63:V64"/>
    <mergeCell ref="T65:T66"/>
    <mergeCell ref="U65:U66"/>
    <mergeCell ref="V65:V66"/>
    <mergeCell ref="T55:T56"/>
    <mergeCell ref="U55:U56"/>
    <mergeCell ref="V55:V56"/>
    <mergeCell ref="S57:S58"/>
    <mergeCell ref="T57:T58"/>
    <mergeCell ref="U57:U58"/>
    <mergeCell ref="V57:V58"/>
    <mergeCell ref="S59:S60"/>
    <mergeCell ref="T59:T60"/>
    <mergeCell ref="U59:U60"/>
    <mergeCell ref="V59:V60"/>
    <mergeCell ref="T49:T50"/>
    <mergeCell ref="U49:U50"/>
    <mergeCell ref="V49:V50"/>
    <mergeCell ref="T51:T52"/>
    <mergeCell ref="U51:U52"/>
    <mergeCell ref="V51:V52"/>
    <mergeCell ref="T53:T54"/>
    <mergeCell ref="U53:U54"/>
    <mergeCell ref="V53:V54"/>
    <mergeCell ref="T43:T44"/>
    <mergeCell ref="U43:U44"/>
    <mergeCell ref="V43:V44"/>
    <mergeCell ref="T45:T46"/>
    <mergeCell ref="U45:U46"/>
    <mergeCell ref="V45:V46"/>
    <mergeCell ref="T47:T48"/>
    <mergeCell ref="U47:U48"/>
    <mergeCell ref="V47:V48"/>
    <mergeCell ref="T37:T38"/>
    <mergeCell ref="U37:U38"/>
    <mergeCell ref="V37:V38"/>
    <mergeCell ref="T39:T40"/>
    <mergeCell ref="U39:U40"/>
    <mergeCell ref="V39:V40"/>
    <mergeCell ref="T41:T42"/>
    <mergeCell ref="U41:U42"/>
    <mergeCell ref="V41:V42"/>
    <mergeCell ref="T31:T32"/>
    <mergeCell ref="U31:U32"/>
    <mergeCell ref="V31:V32"/>
    <mergeCell ref="S33:S34"/>
    <mergeCell ref="T33:T34"/>
    <mergeCell ref="U33:U34"/>
    <mergeCell ref="V33:V34"/>
    <mergeCell ref="S35:S36"/>
    <mergeCell ref="T35:T36"/>
    <mergeCell ref="U35:U36"/>
    <mergeCell ref="V35:V36"/>
    <mergeCell ref="T25:T26"/>
    <mergeCell ref="U25:U26"/>
    <mergeCell ref="V25:V26"/>
    <mergeCell ref="T27:T28"/>
    <mergeCell ref="U27:U28"/>
    <mergeCell ref="V27:V28"/>
    <mergeCell ref="T29:T30"/>
    <mergeCell ref="U29:U30"/>
    <mergeCell ref="V29:V30"/>
    <mergeCell ref="T19:T20"/>
    <mergeCell ref="U19:U20"/>
    <mergeCell ref="V19:V20"/>
    <mergeCell ref="T21:T22"/>
    <mergeCell ref="U21:U22"/>
    <mergeCell ref="V21:V22"/>
    <mergeCell ref="T23:T24"/>
    <mergeCell ref="U23:U24"/>
    <mergeCell ref="V23:V24"/>
    <mergeCell ref="T13:T14"/>
    <mergeCell ref="U13:U14"/>
    <mergeCell ref="V13:V14"/>
    <mergeCell ref="T15:T16"/>
    <mergeCell ref="U15:U16"/>
    <mergeCell ref="V15:V16"/>
    <mergeCell ref="T17:T18"/>
    <mergeCell ref="U17:U18"/>
    <mergeCell ref="V17:V18"/>
    <mergeCell ref="T7:T8"/>
    <mergeCell ref="U7:U8"/>
    <mergeCell ref="V7:V8"/>
    <mergeCell ref="S9:S10"/>
    <mergeCell ref="T9:T10"/>
    <mergeCell ref="U9:U10"/>
    <mergeCell ref="V9:V10"/>
    <mergeCell ref="S11:S12"/>
    <mergeCell ref="T11:T12"/>
    <mergeCell ref="U11:U12"/>
    <mergeCell ref="V11:V12"/>
    <mergeCell ref="P1:R1"/>
    <mergeCell ref="S1:V1"/>
    <mergeCell ref="S3:S4"/>
    <mergeCell ref="T3:T4"/>
    <mergeCell ref="U3:U4"/>
    <mergeCell ref="V3:V4"/>
    <mergeCell ref="T5:T6"/>
    <mergeCell ref="U5:U6"/>
    <mergeCell ref="V5:V6"/>
    <mergeCell ref="S5:S6"/>
    <mergeCell ref="M1:O1"/>
    <mergeCell ref="A3:A6"/>
    <mergeCell ref="D3:D4"/>
    <mergeCell ref="D5:D6"/>
    <mergeCell ref="A1:A2"/>
    <mergeCell ref="D1:D2"/>
    <mergeCell ref="E1:E2"/>
    <mergeCell ref="F1:F2"/>
    <mergeCell ref="G1:I1"/>
    <mergeCell ref="J1:L1"/>
    <mergeCell ref="C1:C2"/>
    <mergeCell ref="A7:A10"/>
    <mergeCell ref="D7:D8"/>
    <mergeCell ref="S7:S8"/>
    <mergeCell ref="D9:D10"/>
    <mergeCell ref="A15:A18"/>
    <mergeCell ref="D15:D16"/>
    <mergeCell ref="A11:A14"/>
    <mergeCell ref="D11:D12"/>
    <mergeCell ref="S15:S16"/>
    <mergeCell ref="D17:D18"/>
    <mergeCell ref="S17:S18"/>
    <mergeCell ref="D13:D14"/>
    <mergeCell ref="S13:S14"/>
    <mergeCell ref="S21:S22"/>
    <mergeCell ref="A23:A26"/>
    <mergeCell ref="D23:D24"/>
    <mergeCell ref="S23:S24"/>
    <mergeCell ref="D25:D26"/>
    <mergeCell ref="A19:A22"/>
    <mergeCell ref="D19:D20"/>
    <mergeCell ref="S19:S20"/>
    <mergeCell ref="D21:D22"/>
    <mergeCell ref="S25:S26"/>
    <mergeCell ref="A27:A30"/>
    <mergeCell ref="D27:D28"/>
    <mergeCell ref="S27:S28"/>
    <mergeCell ref="D29:D30"/>
    <mergeCell ref="S29:S30"/>
    <mergeCell ref="A31:A34"/>
    <mergeCell ref="D31:D32"/>
    <mergeCell ref="S31:S32"/>
    <mergeCell ref="D33:D34"/>
    <mergeCell ref="A39:A42"/>
    <mergeCell ref="D39:D40"/>
    <mergeCell ref="A35:A38"/>
    <mergeCell ref="D35:D36"/>
    <mergeCell ref="S39:S40"/>
    <mergeCell ref="D41:D42"/>
    <mergeCell ref="S41:S42"/>
    <mergeCell ref="D37:D38"/>
    <mergeCell ref="S37:S38"/>
    <mergeCell ref="S45:S46"/>
    <mergeCell ref="A47:A50"/>
    <mergeCell ref="D47:D48"/>
    <mergeCell ref="S47:S48"/>
    <mergeCell ref="D49:D50"/>
    <mergeCell ref="A43:A46"/>
    <mergeCell ref="D43:D44"/>
    <mergeCell ref="S43:S44"/>
    <mergeCell ref="D45:D46"/>
    <mergeCell ref="S49:S50"/>
    <mergeCell ref="A51:A54"/>
    <mergeCell ref="D51:D52"/>
    <mergeCell ref="S51:S52"/>
    <mergeCell ref="D53:D54"/>
    <mergeCell ref="S53:S54"/>
    <mergeCell ref="A55:A58"/>
    <mergeCell ref="D55:D56"/>
    <mergeCell ref="S55:S56"/>
    <mergeCell ref="D57:D58"/>
    <mergeCell ref="A63:A66"/>
    <mergeCell ref="D63:D64"/>
    <mergeCell ref="A59:A62"/>
    <mergeCell ref="D59:D60"/>
    <mergeCell ref="S63:S64"/>
    <mergeCell ref="D65:D66"/>
    <mergeCell ref="S65:S66"/>
    <mergeCell ref="D61:D62"/>
    <mergeCell ref="S61:S62"/>
    <mergeCell ref="S69:S70"/>
    <mergeCell ref="A71:A74"/>
    <mergeCell ref="D71:D72"/>
    <mergeCell ref="S71:S72"/>
    <mergeCell ref="D73:D74"/>
    <mergeCell ref="A67:A70"/>
    <mergeCell ref="D67:D68"/>
    <mergeCell ref="S67:S68"/>
    <mergeCell ref="D69:D70"/>
    <mergeCell ref="S73:S74"/>
    <mergeCell ref="D83:D84"/>
    <mergeCell ref="S87:S88"/>
    <mergeCell ref="D89:D90"/>
    <mergeCell ref="S89:S90"/>
    <mergeCell ref="D85:D86"/>
    <mergeCell ref="S85:S86"/>
    <mergeCell ref="A75:A78"/>
    <mergeCell ref="D75:D76"/>
    <mergeCell ref="S75:S76"/>
    <mergeCell ref="D77:D78"/>
    <mergeCell ref="S77:S78"/>
    <mergeCell ref="A79:A82"/>
    <mergeCell ref="D79:D80"/>
    <mergeCell ref="S79:S80"/>
    <mergeCell ref="D81:D82"/>
    <mergeCell ref="S105:S106"/>
    <mergeCell ref="B1:B2"/>
    <mergeCell ref="S101:S102"/>
    <mergeCell ref="A103:A106"/>
    <mergeCell ref="D103:D104"/>
    <mergeCell ref="S103:S104"/>
    <mergeCell ref="D105:D106"/>
    <mergeCell ref="S97:S98"/>
    <mergeCell ref="A99:A102"/>
    <mergeCell ref="D99:D100"/>
    <mergeCell ref="S99:S100"/>
    <mergeCell ref="D101:D102"/>
    <mergeCell ref="S93:S94"/>
    <mergeCell ref="A95:A98"/>
    <mergeCell ref="D95:D96"/>
    <mergeCell ref="S95:S96"/>
    <mergeCell ref="D97:D98"/>
    <mergeCell ref="A91:A94"/>
    <mergeCell ref="D91:D92"/>
    <mergeCell ref="S91:S92"/>
    <mergeCell ref="D93:D94"/>
    <mergeCell ref="A87:A90"/>
    <mergeCell ref="D87:D88"/>
    <mergeCell ref="A83:A86"/>
  </mergeCells>
  <conditionalFormatting sqref="S3:V106">
    <cfRule type="colorScale" priority="1">
      <colorScale>
        <cfvo type="num" val="-1"/>
        <cfvo type="num" val="0"/>
        <cfvo type="num" val="1"/>
        <color rgb="FF92D050"/>
        <color rgb="FFFFC000"/>
        <color rgb="FFFF0000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E76DA-743A-432B-84E1-9895448024EC}">
  <dimension ref="A1:V106"/>
  <sheetViews>
    <sheetView zoomScaleNormal="100" workbookViewId="0">
      <selection activeCell="F3" sqref="F3:O106"/>
    </sheetView>
  </sheetViews>
  <sheetFormatPr baseColWidth="10" defaultColWidth="9.140625" defaultRowHeight="15" x14ac:dyDescent="0.25"/>
  <cols>
    <col min="1" max="1" width="10.28515625" bestFit="1" customWidth="1"/>
    <col min="2" max="2" width="11" bestFit="1" customWidth="1"/>
    <col min="3" max="3" width="11" customWidth="1"/>
    <col min="5" max="6" width="12.7109375" bestFit="1" customWidth="1"/>
    <col min="15" max="15" width="12.42578125" customWidth="1"/>
    <col min="16" max="16" width="11.7109375" customWidth="1"/>
    <col min="17" max="18" width="9.7109375" bestFit="1" customWidth="1"/>
  </cols>
  <sheetData>
    <row r="1" spans="1:22" x14ac:dyDescent="0.25">
      <c r="A1" s="105" t="s">
        <v>97</v>
      </c>
      <c r="B1" s="122" t="s">
        <v>171</v>
      </c>
      <c r="C1" s="122" t="s">
        <v>172</v>
      </c>
      <c r="D1" s="105" t="s">
        <v>98</v>
      </c>
      <c r="E1" s="131" t="s">
        <v>117</v>
      </c>
      <c r="F1" s="105" t="s">
        <v>100</v>
      </c>
      <c r="G1" s="105" t="s">
        <v>101</v>
      </c>
      <c r="H1" s="105"/>
      <c r="I1" s="105"/>
      <c r="J1" s="105" t="s">
        <v>102</v>
      </c>
      <c r="K1" s="105"/>
      <c r="L1" s="105"/>
      <c r="M1" s="105" t="s">
        <v>103</v>
      </c>
      <c r="N1" s="105"/>
      <c r="O1" s="105"/>
      <c r="P1" s="104" t="s">
        <v>174</v>
      </c>
      <c r="Q1" s="104"/>
      <c r="R1" s="104"/>
      <c r="S1" s="108" t="s">
        <v>104</v>
      </c>
      <c r="T1" s="109"/>
      <c r="U1" s="109"/>
      <c r="V1" s="110"/>
    </row>
    <row r="2" spans="1:22" x14ac:dyDescent="0.25">
      <c r="A2" s="105"/>
      <c r="B2" s="123"/>
      <c r="C2" s="127"/>
      <c r="D2" s="105"/>
      <c r="E2" s="132"/>
      <c r="F2" s="105"/>
      <c r="G2" s="15" t="s">
        <v>105</v>
      </c>
      <c r="H2" s="15" t="s">
        <v>106</v>
      </c>
      <c r="I2" s="15" t="s">
        <v>107</v>
      </c>
      <c r="J2" s="15" t="s">
        <v>108</v>
      </c>
      <c r="K2" s="15" t="s">
        <v>109</v>
      </c>
      <c r="L2" s="15" t="s">
        <v>110</v>
      </c>
      <c r="M2" s="15" t="s">
        <v>108</v>
      </c>
      <c r="N2" s="15" t="s">
        <v>109</v>
      </c>
      <c r="O2" s="15" t="s">
        <v>110</v>
      </c>
      <c r="P2" s="40" t="s">
        <v>108</v>
      </c>
      <c r="Q2" s="40" t="s">
        <v>109</v>
      </c>
      <c r="R2" s="40" t="s">
        <v>110</v>
      </c>
      <c r="S2" s="40" t="s">
        <v>100</v>
      </c>
      <c r="T2" s="40" t="s">
        <v>108</v>
      </c>
      <c r="U2" s="40" t="s">
        <v>109</v>
      </c>
      <c r="V2" s="40" t="s">
        <v>110</v>
      </c>
    </row>
    <row r="3" spans="1:22" x14ac:dyDescent="0.25">
      <c r="A3" s="97" t="s">
        <v>7</v>
      </c>
      <c r="B3" s="45">
        <v>100000000</v>
      </c>
      <c r="C3" s="45">
        <f>100000000/B3</f>
        <v>1</v>
      </c>
      <c r="D3" s="97" t="s">
        <v>111</v>
      </c>
      <c r="E3" s="6"/>
      <c r="F3">
        <v>84.436999999999998</v>
      </c>
      <c r="G3">
        <v>1.43</v>
      </c>
      <c r="H3">
        <v>25.03</v>
      </c>
      <c r="I3">
        <v>157.22</v>
      </c>
      <c r="J3">
        <v>120.74491</v>
      </c>
      <c r="K3">
        <v>2113.45811</v>
      </c>
      <c r="L3">
        <v>13275.18514</v>
      </c>
      <c r="M3">
        <v>85.281369999999995</v>
      </c>
      <c r="N3">
        <v>2099.9481900000001</v>
      </c>
      <c r="O3">
        <v>5560.176449999999</v>
      </c>
      <c r="P3" s="42">
        <f>$C3*M3</f>
        <v>85.281369999999995</v>
      </c>
      <c r="Q3" s="43">
        <f>$C3*N3</f>
        <v>2099.9481900000001</v>
      </c>
      <c r="R3" s="43">
        <f>$C3*O3</f>
        <v>5560.176449999999</v>
      </c>
      <c r="S3" s="128">
        <f>(F4-F3)/F3</f>
        <v>0.60923528784774439</v>
      </c>
      <c r="T3" s="129">
        <f>(P4-P3)/P3</f>
        <v>0.59330226519578655</v>
      </c>
      <c r="U3" s="129">
        <f>(Q4-Q3)/Q3</f>
        <v>0.56717646448220227</v>
      </c>
      <c r="V3" s="130">
        <f>(R4-R3)/R3</f>
        <v>0.55571630105371939</v>
      </c>
    </row>
    <row r="4" spans="1:22" x14ac:dyDescent="0.25">
      <c r="A4" s="97"/>
      <c r="B4" s="45">
        <v>100000000</v>
      </c>
      <c r="C4" s="45">
        <f t="shared" ref="C4:C67" si="0">100000000/B4</f>
        <v>1</v>
      </c>
      <c r="D4" s="97"/>
      <c r="E4" s="5" t="s">
        <v>118</v>
      </c>
      <c r="F4">
        <v>135.87899999999999</v>
      </c>
      <c r="G4">
        <v>1.42</v>
      </c>
      <c r="H4">
        <v>24.38</v>
      </c>
      <c r="I4">
        <v>155.03</v>
      </c>
      <c r="J4">
        <v>192.94818000000001</v>
      </c>
      <c r="K4">
        <v>3312.73002</v>
      </c>
      <c r="L4">
        <v>21065.321370000001</v>
      </c>
      <c r="M4">
        <v>135.87899999999999</v>
      </c>
      <c r="N4">
        <v>3290.98938</v>
      </c>
      <c r="O4">
        <v>8650.057139999999</v>
      </c>
      <c r="P4" s="18">
        <f t="shared" ref="P4:P67" si="1">C4*M4</f>
        <v>135.87899999999999</v>
      </c>
      <c r="Q4" s="17">
        <f t="shared" ref="Q4:R67" si="2">$C4*N4</f>
        <v>3290.98938</v>
      </c>
      <c r="R4" s="17">
        <f t="shared" si="2"/>
        <v>8650.057139999999</v>
      </c>
      <c r="S4" s="98"/>
      <c r="T4" s="99"/>
      <c r="U4" s="99"/>
      <c r="V4" s="100"/>
    </row>
    <row r="5" spans="1:22" x14ac:dyDescent="0.25">
      <c r="A5" s="97"/>
      <c r="B5" s="45">
        <v>100000000</v>
      </c>
      <c r="C5" s="45">
        <f t="shared" si="0"/>
        <v>1</v>
      </c>
      <c r="D5" s="97" t="s">
        <v>114</v>
      </c>
      <c r="E5" s="6"/>
      <c r="F5">
        <v>46.953000000000003</v>
      </c>
      <c r="G5">
        <v>1.43</v>
      </c>
      <c r="H5">
        <v>25.41</v>
      </c>
      <c r="I5">
        <v>157.22999999999999</v>
      </c>
      <c r="J5">
        <v>67.142790000000005</v>
      </c>
      <c r="K5">
        <v>1193.07573</v>
      </c>
      <c r="L5">
        <v>7382.4201899999998</v>
      </c>
      <c r="M5">
        <v>47.422530000000002</v>
      </c>
      <c r="N5">
        <v>1185.5632499999999</v>
      </c>
      <c r="O5">
        <v>3092.32458</v>
      </c>
      <c r="P5" s="18">
        <f t="shared" si="1"/>
        <v>47.422530000000002</v>
      </c>
      <c r="Q5" s="17">
        <f t="shared" si="2"/>
        <v>1185.5632499999999</v>
      </c>
      <c r="R5" s="17">
        <f t="shared" si="2"/>
        <v>3092.32458</v>
      </c>
      <c r="S5" s="98">
        <f>(F6-F5)/F5</f>
        <v>-9.6649841330692474E-2</v>
      </c>
      <c r="T5" s="99">
        <f>(P6-P5)/P5</f>
        <v>-9.6649841330692501E-2</v>
      </c>
      <c r="U5" s="99">
        <f>(Q6-Q5)/Q5</f>
        <v>-0.1420856710934654</v>
      </c>
      <c r="V5" s="100">
        <f>(R6-R5)/R5</f>
        <v>-0.14081606530450311</v>
      </c>
    </row>
    <row r="6" spans="1:22" x14ac:dyDescent="0.25">
      <c r="A6" s="97"/>
      <c r="B6" s="45">
        <v>100000000</v>
      </c>
      <c r="C6" s="45">
        <f t="shared" si="0"/>
        <v>1</v>
      </c>
      <c r="D6" s="97"/>
      <c r="E6" s="5" t="s">
        <v>118</v>
      </c>
      <c r="F6">
        <v>42.414999999999999</v>
      </c>
      <c r="G6">
        <v>1.43</v>
      </c>
      <c r="H6">
        <v>24.14</v>
      </c>
      <c r="I6">
        <v>154.01</v>
      </c>
      <c r="J6">
        <v>60.653449999999999</v>
      </c>
      <c r="K6">
        <v>1023.8981</v>
      </c>
      <c r="L6">
        <v>6532.3341499999997</v>
      </c>
      <c r="M6">
        <v>42.839149999999997</v>
      </c>
      <c r="N6">
        <v>1017.1117</v>
      </c>
      <c r="O6">
        <v>2656.8755999999998</v>
      </c>
      <c r="P6" s="18">
        <f t="shared" si="1"/>
        <v>42.839149999999997</v>
      </c>
      <c r="Q6" s="17">
        <f t="shared" si="2"/>
        <v>1017.1117</v>
      </c>
      <c r="R6" s="17">
        <f t="shared" si="2"/>
        <v>2656.8755999999998</v>
      </c>
      <c r="S6" s="98"/>
      <c r="T6" s="99"/>
      <c r="U6" s="99"/>
      <c r="V6" s="100"/>
    </row>
    <row r="7" spans="1:22" x14ac:dyDescent="0.25">
      <c r="A7" s="97" t="s">
        <v>9</v>
      </c>
      <c r="B7" s="45">
        <v>100000</v>
      </c>
      <c r="C7" s="45">
        <f t="shared" si="0"/>
        <v>1000</v>
      </c>
      <c r="D7" s="97" t="s">
        <v>111</v>
      </c>
      <c r="E7" s="6"/>
      <c r="F7">
        <v>5.7590000000000003</v>
      </c>
      <c r="G7">
        <v>1.77</v>
      </c>
      <c r="H7">
        <v>21.26</v>
      </c>
      <c r="I7">
        <v>151.68</v>
      </c>
      <c r="J7">
        <v>10.193429999999999</v>
      </c>
      <c r="K7">
        <v>122.43634</v>
      </c>
      <c r="L7">
        <v>873.52512000000013</v>
      </c>
      <c r="M7">
        <v>7.7746500000000012</v>
      </c>
      <c r="N7">
        <v>119.09612</v>
      </c>
      <c r="O7">
        <v>331.77598999999998</v>
      </c>
      <c r="P7" s="18">
        <f t="shared" si="1"/>
        <v>7774.6500000000015</v>
      </c>
      <c r="Q7" s="17">
        <f t="shared" si="2"/>
        <v>119096.12</v>
      </c>
      <c r="R7" s="17">
        <f t="shared" si="2"/>
        <v>331775.99</v>
      </c>
      <c r="S7" s="98">
        <f>(F8-F7)/F7</f>
        <v>9.0988018753255767E-2</v>
      </c>
      <c r="T7" s="99">
        <f>(P8-P7)/P7</f>
        <v>0.10715080421626688</v>
      </c>
      <c r="U7" s="99">
        <f>(Q8-Q7)/Q7</f>
        <v>0.20283011738753537</v>
      </c>
      <c r="V7" s="100">
        <f>(R8-R7)/R7</f>
        <v>0.20934724661661025</v>
      </c>
    </row>
    <row r="8" spans="1:22" x14ac:dyDescent="0.25">
      <c r="A8" s="97"/>
      <c r="B8" s="45">
        <v>100000</v>
      </c>
      <c r="C8" s="45">
        <f t="shared" si="0"/>
        <v>1000</v>
      </c>
      <c r="D8" s="97"/>
      <c r="E8" s="5" t="s">
        <v>118</v>
      </c>
      <c r="F8">
        <v>6.2830000000000004</v>
      </c>
      <c r="G8">
        <v>1.79</v>
      </c>
      <c r="H8">
        <v>23.38</v>
      </c>
      <c r="I8">
        <v>157.93</v>
      </c>
      <c r="J8">
        <v>11.24657</v>
      </c>
      <c r="K8">
        <v>146.89653999999999</v>
      </c>
      <c r="L8">
        <v>992.27419000000009</v>
      </c>
      <c r="M8">
        <v>8.6077100000000009</v>
      </c>
      <c r="N8">
        <v>143.25239999999999</v>
      </c>
      <c r="O8">
        <v>401.23237999999998</v>
      </c>
      <c r="P8" s="18">
        <f t="shared" si="1"/>
        <v>8607.7100000000009</v>
      </c>
      <c r="Q8" s="17">
        <f t="shared" si="2"/>
        <v>143252.4</v>
      </c>
      <c r="R8" s="17">
        <f t="shared" si="2"/>
        <v>401232.38</v>
      </c>
      <c r="S8" s="98"/>
      <c r="T8" s="99"/>
      <c r="U8" s="99"/>
      <c r="V8" s="100"/>
    </row>
    <row r="9" spans="1:22" x14ac:dyDescent="0.25">
      <c r="A9" s="97"/>
      <c r="B9" s="45">
        <v>100000</v>
      </c>
      <c r="C9" s="45">
        <f t="shared" si="0"/>
        <v>1000</v>
      </c>
      <c r="D9" s="97" t="s">
        <v>114</v>
      </c>
      <c r="E9" s="6"/>
      <c r="F9">
        <v>5.2510000000000003</v>
      </c>
      <c r="G9">
        <v>1.77</v>
      </c>
      <c r="H9">
        <v>21.26</v>
      </c>
      <c r="I9">
        <v>152.32</v>
      </c>
      <c r="J9">
        <v>9.2942700000000009</v>
      </c>
      <c r="K9">
        <v>111.63625999999999</v>
      </c>
      <c r="L9">
        <v>799.83231999999998</v>
      </c>
      <c r="M9">
        <v>7.0888500000000008</v>
      </c>
      <c r="N9">
        <v>108.59068000000001</v>
      </c>
      <c r="O9">
        <v>305.87074999999999</v>
      </c>
      <c r="P9" s="18">
        <f t="shared" si="1"/>
        <v>7088.85</v>
      </c>
      <c r="Q9" s="17">
        <f t="shared" si="2"/>
        <v>108590.68000000001</v>
      </c>
      <c r="R9" s="17">
        <f t="shared" si="2"/>
        <v>305870.75</v>
      </c>
      <c r="S9" s="98">
        <f>(F10-F9)/F9</f>
        <v>0.15463721195962662</v>
      </c>
      <c r="T9" s="99">
        <f>(P10-P9)/P9</f>
        <v>0.18029581666984043</v>
      </c>
      <c r="U9" s="99">
        <f>(Q10-Q9)/Q9</f>
        <v>0.2551375495576601</v>
      </c>
      <c r="V9" s="100">
        <f>(R10-R9)/R9</f>
        <v>0.22639320693462842</v>
      </c>
    </row>
    <row r="10" spans="1:22" x14ac:dyDescent="0.25">
      <c r="A10" s="97"/>
      <c r="B10" s="45">
        <v>100000</v>
      </c>
      <c r="C10" s="45">
        <f t="shared" si="0"/>
        <v>1000</v>
      </c>
      <c r="D10" s="97"/>
      <c r="E10" s="5" t="s">
        <v>118</v>
      </c>
      <c r="F10">
        <v>6.0629999999999997</v>
      </c>
      <c r="G10">
        <v>1.8</v>
      </c>
      <c r="H10">
        <v>23.06</v>
      </c>
      <c r="I10">
        <v>155.94</v>
      </c>
      <c r="J10">
        <v>10.913399999999999</v>
      </c>
      <c r="K10">
        <v>139.81278</v>
      </c>
      <c r="L10">
        <v>945.46421999999995</v>
      </c>
      <c r="M10">
        <v>8.3669399999999996</v>
      </c>
      <c r="N10">
        <v>136.29624000000001</v>
      </c>
      <c r="O10">
        <v>375.11781000000002</v>
      </c>
      <c r="P10" s="18">
        <f t="shared" si="1"/>
        <v>8366.9399999999987</v>
      </c>
      <c r="Q10" s="17">
        <f t="shared" si="2"/>
        <v>136296.24000000002</v>
      </c>
      <c r="R10" s="17">
        <f t="shared" si="2"/>
        <v>375117.81</v>
      </c>
      <c r="S10" s="98"/>
      <c r="T10" s="99"/>
      <c r="U10" s="99"/>
      <c r="V10" s="100"/>
    </row>
    <row r="11" spans="1:22" x14ac:dyDescent="0.25">
      <c r="A11" s="97" t="s">
        <v>13</v>
      </c>
      <c r="B11" s="45">
        <v>100000000</v>
      </c>
      <c r="C11" s="45">
        <f t="shared" si="0"/>
        <v>1</v>
      </c>
      <c r="D11" s="97" t="s">
        <v>111</v>
      </c>
      <c r="E11" s="6"/>
      <c r="F11">
        <v>22.041</v>
      </c>
      <c r="G11">
        <v>1.48</v>
      </c>
      <c r="H11">
        <v>23.92</v>
      </c>
      <c r="I11">
        <v>158.24</v>
      </c>
      <c r="J11">
        <v>32.62068</v>
      </c>
      <c r="K11">
        <v>527.22072000000003</v>
      </c>
      <c r="L11">
        <v>3487.76784</v>
      </c>
      <c r="M11">
        <v>23.36346</v>
      </c>
      <c r="N11">
        <v>514.43694000000005</v>
      </c>
      <c r="O11">
        <v>1418.5587599999999</v>
      </c>
      <c r="P11" s="18">
        <f t="shared" si="1"/>
        <v>23.36346</v>
      </c>
      <c r="Q11" s="17">
        <f t="shared" si="2"/>
        <v>514.43694000000005</v>
      </c>
      <c r="R11" s="17">
        <f t="shared" si="2"/>
        <v>1418.5587599999999</v>
      </c>
      <c r="S11" s="98">
        <f>(F12-F11)/F11</f>
        <v>-0.11505830044008898</v>
      </c>
      <c r="T11" s="99">
        <f>(P12-P11)/P11</f>
        <v>-0.12340680703971066</v>
      </c>
      <c r="U11" s="99">
        <f>(Q12-Q11)/Q11</f>
        <v>-0.1961969138530372</v>
      </c>
      <c r="V11" s="100">
        <f>(R12-R11)/R11</f>
        <v>-0.15974538129107876</v>
      </c>
    </row>
    <row r="12" spans="1:22" x14ac:dyDescent="0.25">
      <c r="A12" s="97"/>
      <c r="B12" s="45">
        <v>100000000</v>
      </c>
      <c r="C12" s="45">
        <f t="shared" si="0"/>
        <v>1</v>
      </c>
      <c r="D12" s="97"/>
      <c r="E12" s="5" t="s">
        <v>118</v>
      </c>
      <c r="F12">
        <v>19.504999999999999</v>
      </c>
      <c r="G12">
        <v>1.47</v>
      </c>
      <c r="H12">
        <v>21.78</v>
      </c>
      <c r="I12">
        <v>154.99</v>
      </c>
      <c r="J12">
        <v>28.672350000000002</v>
      </c>
      <c r="K12">
        <v>424.81889999999999</v>
      </c>
      <c r="L12">
        <v>3023.0799499999998</v>
      </c>
      <c r="M12">
        <v>20.480250000000002</v>
      </c>
      <c r="N12">
        <v>413.50599999999997</v>
      </c>
      <c r="O12">
        <v>1191.95055</v>
      </c>
      <c r="P12" s="18">
        <f t="shared" si="1"/>
        <v>20.480250000000002</v>
      </c>
      <c r="Q12" s="17">
        <f t="shared" si="2"/>
        <v>413.50599999999997</v>
      </c>
      <c r="R12" s="17">
        <f t="shared" si="2"/>
        <v>1191.95055</v>
      </c>
      <c r="S12" s="98"/>
      <c r="T12" s="99"/>
      <c r="U12" s="99"/>
      <c r="V12" s="100"/>
    </row>
    <row r="13" spans="1:22" x14ac:dyDescent="0.25">
      <c r="A13" s="97"/>
      <c r="B13" s="45">
        <v>100000000</v>
      </c>
      <c r="C13" s="45">
        <f t="shared" si="0"/>
        <v>1</v>
      </c>
      <c r="D13" s="97" t="s">
        <v>114</v>
      </c>
      <c r="E13" s="6"/>
      <c r="F13">
        <v>15.282999999999999</v>
      </c>
      <c r="G13">
        <v>1.48</v>
      </c>
      <c r="H13">
        <v>23.45</v>
      </c>
      <c r="I13">
        <v>157.62</v>
      </c>
      <c r="J13">
        <v>22.618839999999999</v>
      </c>
      <c r="K13">
        <v>358.38634999999999</v>
      </c>
      <c r="L13">
        <v>2408.9064600000002</v>
      </c>
      <c r="M13">
        <v>16.19998</v>
      </c>
      <c r="N13">
        <v>349.52220999999997</v>
      </c>
      <c r="O13">
        <v>974.13842</v>
      </c>
      <c r="P13" s="18">
        <f>C13*M13</f>
        <v>16.19998</v>
      </c>
      <c r="Q13" s="17">
        <f t="shared" si="2"/>
        <v>349.52220999999997</v>
      </c>
      <c r="R13" s="17">
        <f t="shared" si="2"/>
        <v>974.13842</v>
      </c>
      <c r="S13" s="98">
        <f>(F14-F13)/F13</f>
        <v>-0.23287312700386045</v>
      </c>
      <c r="T13" s="99">
        <f>(P14-P13)/P13</f>
        <v>-0.2401101729755222</v>
      </c>
      <c r="U13" s="99">
        <f>(Q14-Q13)/Q13</f>
        <v>-0.30264242721514029</v>
      </c>
      <c r="V13" s="100">
        <f>(R14-R13)/R13</f>
        <v>-0.29437325754998955</v>
      </c>
    </row>
    <row r="14" spans="1:22" x14ac:dyDescent="0.25">
      <c r="A14" s="97"/>
      <c r="B14" s="45">
        <v>100000000</v>
      </c>
      <c r="C14" s="45">
        <f t="shared" si="0"/>
        <v>1</v>
      </c>
      <c r="D14" s="97"/>
      <c r="E14" s="5" t="s">
        <v>118</v>
      </c>
      <c r="F14">
        <v>11.724</v>
      </c>
      <c r="G14">
        <v>1.47</v>
      </c>
      <c r="H14">
        <v>21.37</v>
      </c>
      <c r="I14">
        <v>152.51</v>
      </c>
      <c r="J14">
        <v>17.234279999999998</v>
      </c>
      <c r="K14">
        <v>250.54187999999999</v>
      </c>
      <c r="L14">
        <v>1788.0272399999999</v>
      </c>
      <c r="M14">
        <v>12.3102</v>
      </c>
      <c r="N14">
        <v>243.74196000000001</v>
      </c>
      <c r="O14">
        <v>687.37812000000008</v>
      </c>
      <c r="P14" s="18">
        <f t="shared" si="1"/>
        <v>12.3102</v>
      </c>
      <c r="Q14" s="17">
        <f t="shared" si="2"/>
        <v>243.74196000000001</v>
      </c>
      <c r="R14" s="17">
        <f t="shared" si="2"/>
        <v>687.37812000000008</v>
      </c>
      <c r="S14" s="98"/>
      <c r="T14" s="99"/>
      <c r="U14" s="99"/>
      <c r="V14" s="100"/>
    </row>
    <row r="15" spans="1:22" x14ac:dyDescent="0.25">
      <c r="A15" s="97" t="s">
        <v>15</v>
      </c>
      <c r="B15" s="45">
        <v>100000000</v>
      </c>
      <c r="C15" s="45">
        <f t="shared" si="0"/>
        <v>1</v>
      </c>
      <c r="D15" s="97" t="s">
        <v>111</v>
      </c>
      <c r="E15" s="6"/>
      <c r="F15">
        <v>24.632000000000001</v>
      </c>
      <c r="G15">
        <v>1.51</v>
      </c>
      <c r="H15">
        <v>20.49</v>
      </c>
      <c r="I15">
        <v>150.58000000000001</v>
      </c>
      <c r="J15">
        <v>37.194319999999998</v>
      </c>
      <c r="K15">
        <v>504.70967999999999</v>
      </c>
      <c r="L15">
        <v>3709.0865600000011</v>
      </c>
      <c r="M15">
        <v>26.848880000000001</v>
      </c>
      <c r="N15">
        <v>490.42311999999998</v>
      </c>
      <c r="O15">
        <v>1353.7747199999999</v>
      </c>
      <c r="P15" s="18">
        <f t="shared" si="1"/>
        <v>26.848880000000001</v>
      </c>
      <c r="Q15" s="17">
        <f t="shared" si="2"/>
        <v>490.42311999999998</v>
      </c>
      <c r="R15" s="17">
        <f t="shared" si="2"/>
        <v>1353.7747199999999</v>
      </c>
      <c r="S15" s="98">
        <f>(F16-F15)/F15</f>
        <v>-0.26717278337122452</v>
      </c>
      <c r="T15" s="99">
        <f>(P16-P15)/P15</f>
        <v>-0.26717278337122446</v>
      </c>
      <c r="U15" s="99">
        <f>(Q16-Q15)/Q15</f>
        <v>-0.26864506306309544</v>
      </c>
      <c r="V15" s="100">
        <f>(R16-R15)/R15</f>
        <v>-0.26850616622535245</v>
      </c>
    </row>
    <row r="16" spans="1:22" x14ac:dyDescent="0.25">
      <c r="A16" s="97"/>
      <c r="B16" s="45">
        <v>100000000</v>
      </c>
      <c r="C16" s="45">
        <f t="shared" si="0"/>
        <v>1</v>
      </c>
      <c r="D16" s="97"/>
      <c r="E16" s="5" t="s">
        <v>118</v>
      </c>
      <c r="F16">
        <v>18.050999999999998</v>
      </c>
      <c r="G16">
        <v>1.51</v>
      </c>
      <c r="H16">
        <v>20.45</v>
      </c>
      <c r="I16">
        <v>150.47999999999999</v>
      </c>
      <c r="J16">
        <v>27.257010000000001</v>
      </c>
      <c r="K16">
        <v>369.14294999999993</v>
      </c>
      <c r="L16">
        <v>2716.31448</v>
      </c>
      <c r="M16">
        <v>19.67559</v>
      </c>
      <c r="N16">
        <v>358.67336999999998</v>
      </c>
      <c r="O16">
        <v>990.27785999999992</v>
      </c>
      <c r="P16" s="18">
        <f t="shared" si="1"/>
        <v>19.67559</v>
      </c>
      <c r="Q16" s="17">
        <f t="shared" si="2"/>
        <v>358.67336999999998</v>
      </c>
      <c r="R16" s="17">
        <f t="shared" si="2"/>
        <v>990.27785999999992</v>
      </c>
      <c r="S16" s="98"/>
      <c r="T16" s="99"/>
      <c r="U16" s="99"/>
      <c r="V16" s="100"/>
    </row>
    <row r="17" spans="1:22" x14ac:dyDescent="0.25">
      <c r="A17" s="97"/>
      <c r="B17" s="45">
        <v>100000000</v>
      </c>
      <c r="C17" s="45">
        <f t="shared" si="0"/>
        <v>1</v>
      </c>
      <c r="D17" s="97" t="s">
        <v>114</v>
      </c>
      <c r="E17" s="6"/>
      <c r="F17">
        <v>7.2549999999999999</v>
      </c>
      <c r="G17">
        <v>1.51</v>
      </c>
      <c r="H17">
        <v>21.21</v>
      </c>
      <c r="I17">
        <v>152.18</v>
      </c>
      <c r="J17">
        <v>10.95505</v>
      </c>
      <c r="K17">
        <v>153.87854999999999</v>
      </c>
      <c r="L17">
        <v>1104.0659000000001</v>
      </c>
      <c r="M17">
        <v>7.9079499999999996</v>
      </c>
      <c r="N17">
        <v>149.67064999999999</v>
      </c>
      <c r="O17">
        <v>410.41534999999999</v>
      </c>
      <c r="P17" s="18">
        <f t="shared" si="1"/>
        <v>7.9079499999999996</v>
      </c>
      <c r="Q17" s="17">
        <f t="shared" si="2"/>
        <v>149.67064999999999</v>
      </c>
      <c r="R17" s="17">
        <f t="shared" si="2"/>
        <v>410.41534999999999</v>
      </c>
      <c r="S17" s="98">
        <f>(F18-F17)/F17</f>
        <v>0.1450034458993798</v>
      </c>
      <c r="T17" s="99">
        <f>(P18-P17)/P17</f>
        <v>0.15550806466909894</v>
      </c>
      <c r="U17" s="99">
        <f>(Q18-Q17)/Q17</f>
        <v>0.15832389316141807</v>
      </c>
      <c r="V17" s="100">
        <f>(R18-R17)/R17</f>
        <v>0.15411165786075043</v>
      </c>
    </row>
    <row r="18" spans="1:22" x14ac:dyDescent="0.25">
      <c r="A18" s="97"/>
      <c r="B18" s="45">
        <v>100000000</v>
      </c>
      <c r="C18" s="45">
        <f t="shared" si="0"/>
        <v>1</v>
      </c>
      <c r="D18" s="97"/>
      <c r="E18" s="5" t="s">
        <v>118</v>
      </c>
      <c r="F18">
        <v>8.3070000000000004</v>
      </c>
      <c r="G18">
        <v>1.52</v>
      </c>
      <c r="H18">
        <v>21.45</v>
      </c>
      <c r="I18">
        <v>152.63999999999999</v>
      </c>
      <c r="J18">
        <v>12.62664</v>
      </c>
      <c r="K18">
        <v>178.18514999999999</v>
      </c>
      <c r="L18">
        <v>1267.9804799999999</v>
      </c>
      <c r="M18">
        <v>9.1377000000000006</v>
      </c>
      <c r="N18">
        <v>173.36708999999999</v>
      </c>
      <c r="O18">
        <v>473.66514000000012</v>
      </c>
      <c r="P18" s="18">
        <f t="shared" si="1"/>
        <v>9.1377000000000006</v>
      </c>
      <c r="Q18" s="17">
        <f t="shared" si="2"/>
        <v>173.36708999999999</v>
      </c>
      <c r="R18" s="17">
        <f t="shared" si="2"/>
        <v>473.66514000000012</v>
      </c>
      <c r="S18" s="98"/>
      <c r="T18" s="99"/>
      <c r="U18" s="99"/>
      <c r="V18" s="100"/>
    </row>
    <row r="19" spans="1:22" x14ac:dyDescent="0.25">
      <c r="A19" s="97" t="s">
        <v>17</v>
      </c>
      <c r="B19" s="45">
        <v>100000000</v>
      </c>
      <c r="C19" s="45">
        <f t="shared" si="0"/>
        <v>1</v>
      </c>
      <c r="D19" s="97" t="s">
        <v>111</v>
      </c>
      <c r="E19" s="6"/>
      <c r="F19">
        <v>5.9340000000000002</v>
      </c>
      <c r="G19">
        <v>8.16</v>
      </c>
      <c r="H19">
        <v>31.97</v>
      </c>
      <c r="I19">
        <v>161.94</v>
      </c>
      <c r="J19">
        <v>48.421439999999997</v>
      </c>
      <c r="K19">
        <v>189.70998</v>
      </c>
      <c r="L19">
        <v>960.95195999999999</v>
      </c>
      <c r="M19">
        <v>26.050260000000002</v>
      </c>
      <c r="N19">
        <v>172.44203999999999</v>
      </c>
      <c r="O19">
        <v>373.48595999999998</v>
      </c>
      <c r="P19" s="18">
        <f t="shared" si="1"/>
        <v>26.050260000000002</v>
      </c>
      <c r="Q19" s="17">
        <f t="shared" si="2"/>
        <v>172.44203999999999</v>
      </c>
      <c r="R19" s="17">
        <f t="shared" si="2"/>
        <v>373.48595999999998</v>
      </c>
      <c r="S19" s="98">
        <f>(F20-F19)/F19</f>
        <v>-0.532355915065723</v>
      </c>
      <c r="T19" s="99">
        <f>(P20-P19)/P19</f>
        <v>-0.52702967264050349</v>
      </c>
      <c r="U19" s="99">
        <f>(Q20-Q19)/Q19</f>
        <v>-0.57966746392005097</v>
      </c>
      <c r="V19" s="100">
        <f>(R20-R19)/R19</f>
        <v>-0.55479450954461584</v>
      </c>
    </row>
    <row r="20" spans="1:22" x14ac:dyDescent="0.25">
      <c r="A20" s="97"/>
      <c r="B20" s="45">
        <v>100000000</v>
      </c>
      <c r="C20" s="45">
        <f t="shared" si="0"/>
        <v>1</v>
      </c>
      <c r="D20" s="97"/>
      <c r="E20" s="5" t="s">
        <v>118</v>
      </c>
      <c r="F20">
        <v>2.7749999999999999</v>
      </c>
      <c r="G20">
        <v>8.2100000000000009</v>
      </c>
      <c r="H20">
        <v>29.03</v>
      </c>
      <c r="I20">
        <v>158.91999999999999</v>
      </c>
      <c r="J20">
        <v>22.78275</v>
      </c>
      <c r="K20">
        <v>80.558250000000001</v>
      </c>
      <c r="L20">
        <v>441.00299999999987</v>
      </c>
      <c r="M20">
        <v>12.321</v>
      </c>
      <c r="N20">
        <v>72.483000000000004</v>
      </c>
      <c r="O20">
        <v>166.27799999999999</v>
      </c>
      <c r="P20" s="18">
        <f t="shared" si="1"/>
        <v>12.321</v>
      </c>
      <c r="Q20" s="17">
        <f t="shared" si="2"/>
        <v>72.483000000000004</v>
      </c>
      <c r="R20" s="17">
        <f t="shared" si="2"/>
        <v>166.27799999999999</v>
      </c>
      <c r="S20" s="98"/>
      <c r="T20" s="99"/>
      <c r="U20" s="99"/>
      <c r="V20" s="100"/>
    </row>
    <row r="21" spans="1:22" x14ac:dyDescent="0.25">
      <c r="A21" s="97"/>
      <c r="B21" s="45">
        <v>100000000</v>
      </c>
      <c r="C21" s="45">
        <f t="shared" si="0"/>
        <v>1</v>
      </c>
      <c r="D21" s="97" t="s">
        <v>114</v>
      </c>
      <c r="E21" s="6"/>
      <c r="F21">
        <v>4.4550000000000001</v>
      </c>
      <c r="G21">
        <v>8.18</v>
      </c>
      <c r="H21">
        <v>30.07</v>
      </c>
      <c r="I21">
        <v>159.97</v>
      </c>
      <c r="J21">
        <v>36.441899999999997</v>
      </c>
      <c r="K21">
        <v>133.96185</v>
      </c>
      <c r="L21">
        <v>712.66634999999997</v>
      </c>
      <c r="M21">
        <v>19.646550000000001</v>
      </c>
      <c r="N21">
        <v>120.9978</v>
      </c>
      <c r="O21">
        <v>271.62135000000001</v>
      </c>
      <c r="P21" s="18">
        <f t="shared" si="1"/>
        <v>19.646550000000001</v>
      </c>
      <c r="Q21" s="17">
        <f t="shared" si="2"/>
        <v>120.9978</v>
      </c>
      <c r="R21" s="17">
        <f t="shared" si="2"/>
        <v>271.62135000000001</v>
      </c>
      <c r="S21" s="98">
        <f>(F22-F21)/F21</f>
        <v>-0.52794612794612794</v>
      </c>
      <c r="T21" s="99">
        <f>(P22-P21)/P21</f>
        <v>-0.52580529405926235</v>
      </c>
      <c r="U21" s="99">
        <f>(Q22-Q21)/Q21</f>
        <v>-0.57678528039352783</v>
      </c>
      <c r="V21" s="100">
        <f>(R22-R21)/R21</f>
        <v>-0.54645045391314051</v>
      </c>
    </row>
    <row r="22" spans="1:22" x14ac:dyDescent="0.25">
      <c r="A22" s="97"/>
      <c r="B22" s="45">
        <v>100000000</v>
      </c>
      <c r="C22" s="45">
        <f t="shared" si="0"/>
        <v>1</v>
      </c>
      <c r="D22" s="97"/>
      <c r="E22" s="5" t="s">
        <v>118</v>
      </c>
      <c r="F22">
        <v>2.1030000000000002</v>
      </c>
      <c r="G22">
        <v>8.1999999999999993</v>
      </c>
      <c r="H22">
        <v>27.26</v>
      </c>
      <c r="I22">
        <v>157.58000000000001</v>
      </c>
      <c r="J22">
        <v>17.244599999999998</v>
      </c>
      <c r="K22">
        <v>57.327780000000011</v>
      </c>
      <c r="L22">
        <v>331.39074000000011</v>
      </c>
      <c r="M22">
        <v>9.3162900000000004</v>
      </c>
      <c r="N22">
        <v>51.208050000000007</v>
      </c>
      <c r="O22">
        <v>123.19374000000001</v>
      </c>
      <c r="P22" s="18">
        <f t="shared" si="1"/>
        <v>9.3162900000000004</v>
      </c>
      <c r="Q22" s="17">
        <f t="shared" si="2"/>
        <v>51.208050000000007</v>
      </c>
      <c r="R22" s="17">
        <f t="shared" si="2"/>
        <v>123.19374000000001</v>
      </c>
      <c r="S22" s="98"/>
      <c r="T22" s="99"/>
      <c r="U22" s="99"/>
      <c r="V22" s="100"/>
    </row>
    <row r="23" spans="1:22" x14ac:dyDescent="0.25">
      <c r="A23" s="97" t="s">
        <v>19</v>
      </c>
      <c r="B23" s="45">
        <v>100000000</v>
      </c>
      <c r="C23" s="45">
        <f t="shared" si="0"/>
        <v>1</v>
      </c>
      <c r="D23" s="97" t="s">
        <v>111</v>
      </c>
      <c r="E23" s="6"/>
      <c r="F23">
        <v>24.492000000000001</v>
      </c>
      <c r="G23">
        <v>1.53</v>
      </c>
      <c r="H23">
        <v>25.37</v>
      </c>
      <c r="I23">
        <v>161.04</v>
      </c>
      <c r="J23">
        <v>37.472760000000001</v>
      </c>
      <c r="K23">
        <v>621.36204000000009</v>
      </c>
      <c r="L23">
        <v>3944.1916799999999</v>
      </c>
      <c r="M23">
        <v>27.186119999999999</v>
      </c>
      <c r="N23">
        <v>607.15668000000005</v>
      </c>
      <c r="O23">
        <v>1701.70416</v>
      </c>
      <c r="P23" s="18">
        <f t="shared" si="1"/>
        <v>27.186119999999999</v>
      </c>
      <c r="Q23" s="17">
        <f t="shared" si="2"/>
        <v>607.15668000000005</v>
      </c>
      <c r="R23" s="17">
        <f t="shared" si="2"/>
        <v>1701.70416</v>
      </c>
      <c r="S23" s="98">
        <f>(F24-F23)/F23</f>
        <v>-0.46047689041319617</v>
      </c>
      <c r="T23" s="99">
        <f>(P24-P23)/P23</f>
        <v>-0.44589518474868794</v>
      </c>
      <c r="U23" s="99">
        <f>(Q24-Q23)/Q23</f>
        <v>-0.47658205786354857</v>
      </c>
      <c r="V23" s="100">
        <f>(R24-R23)/R23</f>
        <v>-0.4676208348694405</v>
      </c>
    </row>
    <row r="24" spans="1:22" x14ac:dyDescent="0.25">
      <c r="A24" s="97"/>
      <c r="B24" s="45">
        <v>100000000</v>
      </c>
      <c r="C24" s="45">
        <f t="shared" si="0"/>
        <v>1</v>
      </c>
      <c r="D24" s="97"/>
      <c r="E24" s="5" t="s">
        <v>118</v>
      </c>
      <c r="F24">
        <v>13.214</v>
      </c>
      <c r="G24">
        <v>1.56</v>
      </c>
      <c r="H24">
        <v>24.63</v>
      </c>
      <c r="I24">
        <v>160.12</v>
      </c>
      <c r="J24">
        <v>20.61384</v>
      </c>
      <c r="K24">
        <v>325.46082000000001</v>
      </c>
      <c r="L24">
        <v>2115.8256799999999</v>
      </c>
      <c r="M24">
        <v>15.06396</v>
      </c>
      <c r="N24">
        <v>317.79669999999999</v>
      </c>
      <c r="O24">
        <v>905.95184000000006</v>
      </c>
      <c r="P24" s="18">
        <f t="shared" si="1"/>
        <v>15.06396</v>
      </c>
      <c r="Q24" s="17">
        <f t="shared" si="2"/>
        <v>317.79669999999999</v>
      </c>
      <c r="R24" s="17">
        <f t="shared" si="2"/>
        <v>905.95184000000006</v>
      </c>
      <c r="S24" s="98"/>
      <c r="T24" s="99"/>
      <c r="U24" s="99"/>
      <c r="V24" s="100"/>
    </row>
    <row r="25" spans="1:22" x14ac:dyDescent="0.25">
      <c r="A25" s="97"/>
      <c r="B25" s="45">
        <v>100000000</v>
      </c>
      <c r="C25" s="45">
        <f t="shared" si="0"/>
        <v>1</v>
      </c>
      <c r="D25" s="97" t="s">
        <v>114</v>
      </c>
      <c r="E25" s="6"/>
      <c r="F25">
        <v>12.337</v>
      </c>
      <c r="G25">
        <v>1.57</v>
      </c>
      <c r="H25">
        <v>23.75</v>
      </c>
      <c r="I25">
        <v>157.52000000000001</v>
      </c>
      <c r="J25">
        <v>19.36909</v>
      </c>
      <c r="K25">
        <v>293.00375000000003</v>
      </c>
      <c r="L25">
        <v>1943.3242399999999</v>
      </c>
      <c r="M25">
        <v>14.18755</v>
      </c>
      <c r="N25">
        <v>285.84829000000002</v>
      </c>
      <c r="O25">
        <v>813.74851999999987</v>
      </c>
      <c r="P25" s="18">
        <f t="shared" si="1"/>
        <v>14.18755</v>
      </c>
      <c r="Q25" s="17">
        <f t="shared" si="2"/>
        <v>285.84829000000002</v>
      </c>
      <c r="R25" s="17">
        <f t="shared" si="2"/>
        <v>813.74851999999987</v>
      </c>
      <c r="S25" s="98">
        <f>(F26-F25)/F25</f>
        <v>-0.62778633379265625</v>
      </c>
      <c r="T25" s="99">
        <f>(P26-P25)/P25</f>
        <v>-0.62778633379265625</v>
      </c>
      <c r="U25" s="99">
        <f>(Q26-Q25)/Q25</f>
        <v>-0.68545776502633615</v>
      </c>
      <c r="V25" s="100">
        <f>(R26-R25)/R25</f>
        <v>-0.66108015778633911</v>
      </c>
    </row>
    <row r="26" spans="1:22" x14ac:dyDescent="0.25">
      <c r="A26" s="97"/>
      <c r="B26" s="45">
        <v>100000000</v>
      </c>
      <c r="C26" s="45">
        <f t="shared" si="0"/>
        <v>1</v>
      </c>
      <c r="D26" s="97"/>
      <c r="E26" s="5" t="s">
        <v>118</v>
      </c>
      <c r="F26">
        <v>4.5919999999999996</v>
      </c>
      <c r="G26">
        <v>1.57</v>
      </c>
      <c r="H26">
        <v>20.16</v>
      </c>
      <c r="I26">
        <v>151.62</v>
      </c>
      <c r="J26">
        <v>7.2094399999999998</v>
      </c>
      <c r="K26">
        <v>92.574719999999999</v>
      </c>
      <c r="L26">
        <v>696.23903999999993</v>
      </c>
      <c r="M26">
        <v>5.2807999999999993</v>
      </c>
      <c r="N26">
        <v>89.911359999999988</v>
      </c>
      <c r="O26">
        <v>275.79552000000001</v>
      </c>
      <c r="P26" s="18">
        <f t="shared" si="1"/>
        <v>5.2807999999999993</v>
      </c>
      <c r="Q26" s="17">
        <f t="shared" si="2"/>
        <v>89.911359999999988</v>
      </c>
      <c r="R26" s="17">
        <f t="shared" si="2"/>
        <v>275.79552000000001</v>
      </c>
      <c r="S26" s="98"/>
      <c r="T26" s="99"/>
      <c r="U26" s="99"/>
      <c r="V26" s="100"/>
    </row>
    <row r="27" spans="1:22" x14ac:dyDescent="0.25">
      <c r="A27" s="97" t="s">
        <v>21</v>
      </c>
      <c r="B27" s="45">
        <v>100000000</v>
      </c>
      <c r="C27" s="45">
        <f t="shared" si="0"/>
        <v>1</v>
      </c>
      <c r="D27" s="97" t="s">
        <v>111</v>
      </c>
      <c r="E27" s="6"/>
      <c r="F27">
        <v>44.048999999999999</v>
      </c>
      <c r="G27">
        <v>1.4</v>
      </c>
      <c r="H27">
        <v>23.43</v>
      </c>
      <c r="I27">
        <v>157.88999999999999</v>
      </c>
      <c r="J27">
        <v>61.668599999999998</v>
      </c>
      <c r="K27">
        <v>1032.06807</v>
      </c>
      <c r="L27">
        <v>6954.8966099999989</v>
      </c>
      <c r="M27">
        <v>43.168019999999999</v>
      </c>
      <c r="N27">
        <v>1006.51965</v>
      </c>
      <c r="O27">
        <v>2844.2439300000001</v>
      </c>
      <c r="P27" s="18">
        <f t="shared" si="1"/>
        <v>43.168019999999999</v>
      </c>
      <c r="Q27" s="17">
        <f t="shared" si="2"/>
        <v>1006.51965</v>
      </c>
      <c r="R27" s="17">
        <f t="shared" si="2"/>
        <v>2844.2439300000001</v>
      </c>
      <c r="S27" s="98">
        <f>(F28-F27)/F27</f>
        <v>-0.33630729414969696</v>
      </c>
      <c r="T27" s="99">
        <f>(P28-P27)/P27</f>
        <v>-0.30921779595172533</v>
      </c>
      <c r="U27" s="99">
        <f>(Q28-Q27)/Q27</f>
        <v>-0.35460604271362217</v>
      </c>
      <c r="V27" s="100">
        <f>(R28-R27)/R27</f>
        <v>-0.37927206897475918</v>
      </c>
    </row>
    <row r="28" spans="1:22" x14ac:dyDescent="0.25">
      <c r="A28" s="97"/>
      <c r="B28" s="45">
        <v>100000000</v>
      </c>
      <c r="C28" s="45">
        <f t="shared" si="0"/>
        <v>1</v>
      </c>
      <c r="D28" s="97"/>
      <c r="E28" s="5" t="s">
        <v>118</v>
      </c>
      <c r="F28">
        <v>29.234999999999999</v>
      </c>
      <c r="G28">
        <v>1.44</v>
      </c>
      <c r="H28">
        <v>22.8</v>
      </c>
      <c r="I28">
        <v>153.71</v>
      </c>
      <c r="J28">
        <v>42.098399999999998</v>
      </c>
      <c r="K28">
        <v>666.55799999999999</v>
      </c>
      <c r="L28">
        <v>4493.7118500000006</v>
      </c>
      <c r="M28">
        <v>29.819700000000001</v>
      </c>
      <c r="N28">
        <v>649.60169999999994</v>
      </c>
      <c r="O28">
        <v>1765.5016499999999</v>
      </c>
      <c r="P28" s="18">
        <f t="shared" si="1"/>
        <v>29.819700000000001</v>
      </c>
      <c r="Q28" s="17">
        <f t="shared" si="2"/>
        <v>649.60169999999994</v>
      </c>
      <c r="R28" s="17">
        <f t="shared" si="2"/>
        <v>1765.5016499999999</v>
      </c>
      <c r="S28" s="98"/>
      <c r="T28" s="99"/>
      <c r="U28" s="99"/>
      <c r="V28" s="100"/>
    </row>
    <row r="29" spans="1:22" x14ac:dyDescent="0.25">
      <c r="A29" s="97"/>
      <c r="B29" s="45">
        <v>100000000</v>
      </c>
      <c r="C29" s="45">
        <f t="shared" si="0"/>
        <v>1</v>
      </c>
      <c r="D29" s="97" t="s">
        <v>114</v>
      </c>
      <c r="E29" s="6"/>
      <c r="F29">
        <v>28.974</v>
      </c>
      <c r="G29">
        <v>1.47</v>
      </c>
      <c r="H29">
        <v>23.8</v>
      </c>
      <c r="I29">
        <v>157.29</v>
      </c>
      <c r="J29">
        <v>42.59178</v>
      </c>
      <c r="K29">
        <v>689.58120000000008</v>
      </c>
      <c r="L29">
        <v>4557.3204599999999</v>
      </c>
      <c r="M29">
        <v>30.422699999999999</v>
      </c>
      <c r="N29">
        <v>672.77627999999993</v>
      </c>
      <c r="O29">
        <v>1853.7565199999999</v>
      </c>
      <c r="P29" s="18">
        <f t="shared" si="1"/>
        <v>30.422699999999999</v>
      </c>
      <c r="Q29" s="17">
        <f t="shared" si="2"/>
        <v>672.77627999999993</v>
      </c>
      <c r="R29" s="17">
        <f t="shared" si="2"/>
        <v>1853.7565199999999</v>
      </c>
      <c r="S29" s="98">
        <f>(F30-F29)/F29</f>
        <v>-9.0702008697452888E-2</v>
      </c>
      <c r="T29" s="99">
        <f>(P30-P29)/P29</f>
        <v>-9.0702008697452874E-2</v>
      </c>
      <c r="U29" s="99">
        <f>(Q30-Q29)/Q29</f>
        <v>-0.13377814092970083</v>
      </c>
      <c r="V29" s="100">
        <f>(R30-R29)/R29</f>
        <v>-0.10462998668239339</v>
      </c>
    </row>
    <row r="30" spans="1:22" x14ac:dyDescent="0.25">
      <c r="A30" s="97"/>
      <c r="B30" s="45">
        <v>100000000</v>
      </c>
      <c r="C30" s="45">
        <f t="shared" si="0"/>
        <v>1</v>
      </c>
      <c r="D30" s="97"/>
      <c r="E30" s="5" t="s">
        <v>118</v>
      </c>
      <c r="F30">
        <v>26.346</v>
      </c>
      <c r="G30">
        <v>1.47</v>
      </c>
      <c r="H30">
        <v>22.7</v>
      </c>
      <c r="I30">
        <v>156.31</v>
      </c>
      <c r="J30">
        <v>38.728619999999999</v>
      </c>
      <c r="K30">
        <v>598.05420000000004</v>
      </c>
      <c r="L30">
        <v>4118.1432599999998</v>
      </c>
      <c r="M30">
        <v>27.6633</v>
      </c>
      <c r="N30">
        <v>582.77352000000008</v>
      </c>
      <c r="O30">
        <v>1659.798</v>
      </c>
      <c r="P30" s="18">
        <f t="shared" si="1"/>
        <v>27.6633</v>
      </c>
      <c r="Q30" s="17">
        <f t="shared" si="2"/>
        <v>582.77352000000008</v>
      </c>
      <c r="R30" s="17">
        <f t="shared" si="2"/>
        <v>1659.798</v>
      </c>
      <c r="S30" s="98"/>
      <c r="T30" s="99"/>
      <c r="U30" s="99"/>
      <c r="V30" s="100"/>
    </row>
    <row r="31" spans="1:22" x14ac:dyDescent="0.25">
      <c r="A31" s="97" t="s">
        <v>23</v>
      </c>
      <c r="B31" s="45">
        <v>100000000</v>
      </c>
      <c r="C31" s="45">
        <f t="shared" si="0"/>
        <v>1</v>
      </c>
      <c r="D31" s="97" t="s">
        <v>111</v>
      </c>
      <c r="E31" s="6"/>
      <c r="F31">
        <v>10.035</v>
      </c>
      <c r="G31">
        <v>1.39</v>
      </c>
      <c r="H31">
        <v>20.190000000000001</v>
      </c>
      <c r="I31">
        <v>147.30000000000001</v>
      </c>
      <c r="J31">
        <v>13.948650000000001</v>
      </c>
      <c r="K31">
        <v>202.60665</v>
      </c>
      <c r="L31">
        <v>1478.1555000000001</v>
      </c>
      <c r="M31">
        <v>9.7339500000000001</v>
      </c>
      <c r="N31">
        <v>196.78635</v>
      </c>
      <c r="O31">
        <v>575.60760000000005</v>
      </c>
      <c r="P31" s="18">
        <f t="shared" si="1"/>
        <v>9.7339500000000001</v>
      </c>
      <c r="Q31" s="17">
        <f t="shared" si="2"/>
        <v>196.78635</v>
      </c>
      <c r="R31" s="17">
        <f t="shared" si="2"/>
        <v>575.60760000000005</v>
      </c>
      <c r="S31" s="98">
        <f>(F32-F31)/F31</f>
        <v>-0.49207772795216737</v>
      </c>
      <c r="T31" s="99">
        <f>(P32-P31)/P31</f>
        <v>-0.4868414158692001</v>
      </c>
      <c r="U31" s="99">
        <f>(Q32-Q31)/Q31</f>
        <v>-0.51512978415423627</v>
      </c>
      <c r="V31" s="100">
        <f>(R32-R31)/R31</f>
        <v>-0.49154642850441871</v>
      </c>
    </row>
    <row r="32" spans="1:22" x14ac:dyDescent="0.25">
      <c r="A32" s="97"/>
      <c r="B32" s="45">
        <v>100000000</v>
      </c>
      <c r="C32" s="45">
        <f t="shared" si="0"/>
        <v>1</v>
      </c>
      <c r="D32" s="97"/>
      <c r="E32" s="5" t="s">
        <v>118</v>
      </c>
      <c r="F32">
        <v>5.0970000000000004</v>
      </c>
      <c r="G32">
        <v>1.4</v>
      </c>
      <c r="H32">
        <v>19.3</v>
      </c>
      <c r="I32">
        <v>147.36000000000001</v>
      </c>
      <c r="J32">
        <v>7.1357999999999997</v>
      </c>
      <c r="K32">
        <v>98.372100000000017</v>
      </c>
      <c r="L32">
        <v>751.09392000000014</v>
      </c>
      <c r="M32">
        <v>4.9950599999999996</v>
      </c>
      <c r="N32">
        <v>95.415840000000003</v>
      </c>
      <c r="O32">
        <v>292.66973999999999</v>
      </c>
      <c r="P32" s="18">
        <f t="shared" si="1"/>
        <v>4.9950599999999996</v>
      </c>
      <c r="Q32" s="17">
        <f t="shared" si="2"/>
        <v>95.415840000000003</v>
      </c>
      <c r="R32" s="17">
        <f t="shared" si="2"/>
        <v>292.66973999999999</v>
      </c>
      <c r="S32" s="98"/>
      <c r="T32" s="99"/>
      <c r="U32" s="99"/>
      <c r="V32" s="100"/>
    </row>
    <row r="33" spans="1:22" x14ac:dyDescent="0.25">
      <c r="A33" s="97"/>
      <c r="B33" s="45">
        <v>100000000</v>
      </c>
      <c r="C33" s="45">
        <f t="shared" si="0"/>
        <v>1</v>
      </c>
      <c r="D33" s="97" t="s">
        <v>114</v>
      </c>
      <c r="E33" s="6"/>
      <c r="F33">
        <v>8.2349999999999994</v>
      </c>
      <c r="G33">
        <v>1.38</v>
      </c>
      <c r="H33">
        <v>20.03</v>
      </c>
      <c r="I33">
        <v>147.96</v>
      </c>
      <c r="J33">
        <v>11.3643</v>
      </c>
      <c r="K33">
        <v>164.94704999999999</v>
      </c>
      <c r="L33">
        <v>1218.4505999999999</v>
      </c>
      <c r="M33">
        <v>7.9055999999999989</v>
      </c>
      <c r="N33">
        <v>160.17075</v>
      </c>
      <c r="O33">
        <v>477.79469999999998</v>
      </c>
      <c r="P33" s="18">
        <f t="shared" si="1"/>
        <v>7.9055999999999989</v>
      </c>
      <c r="Q33" s="17">
        <f t="shared" si="2"/>
        <v>160.17075</v>
      </c>
      <c r="R33" s="17">
        <f t="shared" si="2"/>
        <v>477.79469999999998</v>
      </c>
      <c r="S33" s="98">
        <f>(F34-F33)/F33</f>
        <v>-0.48075288403157257</v>
      </c>
      <c r="T33" s="99">
        <f>(P34-P33)/P33</f>
        <v>-0.45911758753288801</v>
      </c>
      <c r="U33" s="99">
        <f>(Q34-Q33)/Q33</f>
        <v>-0.51492441659916055</v>
      </c>
      <c r="V33" s="100">
        <f>(R34-R33)/R33</f>
        <v>-0.488180927917367</v>
      </c>
    </row>
    <row r="34" spans="1:22" x14ac:dyDescent="0.25">
      <c r="A34" s="97"/>
      <c r="B34" s="45">
        <v>100000000</v>
      </c>
      <c r="C34" s="45">
        <f t="shared" si="0"/>
        <v>1</v>
      </c>
      <c r="D34" s="97"/>
      <c r="E34" s="5" t="s">
        <v>118</v>
      </c>
      <c r="F34">
        <v>4.2759999999999998</v>
      </c>
      <c r="G34">
        <v>1.42</v>
      </c>
      <c r="H34">
        <v>18.75</v>
      </c>
      <c r="I34">
        <v>147.13</v>
      </c>
      <c r="J34">
        <v>6.0719200000000004</v>
      </c>
      <c r="K34">
        <v>80.174999999999997</v>
      </c>
      <c r="L34">
        <v>629.12788</v>
      </c>
      <c r="M34">
        <v>4.2759999999999998</v>
      </c>
      <c r="N34">
        <v>77.69492000000001</v>
      </c>
      <c r="O34">
        <v>244.54444000000001</v>
      </c>
      <c r="P34" s="18">
        <f t="shared" si="1"/>
        <v>4.2759999999999998</v>
      </c>
      <c r="Q34" s="17">
        <f t="shared" si="2"/>
        <v>77.69492000000001</v>
      </c>
      <c r="R34" s="17">
        <f t="shared" si="2"/>
        <v>244.54444000000001</v>
      </c>
      <c r="S34" s="98"/>
      <c r="T34" s="99"/>
      <c r="U34" s="99"/>
      <c r="V34" s="100"/>
    </row>
    <row r="35" spans="1:22" x14ac:dyDescent="0.25">
      <c r="A35" s="97" t="s">
        <v>25</v>
      </c>
      <c r="B35" s="45">
        <v>100000000</v>
      </c>
      <c r="C35" s="45">
        <f t="shared" si="0"/>
        <v>1</v>
      </c>
      <c r="D35" s="97" t="s">
        <v>111</v>
      </c>
      <c r="E35" s="6"/>
      <c r="F35">
        <v>234.32</v>
      </c>
      <c r="G35">
        <v>1.37</v>
      </c>
      <c r="H35">
        <v>22.87</v>
      </c>
      <c r="I35">
        <v>155.26</v>
      </c>
      <c r="J35">
        <v>321.01839999999999</v>
      </c>
      <c r="K35">
        <v>5358.8984</v>
      </c>
      <c r="L35">
        <v>36380.523200000003</v>
      </c>
      <c r="M35">
        <v>222.60400000000001</v>
      </c>
      <c r="N35">
        <v>5222.9928</v>
      </c>
      <c r="O35">
        <v>15146.444799999999</v>
      </c>
      <c r="P35" s="18">
        <f t="shared" si="1"/>
        <v>222.60400000000001</v>
      </c>
      <c r="Q35" s="17">
        <f t="shared" si="2"/>
        <v>5222.9928</v>
      </c>
      <c r="R35" s="17">
        <f t="shared" si="2"/>
        <v>15146.444799999999</v>
      </c>
      <c r="S35" s="98">
        <f>(F36-F35)/F35</f>
        <v>-0.57605838170023904</v>
      </c>
      <c r="T35" s="99">
        <f>(P36-P35)/P35</f>
        <v>-0.57605838170023904</v>
      </c>
      <c r="U35" s="99">
        <f>(Q36-Q35)/Q35</f>
        <v>-0.61714020743049858</v>
      </c>
      <c r="V35" s="100">
        <f>(R36-R35)/R35</f>
        <v>-0.60616190936106662</v>
      </c>
    </row>
    <row r="36" spans="1:22" x14ac:dyDescent="0.25">
      <c r="A36" s="97"/>
      <c r="B36" s="45">
        <v>100000000</v>
      </c>
      <c r="C36" s="45">
        <f t="shared" si="0"/>
        <v>1</v>
      </c>
      <c r="D36" s="97"/>
      <c r="E36" s="5" t="s">
        <v>118</v>
      </c>
      <c r="F36">
        <v>99.337999999999994</v>
      </c>
      <c r="G36">
        <v>1.37</v>
      </c>
      <c r="H36">
        <v>20.71</v>
      </c>
      <c r="I36">
        <v>150.66999999999999</v>
      </c>
      <c r="J36">
        <v>136.09306000000001</v>
      </c>
      <c r="K36">
        <v>2057.28998</v>
      </c>
      <c r="L36">
        <v>14967.256460000001</v>
      </c>
      <c r="M36">
        <v>94.371099999999984</v>
      </c>
      <c r="N36">
        <v>1999.6739399999999</v>
      </c>
      <c r="O36">
        <v>5965.2468999999992</v>
      </c>
      <c r="P36" s="18">
        <f t="shared" si="1"/>
        <v>94.371099999999984</v>
      </c>
      <c r="Q36" s="17">
        <f t="shared" si="2"/>
        <v>1999.6739399999999</v>
      </c>
      <c r="R36" s="17">
        <f t="shared" si="2"/>
        <v>5965.2468999999992</v>
      </c>
      <c r="S36" s="98"/>
      <c r="T36" s="99"/>
      <c r="U36" s="99"/>
      <c r="V36" s="100"/>
    </row>
    <row r="37" spans="1:22" x14ac:dyDescent="0.25">
      <c r="A37" s="97"/>
      <c r="B37" s="45">
        <v>100000000</v>
      </c>
      <c r="C37" s="45">
        <f t="shared" si="0"/>
        <v>1</v>
      </c>
      <c r="D37" s="97" t="s">
        <v>114</v>
      </c>
      <c r="E37" s="6"/>
      <c r="F37">
        <v>192.81399999999999</v>
      </c>
      <c r="G37">
        <v>1.36</v>
      </c>
      <c r="H37">
        <v>22.23</v>
      </c>
      <c r="I37">
        <v>153.13999999999999</v>
      </c>
      <c r="J37">
        <v>262.22703999999999</v>
      </c>
      <c r="K37">
        <v>4286.25522</v>
      </c>
      <c r="L37">
        <v>29527.535960000001</v>
      </c>
      <c r="M37">
        <v>181.24516</v>
      </c>
      <c r="N37">
        <v>4174.4231</v>
      </c>
      <c r="O37">
        <v>12054.73128</v>
      </c>
      <c r="P37" s="18">
        <f t="shared" si="1"/>
        <v>181.24516</v>
      </c>
      <c r="Q37" s="17">
        <f t="shared" si="2"/>
        <v>4174.4231</v>
      </c>
      <c r="R37" s="17">
        <f t="shared" si="2"/>
        <v>12054.73128</v>
      </c>
      <c r="S37" s="98">
        <f>(F38-F37)/F37</f>
        <v>-0.46532928106880206</v>
      </c>
      <c r="T37" s="99">
        <f>(P38-P37)/P37</f>
        <v>-0.46532928106880211</v>
      </c>
      <c r="U37" s="99">
        <f>(Q38-Q37)/Q37</f>
        <v>-0.50904139065347731</v>
      </c>
      <c r="V37" s="100">
        <f>(R38-R37)/R37</f>
        <v>-0.49936622062968122</v>
      </c>
    </row>
    <row r="38" spans="1:22" x14ac:dyDescent="0.25">
      <c r="A38" s="97"/>
      <c r="B38" s="45">
        <v>100000000</v>
      </c>
      <c r="C38" s="45">
        <f t="shared" si="0"/>
        <v>1</v>
      </c>
      <c r="D38" s="97"/>
      <c r="E38" s="5" t="s">
        <v>118</v>
      </c>
      <c r="F38">
        <v>103.092</v>
      </c>
      <c r="G38">
        <v>1.36</v>
      </c>
      <c r="H38">
        <v>20.46</v>
      </c>
      <c r="I38">
        <v>149.16</v>
      </c>
      <c r="J38">
        <v>140.20511999999999</v>
      </c>
      <c r="K38">
        <v>2109.2623199999998</v>
      </c>
      <c r="L38">
        <v>15377.202719999999</v>
      </c>
      <c r="M38">
        <v>96.906479999999988</v>
      </c>
      <c r="N38">
        <v>2049.4689600000002</v>
      </c>
      <c r="O38">
        <v>6035.0056800000002</v>
      </c>
      <c r="P38" s="18">
        <f t="shared" si="1"/>
        <v>96.906479999999988</v>
      </c>
      <c r="Q38" s="17">
        <f t="shared" si="2"/>
        <v>2049.4689600000002</v>
      </c>
      <c r="R38" s="17">
        <f t="shared" si="2"/>
        <v>6035.0056800000002</v>
      </c>
      <c r="S38" s="98"/>
      <c r="T38" s="99"/>
      <c r="U38" s="99"/>
      <c r="V38" s="100"/>
    </row>
    <row r="39" spans="1:22" x14ac:dyDescent="0.25">
      <c r="A39" s="97" t="s">
        <v>31</v>
      </c>
      <c r="B39" s="45">
        <v>100000000</v>
      </c>
      <c r="C39" s="45">
        <f t="shared" si="0"/>
        <v>1</v>
      </c>
      <c r="D39" s="97" t="s">
        <v>111</v>
      </c>
      <c r="E39" s="6"/>
      <c r="F39">
        <v>8.7789999999999999</v>
      </c>
      <c r="G39">
        <v>1.4</v>
      </c>
      <c r="H39">
        <v>20.16</v>
      </c>
      <c r="I39">
        <v>149.83000000000001</v>
      </c>
      <c r="J39">
        <v>12.2906</v>
      </c>
      <c r="K39">
        <v>176.98464000000001</v>
      </c>
      <c r="L39">
        <v>1315.3575699999999</v>
      </c>
      <c r="M39">
        <v>8.6034199999999998</v>
      </c>
      <c r="N39">
        <v>171.89282</v>
      </c>
      <c r="O39">
        <v>497.50592999999998</v>
      </c>
      <c r="P39" s="18">
        <f t="shared" si="1"/>
        <v>8.6034199999999998</v>
      </c>
      <c r="Q39" s="17">
        <f t="shared" si="2"/>
        <v>171.89282</v>
      </c>
      <c r="R39" s="17">
        <f t="shared" si="2"/>
        <v>497.50592999999998</v>
      </c>
      <c r="S39" s="98">
        <f>(F40-F39)/F39</f>
        <v>-0.49903178038500973</v>
      </c>
      <c r="T39" s="99">
        <f>(P40-P39)/P39</f>
        <v>-0.483696018560061</v>
      </c>
      <c r="U39" s="99">
        <f>(Q40-Q39)/Q39</f>
        <v>-0.52896706214954181</v>
      </c>
      <c r="V39" s="100">
        <f>(R40-R39)/R39</f>
        <v>-0.49761736508346738</v>
      </c>
    </row>
    <row r="40" spans="1:22" x14ac:dyDescent="0.25">
      <c r="A40" s="97"/>
      <c r="B40" s="45">
        <v>100000000</v>
      </c>
      <c r="C40" s="45">
        <f t="shared" si="0"/>
        <v>1</v>
      </c>
      <c r="D40" s="97"/>
      <c r="E40" s="5" t="s">
        <v>118</v>
      </c>
      <c r="F40">
        <v>4.3979999999999997</v>
      </c>
      <c r="G40">
        <v>1.43</v>
      </c>
      <c r="H40">
        <v>18.989999999999998</v>
      </c>
      <c r="I40">
        <v>149.99</v>
      </c>
      <c r="J40">
        <v>6.2891399999999988</v>
      </c>
      <c r="K40">
        <v>83.518019999999993</v>
      </c>
      <c r="L40">
        <v>659.65602000000001</v>
      </c>
      <c r="M40">
        <v>4.44198</v>
      </c>
      <c r="N40">
        <v>80.967179999999999</v>
      </c>
      <c r="O40">
        <v>249.93834000000001</v>
      </c>
      <c r="P40" s="18">
        <f t="shared" si="1"/>
        <v>4.44198</v>
      </c>
      <c r="Q40" s="17">
        <f t="shared" si="2"/>
        <v>80.967179999999999</v>
      </c>
      <c r="R40" s="17">
        <f t="shared" si="2"/>
        <v>249.93834000000001</v>
      </c>
      <c r="S40" s="98"/>
      <c r="T40" s="99"/>
      <c r="U40" s="99"/>
      <c r="V40" s="100"/>
    </row>
    <row r="41" spans="1:22" x14ac:dyDescent="0.25">
      <c r="A41" s="97"/>
      <c r="B41" s="45">
        <v>100000000</v>
      </c>
      <c r="C41" s="45">
        <f t="shared" si="0"/>
        <v>1</v>
      </c>
      <c r="D41" s="97" t="s">
        <v>114</v>
      </c>
      <c r="E41" s="6"/>
      <c r="F41">
        <v>8.0570000000000004</v>
      </c>
      <c r="G41">
        <v>1.39</v>
      </c>
      <c r="H41">
        <v>20.71</v>
      </c>
      <c r="I41">
        <v>152.75</v>
      </c>
      <c r="J41">
        <v>11.19923</v>
      </c>
      <c r="K41">
        <v>166.86046999999999</v>
      </c>
      <c r="L41">
        <v>1230.7067500000001</v>
      </c>
      <c r="M41">
        <v>7.8152900000000001</v>
      </c>
      <c r="N41">
        <v>162.18741</v>
      </c>
      <c r="O41">
        <v>480.11662999999999</v>
      </c>
      <c r="P41" s="18">
        <f t="shared" si="1"/>
        <v>7.8152900000000001</v>
      </c>
      <c r="Q41" s="17">
        <f t="shared" si="2"/>
        <v>162.18741</v>
      </c>
      <c r="R41" s="17">
        <f t="shared" si="2"/>
        <v>480.11662999999999</v>
      </c>
      <c r="S41" s="98">
        <f>(F42-F41)/F41</f>
        <v>-0.49323569566836289</v>
      </c>
      <c r="T41" s="99">
        <f>(P42-P41)/P41</f>
        <v>-0.47756257285398235</v>
      </c>
      <c r="U41" s="99">
        <f>(Q42-Q41)/Q41</f>
        <v>-0.52722137926735491</v>
      </c>
      <c r="V41" s="100">
        <f>(R42-R41)/R41</f>
        <v>-0.5082881007475204</v>
      </c>
    </row>
    <row r="42" spans="1:22" x14ac:dyDescent="0.25">
      <c r="A42" s="97"/>
      <c r="B42" s="45">
        <v>100000000</v>
      </c>
      <c r="C42" s="45">
        <f t="shared" si="0"/>
        <v>1</v>
      </c>
      <c r="D42" s="97"/>
      <c r="E42" s="5" t="s">
        <v>118</v>
      </c>
      <c r="F42">
        <v>4.0830000000000002</v>
      </c>
      <c r="G42">
        <v>1.42</v>
      </c>
      <c r="H42">
        <v>19.36</v>
      </c>
      <c r="I42">
        <v>150.97999999999999</v>
      </c>
      <c r="J42">
        <v>5.79786</v>
      </c>
      <c r="K42">
        <v>79.046880000000002</v>
      </c>
      <c r="L42">
        <v>616.45133999999996</v>
      </c>
      <c r="M42">
        <v>4.0830000000000002</v>
      </c>
      <c r="N42">
        <v>76.678740000000005</v>
      </c>
      <c r="O42">
        <v>236.07906</v>
      </c>
      <c r="P42" s="18">
        <f t="shared" si="1"/>
        <v>4.0830000000000002</v>
      </c>
      <c r="Q42" s="17">
        <f t="shared" si="2"/>
        <v>76.678740000000005</v>
      </c>
      <c r="R42" s="17">
        <f t="shared" si="2"/>
        <v>236.07906</v>
      </c>
      <c r="S42" s="98"/>
      <c r="T42" s="99"/>
      <c r="U42" s="99"/>
      <c r="V42" s="100"/>
    </row>
    <row r="43" spans="1:22" x14ac:dyDescent="0.25">
      <c r="A43" s="97" t="s">
        <v>33</v>
      </c>
      <c r="B43" s="45">
        <v>100000000</v>
      </c>
      <c r="C43" s="45">
        <f t="shared" si="0"/>
        <v>1</v>
      </c>
      <c r="D43" s="97" t="s">
        <v>111</v>
      </c>
      <c r="E43" s="6"/>
      <c r="F43">
        <v>8.4120000000000008</v>
      </c>
      <c r="G43">
        <v>1.43</v>
      </c>
      <c r="H43">
        <v>20.78</v>
      </c>
      <c r="I43">
        <v>153.93</v>
      </c>
      <c r="J43">
        <v>12.029159999999999</v>
      </c>
      <c r="K43">
        <v>174.80135999999999</v>
      </c>
      <c r="L43">
        <v>1294.85916</v>
      </c>
      <c r="M43">
        <v>8.4961200000000012</v>
      </c>
      <c r="N43">
        <v>169.92240000000001</v>
      </c>
      <c r="O43">
        <v>487.05480000000011</v>
      </c>
      <c r="P43" s="18">
        <f t="shared" si="1"/>
        <v>8.4961200000000012</v>
      </c>
      <c r="Q43" s="17">
        <f t="shared" si="2"/>
        <v>169.92240000000001</v>
      </c>
      <c r="R43" s="17">
        <f t="shared" si="2"/>
        <v>487.05480000000011</v>
      </c>
      <c r="S43" s="98">
        <f>(F44-F43)/F43</f>
        <v>-0.48763670946267246</v>
      </c>
      <c r="T43" s="99">
        <f>(P44-P43)/P43</f>
        <v>-0.47749090172926012</v>
      </c>
      <c r="U43" s="99">
        <f>(Q44-Q43)/Q43</f>
        <v>-0.51705955188956854</v>
      </c>
      <c r="V43" s="100">
        <f>(R44-R43)/R43</f>
        <v>-0.49825563776396425</v>
      </c>
    </row>
    <row r="44" spans="1:22" x14ac:dyDescent="0.25">
      <c r="A44" s="97"/>
      <c r="B44" s="45">
        <v>100000000</v>
      </c>
      <c r="C44" s="45">
        <f t="shared" si="0"/>
        <v>1</v>
      </c>
      <c r="D44" s="97"/>
      <c r="E44" s="5" t="s">
        <v>118</v>
      </c>
      <c r="F44">
        <v>4.3099999999999996</v>
      </c>
      <c r="G44">
        <v>1.45</v>
      </c>
      <c r="H44">
        <v>19.62</v>
      </c>
      <c r="I44">
        <v>152.72</v>
      </c>
      <c r="J44">
        <v>6.2494999999999994</v>
      </c>
      <c r="K44">
        <v>84.56219999999999</v>
      </c>
      <c r="L44">
        <v>658.22319999999991</v>
      </c>
      <c r="M44">
        <v>4.4392999999999994</v>
      </c>
      <c r="N44">
        <v>82.062399999999982</v>
      </c>
      <c r="O44">
        <v>244.37700000000001</v>
      </c>
      <c r="P44" s="18">
        <f t="shared" si="1"/>
        <v>4.4392999999999994</v>
      </c>
      <c r="Q44" s="17">
        <f t="shared" si="2"/>
        <v>82.062399999999982</v>
      </c>
      <c r="R44" s="17">
        <f t="shared" si="2"/>
        <v>244.37700000000001</v>
      </c>
      <c r="S44" s="98"/>
      <c r="T44" s="99"/>
      <c r="U44" s="99"/>
      <c r="V44" s="100"/>
    </row>
    <row r="45" spans="1:22" x14ac:dyDescent="0.25">
      <c r="A45" s="97"/>
      <c r="B45" s="45">
        <v>100000000</v>
      </c>
      <c r="C45" s="45">
        <f t="shared" si="0"/>
        <v>1</v>
      </c>
      <c r="D45" s="97" t="s">
        <v>114</v>
      </c>
      <c r="E45" s="6"/>
      <c r="F45">
        <v>8.6690000000000005</v>
      </c>
      <c r="G45">
        <v>1.41</v>
      </c>
      <c r="H45">
        <v>21.22</v>
      </c>
      <c r="I45">
        <v>154.94999999999999</v>
      </c>
      <c r="J45">
        <v>12.22329</v>
      </c>
      <c r="K45">
        <v>183.95617999999999</v>
      </c>
      <c r="L45">
        <v>1343.2615499999999</v>
      </c>
      <c r="M45">
        <v>8.5823099999999997</v>
      </c>
      <c r="N45">
        <v>178.92815999999999</v>
      </c>
      <c r="O45">
        <v>510.77748000000003</v>
      </c>
      <c r="P45" s="18">
        <f t="shared" si="1"/>
        <v>8.5823099999999997</v>
      </c>
      <c r="Q45" s="17">
        <f t="shared" si="2"/>
        <v>178.92815999999999</v>
      </c>
      <c r="R45" s="17">
        <f t="shared" si="2"/>
        <v>510.77748000000003</v>
      </c>
      <c r="S45" s="98">
        <f>(F46-F45)/F45</f>
        <v>-0.41377321490367985</v>
      </c>
      <c r="T45" s="99">
        <f>(P46-P45)/P45</f>
        <v>-0.40193024954819856</v>
      </c>
      <c r="U45" s="99">
        <f>(Q46-Q45)/Q45</f>
        <v>-0.44217567542191233</v>
      </c>
      <c r="V45" s="100">
        <f>(R46-R45)/R45</f>
        <v>-0.42899600820302419</v>
      </c>
    </row>
    <row r="46" spans="1:22" x14ac:dyDescent="0.25">
      <c r="A46" s="97"/>
      <c r="B46" s="45">
        <v>100000000</v>
      </c>
      <c r="C46" s="45">
        <f t="shared" si="0"/>
        <v>1</v>
      </c>
      <c r="D46" s="97"/>
      <c r="E46" s="5" t="s">
        <v>118</v>
      </c>
      <c r="F46">
        <v>5.0819999999999999</v>
      </c>
      <c r="G46">
        <v>1.43</v>
      </c>
      <c r="H46">
        <v>20.22</v>
      </c>
      <c r="I46">
        <v>153.41</v>
      </c>
      <c r="J46">
        <v>7.2672599999999994</v>
      </c>
      <c r="K46">
        <v>102.75803999999999</v>
      </c>
      <c r="L46">
        <v>779.62961999999993</v>
      </c>
      <c r="M46">
        <v>5.1328199999999997</v>
      </c>
      <c r="N46">
        <v>99.810479999999998</v>
      </c>
      <c r="O46">
        <v>291.65598</v>
      </c>
      <c r="P46" s="18">
        <f t="shared" si="1"/>
        <v>5.1328199999999997</v>
      </c>
      <c r="Q46" s="17">
        <f t="shared" si="2"/>
        <v>99.810479999999998</v>
      </c>
      <c r="R46" s="17">
        <f t="shared" si="2"/>
        <v>291.65598</v>
      </c>
      <c r="S46" s="98"/>
      <c r="T46" s="99"/>
      <c r="U46" s="99"/>
      <c r="V46" s="100"/>
    </row>
    <row r="47" spans="1:22" x14ac:dyDescent="0.25">
      <c r="A47" s="97" t="s">
        <v>37</v>
      </c>
      <c r="B47" s="45">
        <v>100000000</v>
      </c>
      <c r="C47" s="45">
        <f t="shared" si="0"/>
        <v>1</v>
      </c>
      <c r="D47" s="97" t="s">
        <v>111</v>
      </c>
      <c r="E47" s="6"/>
      <c r="F47">
        <v>129.93700000000001</v>
      </c>
      <c r="G47">
        <v>1.42</v>
      </c>
      <c r="H47">
        <v>21.73</v>
      </c>
      <c r="I47">
        <v>151.63999999999999</v>
      </c>
      <c r="J47">
        <v>184.51053999999999</v>
      </c>
      <c r="K47">
        <v>2823.5310100000002</v>
      </c>
      <c r="L47">
        <v>19703.646680000002</v>
      </c>
      <c r="M47">
        <v>129.93700000000001</v>
      </c>
      <c r="N47">
        <v>2748.1675500000001</v>
      </c>
      <c r="O47">
        <v>7536.3459999999995</v>
      </c>
      <c r="P47" s="18">
        <f t="shared" si="1"/>
        <v>129.93700000000001</v>
      </c>
      <c r="Q47" s="17">
        <f t="shared" si="2"/>
        <v>2748.1675500000001</v>
      </c>
      <c r="R47" s="17">
        <f t="shared" si="2"/>
        <v>7536.3459999999995</v>
      </c>
      <c r="S47" s="98">
        <f>(F48-F47)/F47</f>
        <v>-4.3421042505214141E-2</v>
      </c>
      <c r="T47" s="99">
        <f>(P48-P47)/P47</f>
        <v>-6.2552621655109858E-2</v>
      </c>
      <c r="U47" s="99">
        <f>(Q48-Q47)/Q47</f>
        <v>-4.3873325700247046E-2</v>
      </c>
      <c r="V47" s="100">
        <f>(R48-R47)/R47</f>
        <v>-3.0391777394509108E-2</v>
      </c>
    </row>
    <row r="48" spans="1:22" x14ac:dyDescent="0.25">
      <c r="A48" s="97"/>
      <c r="B48" s="45">
        <v>100000000</v>
      </c>
      <c r="C48" s="45">
        <f t="shared" si="0"/>
        <v>1</v>
      </c>
      <c r="D48" s="97"/>
      <c r="E48" s="5" t="s">
        <v>118</v>
      </c>
      <c r="F48">
        <v>124.295</v>
      </c>
      <c r="G48">
        <v>1.4</v>
      </c>
      <c r="H48">
        <v>21.72</v>
      </c>
      <c r="I48">
        <v>152.43</v>
      </c>
      <c r="J48">
        <v>174.01300000000001</v>
      </c>
      <c r="K48">
        <v>2699.6873999999998</v>
      </c>
      <c r="L48">
        <v>18946.28685</v>
      </c>
      <c r="M48">
        <v>121.8091</v>
      </c>
      <c r="N48">
        <v>2627.5963000000002</v>
      </c>
      <c r="O48">
        <v>7307.3030500000004</v>
      </c>
      <c r="P48" s="18">
        <f t="shared" si="1"/>
        <v>121.8091</v>
      </c>
      <c r="Q48" s="17">
        <f t="shared" si="2"/>
        <v>2627.5963000000002</v>
      </c>
      <c r="R48" s="17">
        <f t="shared" si="2"/>
        <v>7307.3030500000004</v>
      </c>
      <c r="S48" s="98"/>
      <c r="T48" s="99"/>
      <c r="U48" s="99"/>
      <c r="V48" s="100"/>
    </row>
    <row r="49" spans="1:22" x14ac:dyDescent="0.25">
      <c r="A49" s="97"/>
      <c r="B49" s="45">
        <v>100000000</v>
      </c>
      <c r="C49" s="45">
        <f t="shared" si="0"/>
        <v>1</v>
      </c>
      <c r="D49" s="97" t="s">
        <v>114</v>
      </c>
      <c r="E49" s="6"/>
      <c r="F49">
        <v>133.52199999999999</v>
      </c>
      <c r="G49">
        <v>1.39</v>
      </c>
      <c r="H49">
        <v>21.28</v>
      </c>
      <c r="I49">
        <v>150.54</v>
      </c>
      <c r="J49">
        <v>185.59558000000001</v>
      </c>
      <c r="K49">
        <v>2841.34816</v>
      </c>
      <c r="L49">
        <v>20100.401880000001</v>
      </c>
      <c r="M49">
        <v>129.51634000000001</v>
      </c>
      <c r="N49">
        <v>2763.9054000000001</v>
      </c>
      <c r="O49">
        <v>7597.4017999999996</v>
      </c>
      <c r="P49" s="18">
        <f t="shared" si="1"/>
        <v>129.51634000000001</v>
      </c>
      <c r="Q49" s="17">
        <f t="shared" si="2"/>
        <v>2763.9054000000001</v>
      </c>
      <c r="R49" s="17">
        <f t="shared" si="2"/>
        <v>7597.4017999999996</v>
      </c>
      <c r="S49" s="98">
        <f>(F50-F49)/F49</f>
        <v>-5.345186561016152E-2</v>
      </c>
      <c r="T49" s="99">
        <f>(P50-P49)/P49</f>
        <v>-6.3210093799747694E-2</v>
      </c>
      <c r="U49" s="99">
        <f>(Q50-Q49)/Q49</f>
        <v>-5.5738213760861764E-2</v>
      </c>
      <c r="V49" s="100">
        <f>(R50-R49)/R49</f>
        <v>-6.1436805935418545E-2</v>
      </c>
    </row>
    <row r="50" spans="1:22" x14ac:dyDescent="0.25">
      <c r="A50" s="97"/>
      <c r="B50" s="45">
        <v>100000000</v>
      </c>
      <c r="C50" s="45">
        <f t="shared" si="0"/>
        <v>1</v>
      </c>
      <c r="D50" s="97"/>
      <c r="E50" s="5" t="s">
        <v>118</v>
      </c>
      <c r="F50">
        <v>126.38500000000001</v>
      </c>
      <c r="G50">
        <v>1.38</v>
      </c>
      <c r="H50">
        <v>21.23</v>
      </c>
      <c r="I50">
        <v>150.06</v>
      </c>
      <c r="J50">
        <v>174.41130000000001</v>
      </c>
      <c r="K50">
        <v>2683.15355</v>
      </c>
      <c r="L50">
        <v>18965.3331</v>
      </c>
      <c r="M50">
        <v>121.3296</v>
      </c>
      <c r="N50">
        <v>2609.85025</v>
      </c>
      <c r="O50">
        <v>7130.6417000000001</v>
      </c>
      <c r="P50" s="18">
        <f t="shared" si="1"/>
        <v>121.3296</v>
      </c>
      <c r="Q50" s="17">
        <f t="shared" si="2"/>
        <v>2609.85025</v>
      </c>
      <c r="R50" s="17">
        <f t="shared" si="2"/>
        <v>7130.6417000000001</v>
      </c>
      <c r="S50" s="98"/>
      <c r="T50" s="99"/>
      <c r="U50" s="99"/>
      <c r="V50" s="100"/>
    </row>
    <row r="51" spans="1:22" x14ac:dyDescent="0.25">
      <c r="A51" s="97" t="s">
        <v>39</v>
      </c>
      <c r="B51" s="45">
        <v>100000000</v>
      </c>
      <c r="C51" s="45">
        <f t="shared" si="0"/>
        <v>1</v>
      </c>
      <c r="D51" s="97" t="s">
        <v>111</v>
      </c>
      <c r="E51" s="6"/>
      <c r="F51">
        <v>69.477000000000004</v>
      </c>
      <c r="G51">
        <v>1.52</v>
      </c>
      <c r="H51">
        <v>24.09</v>
      </c>
      <c r="I51">
        <v>156.1</v>
      </c>
      <c r="J51">
        <v>105.60504</v>
      </c>
      <c r="K51">
        <v>1673.70093</v>
      </c>
      <c r="L51">
        <v>10845.359700000001</v>
      </c>
      <c r="M51">
        <v>76.424700000000016</v>
      </c>
      <c r="N51">
        <v>1633.40427</v>
      </c>
      <c r="O51">
        <v>4629.2525100000003</v>
      </c>
      <c r="P51" s="18">
        <f t="shared" si="1"/>
        <v>76.424700000000016</v>
      </c>
      <c r="Q51" s="17">
        <f t="shared" si="2"/>
        <v>1633.40427</v>
      </c>
      <c r="R51" s="17">
        <f t="shared" si="2"/>
        <v>4629.2525100000003</v>
      </c>
      <c r="S51" s="98">
        <f>(F52-F51)/F51</f>
        <v>-7.5147171006232333E-2</v>
      </c>
      <c r="T51" s="99">
        <f>(P52-P51)/P51</f>
        <v>-6.6739418015379956E-2</v>
      </c>
      <c r="U51" s="99">
        <f>(Q52-Q51)/Q51</f>
        <v>-8.7735554897257623E-2</v>
      </c>
      <c r="V51" s="100">
        <f>(R52-R51)/R51</f>
        <v>-0.11054225901364802</v>
      </c>
    </row>
    <row r="52" spans="1:22" x14ac:dyDescent="0.25">
      <c r="A52" s="97"/>
      <c r="B52" s="45">
        <v>100000000</v>
      </c>
      <c r="C52" s="45">
        <f t="shared" si="0"/>
        <v>1</v>
      </c>
      <c r="D52" s="97"/>
      <c r="E52" s="5" t="s">
        <v>118</v>
      </c>
      <c r="F52">
        <v>64.256</v>
      </c>
      <c r="G52">
        <v>1.53</v>
      </c>
      <c r="H52">
        <v>23.77</v>
      </c>
      <c r="I52">
        <v>153.55000000000001</v>
      </c>
      <c r="J52">
        <v>98.311679999999996</v>
      </c>
      <c r="K52">
        <v>1527.3651199999999</v>
      </c>
      <c r="L52">
        <v>9866.5088000000014</v>
      </c>
      <c r="M52">
        <v>71.324160000000006</v>
      </c>
      <c r="N52">
        <v>1490.09664</v>
      </c>
      <c r="O52">
        <v>4117.52448</v>
      </c>
      <c r="P52" s="18">
        <f t="shared" si="1"/>
        <v>71.324160000000006</v>
      </c>
      <c r="Q52" s="17">
        <f t="shared" si="2"/>
        <v>1490.09664</v>
      </c>
      <c r="R52" s="17">
        <f t="shared" si="2"/>
        <v>4117.52448</v>
      </c>
      <c r="S52" s="98"/>
      <c r="T52" s="99"/>
      <c r="U52" s="99"/>
      <c r="V52" s="100"/>
    </row>
    <row r="53" spans="1:22" x14ac:dyDescent="0.25">
      <c r="A53" s="97"/>
      <c r="B53" s="45">
        <v>100000000</v>
      </c>
      <c r="C53" s="45">
        <f t="shared" si="0"/>
        <v>1</v>
      </c>
      <c r="D53" s="97" t="s">
        <v>114</v>
      </c>
      <c r="E53" s="6"/>
      <c r="F53">
        <v>61.158999999999999</v>
      </c>
      <c r="G53">
        <v>1.54</v>
      </c>
      <c r="H53">
        <v>24.33</v>
      </c>
      <c r="I53">
        <v>158.08000000000001</v>
      </c>
      <c r="J53">
        <v>94.18486</v>
      </c>
      <c r="K53">
        <v>1487.99847</v>
      </c>
      <c r="L53">
        <v>9668.014720000001</v>
      </c>
      <c r="M53">
        <v>68.498080000000002</v>
      </c>
      <c r="N53">
        <v>1452.5262499999999</v>
      </c>
      <c r="O53">
        <v>4196.7305800000004</v>
      </c>
      <c r="P53" s="18">
        <f t="shared" si="1"/>
        <v>68.498080000000002</v>
      </c>
      <c r="Q53" s="17">
        <f t="shared" si="2"/>
        <v>1452.5262499999999</v>
      </c>
      <c r="R53" s="17">
        <f t="shared" si="2"/>
        <v>4196.7305800000004</v>
      </c>
      <c r="S53" s="98">
        <f>(F54-F53)/F53</f>
        <v>0.12562337513693814</v>
      </c>
      <c r="T53" s="99">
        <f>(P54-P53)/P53</f>
        <v>0.12562337513693822</v>
      </c>
      <c r="U53" s="99">
        <f>(Q54-Q53)/Q53</f>
        <v>8.5811853658410708E-2</v>
      </c>
      <c r="V53" s="100">
        <f>(R54-R53)/R53</f>
        <v>0.12545933792109171</v>
      </c>
    </row>
    <row r="54" spans="1:22" x14ac:dyDescent="0.25">
      <c r="A54" s="97"/>
      <c r="B54" s="45">
        <v>100000000</v>
      </c>
      <c r="C54" s="45">
        <f t="shared" si="0"/>
        <v>1</v>
      </c>
      <c r="D54" s="97"/>
      <c r="E54" s="5" t="s">
        <v>118</v>
      </c>
      <c r="F54">
        <v>68.841999999999999</v>
      </c>
      <c r="G54">
        <v>1.54</v>
      </c>
      <c r="H54">
        <v>23.49</v>
      </c>
      <c r="I54">
        <v>158.08000000000001</v>
      </c>
      <c r="J54">
        <v>106.01667999999999</v>
      </c>
      <c r="K54">
        <v>1617.0985800000001</v>
      </c>
      <c r="L54">
        <v>10882.54336</v>
      </c>
      <c r="M54">
        <v>77.103040000000007</v>
      </c>
      <c r="N54">
        <v>1577.17022</v>
      </c>
      <c r="O54">
        <v>4723.2496199999996</v>
      </c>
      <c r="P54" s="18">
        <f t="shared" si="1"/>
        <v>77.103040000000007</v>
      </c>
      <c r="Q54" s="17">
        <f t="shared" si="2"/>
        <v>1577.17022</v>
      </c>
      <c r="R54" s="17">
        <f t="shared" si="2"/>
        <v>4723.2496199999996</v>
      </c>
      <c r="S54" s="98"/>
      <c r="T54" s="99"/>
      <c r="U54" s="99"/>
      <c r="V54" s="100"/>
    </row>
    <row r="55" spans="1:22" x14ac:dyDescent="0.25">
      <c r="A55" s="97" t="s">
        <v>49</v>
      </c>
      <c r="B55" s="45">
        <v>100000000</v>
      </c>
      <c r="C55" s="45">
        <f t="shared" si="0"/>
        <v>1</v>
      </c>
      <c r="D55" s="97" t="s">
        <v>111</v>
      </c>
      <c r="E55" s="6"/>
      <c r="F55">
        <v>180.571</v>
      </c>
      <c r="G55">
        <v>1.36</v>
      </c>
      <c r="H55">
        <v>20.75</v>
      </c>
      <c r="I55">
        <v>150.85</v>
      </c>
      <c r="J55">
        <v>245.57656</v>
      </c>
      <c r="K55">
        <v>3746.84825</v>
      </c>
      <c r="L55">
        <v>27239.13535</v>
      </c>
      <c r="M55">
        <v>214.87949</v>
      </c>
      <c r="N55">
        <v>3642.1170699999998</v>
      </c>
      <c r="O55">
        <v>10698.831749999999</v>
      </c>
      <c r="P55" s="18">
        <f t="shared" si="1"/>
        <v>214.87949</v>
      </c>
      <c r="Q55" s="17">
        <f t="shared" si="2"/>
        <v>3642.1170699999998</v>
      </c>
      <c r="R55" s="17">
        <f t="shared" si="2"/>
        <v>10698.831749999999</v>
      </c>
      <c r="S55" s="98">
        <f>(F56-F55)/F55</f>
        <v>-0.12411738318999178</v>
      </c>
      <c r="T55" s="99">
        <f>(P56-P55)/P55</f>
        <v>-0.13147774131444559</v>
      </c>
      <c r="U55" s="99">
        <f>(Q56-Q55)/Q55</f>
        <v>-9.719387191472123E-2</v>
      </c>
      <c r="V55" s="100">
        <f>(R56-R55)/R55</f>
        <v>-0.10903889763478139</v>
      </c>
    </row>
    <row r="56" spans="1:22" x14ac:dyDescent="0.25">
      <c r="A56" s="97"/>
      <c r="B56" s="45">
        <v>100000000</v>
      </c>
      <c r="C56" s="45">
        <f t="shared" si="0"/>
        <v>1</v>
      </c>
      <c r="D56" s="97"/>
      <c r="E56" s="5" t="s">
        <v>118</v>
      </c>
      <c r="F56">
        <v>158.15899999999999</v>
      </c>
      <c r="G56">
        <v>1.35</v>
      </c>
      <c r="H56">
        <v>21.37</v>
      </c>
      <c r="I56">
        <v>151.87</v>
      </c>
      <c r="J56">
        <v>213.51464999999999</v>
      </c>
      <c r="K56">
        <v>3379.8578299999999</v>
      </c>
      <c r="L56">
        <v>24019.607329999999</v>
      </c>
      <c r="M56">
        <v>186.62762000000001</v>
      </c>
      <c r="N56">
        <v>3288.1256100000001</v>
      </c>
      <c r="O56">
        <v>9532.2429300000003</v>
      </c>
      <c r="P56" s="18">
        <f t="shared" si="1"/>
        <v>186.62762000000001</v>
      </c>
      <c r="Q56" s="17">
        <f t="shared" si="2"/>
        <v>3288.1256100000001</v>
      </c>
      <c r="R56" s="17">
        <f t="shared" si="2"/>
        <v>9532.2429300000003</v>
      </c>
      <c r="S56" s="98"/>
      <c r="T56" s="99"/>
      <c r="U56" s="99"/>
      <c r="V56" s="100"/>
    </row>
    <row r="57" spans="1:22" x14ac:dyDescent="0.25">
      <c r="A57" s="97"/>
      <c r="B57" s="45">
        <v>100000000</v>
      </c>
      <c r="C57" s="45">
        <f t="shared" si="0"/>
        <v>1</v>
      </c>
      <c r="D57" s="97" t="s">
        <v>114</v>
      </c>
      <c r="E57" s="6"/>
      <c r="F57">
        <v>169.465</v>
      </c>
      <c r="G57">
        <v>1.35</v>
      </c>
      <c r="H57">
        <v>20.84</v>
      </c>
      <c r="I57">
        <v>150.4</v>
      </c>
      <c r="J57">
        <v>228.77775</v>
      </c>
      <c r="K57">
        <v>3531.6505999999999</v>
      </c>
      <c r="L57">
        <v>25487.536</v>
      </c>
      <c r="M57">
        <v>199.96870000000001</v>
      </c>
      <c r="N57">
        <v>3433.3609000000001</v>
      </c>
      <c r="O57">
        <v>9962.84735</v>
      </c>
      <c r="P57" s="18">
        <f t="shared" si="1"/>
        <v>199.96870000000001</v>
      </c>
      <c r="Q57" s="17">
        <f t="shared" si="2"/>
        <v>3433.3609000000001</v>
      </c>
      <c r="R57" s="17">
        <f t="shared" si="2"/>
        <v>9962.84735</v>
      </c>
      <c r="S57" s="98">
        <f>(F58-F57)/F57</f>
        <v>-0.12941905408196391</v>
      </c>
      <c r="T57" s="99">
        <f>(P58-P57)/P57</f>
        <v>-0.12941905408196383</v>
      </c>
      <c r="U57" s="99">
        <f>(Q58-Q57)/Q57</f>
        <v>-0.11953585479464195</v>
      </c>
      <c r="V57" s="100">
        <f>(R58-R57)/R57</f>
        <v>-0.14200612337997939</v>
      </c>
    </row>
    <row r="58" spans="1:22" x14ac:dyDescent="0.25">
      <c r="A58" s="97"/>
      <c r="B58" s="45">
        <v>100000000</v>
      </c>
      <c r="C58" s="45">
        <f t="shared" si="0"/>
        <v>1</v>
      </c>
      <c r="D58" s="97"/>
      <c r="E58" s="5" t="s">
        <v>118</v>
      </c>
      <c r="F58">
        <v>147.53299999999999</v>
      </c>
      <c r="G58">
        <v>1.35</v>
      </c>
      <c r="H58">
        <v>21.07</v>
      </c>
      <c r="I58">
        <v>149.55000000000001</v>
      </c>
      <c r="J58">
        <v>199.16954999999999</v>
      </c>
      <c r="K58">
        <v>3108.5203099999999</v>
      </c>
      <c r="L58">
        <v>22063.560150000001</v>
      </c>
      <c r="M58">
        <v>174.08894000000001</v>
      </c>
      <c r="N58">
        <v>3022.9511699999989</v>
      </c>
      <c r="O58">
        <v>8548.0620199999994</v>
      </c>
      <c r="P58" s="18">
        <f t="shared" si="1"/>
        <v>174.08894000000001</v>
      </c>
      <c r="Q58" s="17">
        <f t="shared" si="2"/>
        <v>3022.9511699999989</v>
      </c>
      <c r="R58" s="17">
        <f t="shared" si="2"/>
        <v>8548.0620199999994</v>
      </c>
      <c r="S58" s="98"/>
      <c r="T58" s="99"/>
      <c r="U58" s="99"/>
      <c r="V58" s="100"/>
    </row>
    <row r="59" spans="1:22" x14ac:dyDescent="0.25">
      <c r="A59" s="97" t="s">
        <v>51</v>
      </c>
      <c r="B59" s="45">
        <v>100000000</v>
      </c>
      <c r="C59" s="45">
        <f t="shared" si="0"/>
        <v>1</v>
      </c>
      <c r="D59" s="97" t="s">
        <v>111</v>
      </c>
      <c r="E59" s="6"/>
      <c r="F59">
        <v>175.72200000000001</v>
      </c>
      <c r="G59">
        <v>4.09</v>
      </c>
      <c r="H59">
        <v>25.93</v>
      </c>
      <c r="I59">
        <v>149.18</v>
      </c>
      <c r="J59">
        <v>718.70298000000003</v>
      </c>
      <c r="K59">
        <v>4556.4714599999998</v>
      </c>
      <c r="L59">
        <v>26214.20796</v>
      </c>
      <c r="M59">
        <v>644.89974000000007</v>
      </c>
      <c r="N59">
        <v>4454.5527000000002</v>
      </c>
      <c r="O59">
        <v>10378.141320000001</v>
      </c>
      <c r="P59" s="18">
        <f t="shared" si="1"/>
        <v>644.89974000000007</v>
      </c>
      <c r="Q59" s="17">
        <f t="shared" si="2"/>
        <v>4454.5527000000002</v>
      </c>
      <c r="R59" s="17">
        <f t="shared" si="2"/>
        <v>10378.141320000001</v>
      </c>
      <c r="S59" s="98">
        <f>(F60-F59)/F59</f>
        <v>-0.12860654898077656</v>
      </c>
      <c r="T59" s="99">
        <f>(P60-P59)/P59</f>
        <v>-0.11198596544634992</v>
      </c>
      <c r="U59" s="99">
        <f>(Q60-Q59)/Q59</f>
        <v>-0.11554424083926548</v>
      </c>
      <c r="V59" s="100">
        <f>(R60-R59)/R59</f>
        <v>-0.12152444846453497</v>
      </c>
    </row>
    <row r="60" spans="1:22" x14ac:dyDescent="0.25">
      <c r="A60" s="97"/>
      <c r="B60" s="45">
        <v>100000000</v>
      </c>
      <c r="C60" s="45">
        <f t="shared" si="0"/>
        <v>1</v>
      </c>
      <c r="D60" s="97"/>
      <c r="E60" s="5" t="s">
        <v>118</v>
      </c>
      <c r="F60">
        <v>153.12299999999999</v>
      </c>
      <c r="G60">
        <v>4.16</v>
      </c>
      <c r="H60">
        <v>26.31</v>
      </c>
      <c r="I60">
        <v>149.66</v>
      </c>
      <c r="J60">
        <v>636.99167999999997</v>
      </c>
      <c r="K60">
        <v>4028.6661300000001</v>
      </c>
      <c r="L60">
        <v>22916.388180000002</v>
      </c>
      <c r="M60">
        <v>572.68002000000001</v>
      </c>
      <c r="N60">
        <v>3939.8547899999999</v>
      </c>
      <c r="O60">
        <v>9116.9434199999996</v>
      </c>
      <c r="P60" s="18">
        <f t="shared" si="1"/>
        <v>572.68002000000001</v>
      </c>
      <c r="Q60" s="17">
        <f t="shared" si="2"/>
        <v>3939.8547899999999</v>
      </c>
      <c r="R60" s="17">
        <f t="shared" si="2"/>
        <v>9116.9434199999996</v>
      </c>
      <c r="S60" s="98"/>
      <c r="T60" s="99"/>
      <c r="U60" s="99"/>
      <c r="V60" s="100"/>
    </row>
    <row r="61" spans="1:22" x14ac:dyDescent="0.25">
      <c r="A61" s="97"/>
      <c r="B61" s="45">
        <v>100000000</v>
      </c>
      <c r="C61" s="45">
        <f t="shared" si="0"/>
        <v>1</v>
      </c>
      <c r="D61" s="97" t="s">
        <v>114</v>
      </c>
      <c r="E61" s="6"/>
      <c r="F61">
        <v>130.21100000000001</v>
      </c>
      <c r="G61">
        <v>4.17</v>
      </c>
      <c r="H61">
        <v>26.32</v>
      </c>
      <c r="I61">
        <v>150.54</v>
      </c>
      <c r="J61">
        <v>542.97987000000001</v>
      </c>
      <c r="K61">
        <v>3427.1535199999998</v>
      </c>
      <c r="L61">
        <v>19601.963940000001</v>
      </c>
      <c r="M61">
        <v>488.29124999999999</v>
      </c>
      <c r="N61">
        <v>3351.63114</v>
      </c>
      <c r="O61">
        <v>7867.3486200000007</v>
      </c>
      <c r="P61" s="18">
        <f t="shared" si="1"/>
        <v>488.29124999999999</v>
      </c>
      <c r="Q61" s="17">
        <f t="shared" si="2"/>
        <v>3351.63114</v>
      </c>
      <c r="R61" s="17">
        <f t="shared" si="2"/>
        <v>7867.3486200000007</v>
      </c>
      <c r="S61" s="98">
        <f>(F62-F61)/F61</f>
        <v>9.0391748776984457E-3</v>
      </c>
      <c r="T61" s="99">
        <f>(P62-P61)/P61</f>
        <v>9.0391748776984908E-3</v>
      </c>
      <c r="U61" s="99">
        <f>(Q62-Q61)/Q61</f>
        <v>-1.4481551809427277E-2</v>
      </c>
      <c r="V61" s="100">
        <f>(R62-R61)/R61</f>
        <v>-2.0687566785365104E-2</v>
      </c>
    </row>
    <row r="62" spans="1:22" x14ac:dyDescent="0.25">
      <c r="A62" s="97"/>
      <c r="B62" s="45">
        <v>100000000</v>
      </c>
      <c r="C62" s="45">
        <f t="shared" si="0"/>
        <v>1</v>
      </c>
      <c r="D62" s="97"/>
      <c r="E62" s="5" t="s">
        <v>118</v>
      </c>
      <c r="F62">
        <v>131.38800000000001</v>
      </c>
      <c r="G62">
        <v>4.17</v>
      </c>
      <c r="H62">
        <v>25.72</v>
      </c>
      <c r="I62">
        <v>148.76</v>
      </c>
      <c r="J62">
        <v>547.88796000000002</v>
      </c>
      <c r="K62">
        <v>3379.29936</v>
      </c>
      <c r="L62">
        <v>19545.278880000002</v>
      </c>
      <c r="M62">
        <v>492.70499999999998</v>
      </c>
      <c r="N62">
        <v>3303.0943200000002</v>
      </c>
      <c r="O62">
        <v>7704.5923200000007</v>
      </c>
      <c r="P62" s="18">
        <f t="shared" si="1"/>
        <v>492.70499999999998</v>
      </c>
      <c r="Q62" s="17">
        <f t="shared" si="2"/>
        <v>3303.0943200000002</v>
      </c>
      <c r="R62" s="17">
        <f t="shared" si="2"/>
        <v>7704.5923200000007</v>
      </c>
      <c r="S62" s="98"/>
      <c r="T62" s="99"/>
      <c r="U62" s="99"/>
      <c r="V62" s="100"/>
    </row>
    <row r="63" spans="1:22" x14ac:dyDescent="0.25">
      <c r="A63" s="97" t="s">
        <v>55</v>
      </c>
      <c r="B63" s="45">
        <v>100000000</v>
      </c>
      <c r="C63" s="45">
        <f t="shared" si="0"/>
        <v>1</v>
      </c>
      <c r="D63" s="97" t="s">
        <v>111</v>
      </c>
      <c r="E63" s="6"/>
      <c r="F63">
        <v>201.018</v>
      </c>
      <c r="G63">
        <v>2.1</v>
      </c>
      <c r="H63">
        <v>19.11</v>
      </c>
      <c r="I63">
        <v>149.22999999999999</v>
      </c>
      <c r="J63">
        <v>422.13780000000003</v>
      </c>
      <c r="K63">
        <v>3841.4539799999998</v>
      </c>
      <c r="L63">
        <v>29997.916140000001</v>
      </c>
      <c r="M63">
        <v>337.71024</v>
      </c>
      <c r="N63">
        <v>3724.8635399999998</v>
      </c>
      <c r="O63">
        <v>12107.31414</v>
      </c>
      <c r="P63" s="18">
        <f t="shared" si="1"/>
        <v>337.71024</v>
      </c>
      <c r="Q63" s="17">
        <f t="shared" si="2"/>
        <v>3724.8635399999998</v>
      </c>
      <c r="R63" s="17">
        <f t="shared" si="2"/>
        <v>12107.31414</v>
      </c>
      <c r="S63" s="98">
        <f>(F64-F63)/F63</f>
        <v>-5.3870797640012374E-2</v>
      </c>
      <c r="T63" s="99">
        <f>(P64-P63)/P63</f>
        <v>-5.9502519082631281E-2</v>
      </c>
      <c r="U63" s="99">
        <f>(Q64-Q63)/Q63</f>
        <v>-5.84661364534175E-2</v>
      </c>
      <c r="V63" s="100">
        <f>(R64-R63)/R63</f>
        <v>-6.4552648173048885E-2</v>
      </c>
    </row>
    <row r="64" spans="1:22" x14ac:dyDescent="0.25">
      <c r="A64" s="97"/>
      <c r="B64" s="45">
        <v>100000000</v>
      </c>
      <c r="C64" s="45">
        <f t="shared" si="0"/>
        <v>1</v>
      </c>
      <c r="D64" s="97"/>
      <c r="E64" s="5" t="s">
        <v>118</v>
      </c>
      <c r="F64">
        <v>190.18899999999999</v>
      </c>
      <c r="G64">
        <v>2.09</v>
      </c>
      <c r="H64">
        <v>19.02</v>
      </c>
      <c r="I64">
        <v>148.55000000000001</v>
      </c>
      <c r="J64">
        <v>397.49500999999998</v>
      </c>
      <c r="K64">
        <v>3617.3947800000001</v>
      </c>
      <c r="L64">
        <v>28252.575949999999</v>
      </c>
      <c r="M64">
        <v>317.61563000000001</v>
      </c>
      <c r="N64">
        <v>3507.0851600000001</v>
      </c>
      <c r="O64">
        <v>11325.75495</v>
      </c>
      <c r="P64" s="18">
        <f t="shared" si="1"/>
        <v>317.61563000000001</v>
      </c>
      <c r="Q64" s="17">
        <f t="shared" si="2"/>
        <v>3507.0851600000001</v>
      </c>
      <c r="R64" s="17">
        <f t="shared" si="2"/>
        <v>11325.75495</v>
      </c>
      <c r="S64" s="98"/>
      <c r="T64" s="99"/>
      <c r="U64" s="99"/>
      <c r="V64" s="100"/>
    </row>
    <row r="65" spans="1:22" x14ac:dyDescent="0.25">
      <c r="A65" s="97"/>
      <c r="B65" s="45">
        <v>100000000</v>
      </c>
      <c r="C65" s="45">
        <f t="shared" si="0"/>
        <v>1</v>
      </c>
      <c r="D65" s="97" t="s">
        <v>114</v>
      </c>
      <c r="E65" s="6"/>
      <c r="F65">
        <v>239.393</v>
      </c>
      <c r="G65">
        <v>2.09</v>
      </c>
      <c r="H65">
        <v>19.04</v>
      </c>
      <c r="I65">
        <v>148.9</v>
      </c>
      <c r="J65">
        <v>500.33136999999999</v>
      </c>
      <c r="K65">
        <v>4558.0427199999986</v>
      </c>
      <c r="L65">
        <v>35645.617700000003</v>
      </c>
      <c r="M65">
        <v>399.78631000000001</v>
      </c>
      <c r="N65">
        <v>4419.1947799999998</v>
      </c>
      <c r="O65">
        <v>14339.6407</v>
      </c>
      <c r="P65" s="18">
        <f t="shared" si="1"/>
        <v>399.78631000000001</v>
      </c>
      <c r="Q65" s="17">
        <f t="shared" si="2"/>
        <v>4419.1947799999998</v>
      </c>
      <c r="R65" s="17">
        <f t="shared" si="2"/>
        <v>14339.6407</v>
      </c>
      <c r="S65" s="98">
        <f>(F66-F65)/F65</f>
        <v>-3.7143943223068326E-2</v>
      </c>
      <c r="T65" s="99">
        <f>(P66-P65)/P65</f>
        <v>-3.1378338092667657E-2</v>
      </c>
      <c r="U65" s="99">
        <f>(Q66-Q65)/Q65</f>
        <v>-5.0183705638790578E-2</v>
      </c>
      <c r="V65" s="100">
        <f>(R66-R65)/R65</f>
        <v>-4.7592297762383939E-2</v>
      </c>
    </row>
    <row r="66" spans="1:22" x14ac:dyDescent="0.25">
      <c r="A66" s="97"/>
      <c r="B66" s="45">
        <v>100000000</v>
      </c>
      <c r="C66" s="45">
        <f t="shared" si="0"/>
        <v>1</v>
      </c>
      <c r="D66" s="97"/>
      <c r="E66" s="5" t="s">
        <v>118</v>
      </c>
      <c r="F66">
        <v>230.501</v>
      </c>
      <c r="G66">
        <v>2.1</v>
      </c>
      <c r="H66">
        <v>18.79</v>
      </c>
      <c r="I66">
        <v>148.26</v>
      </c>
      <c r="J66">
        <v>484.05210000000011</v>
      </c>
      <c r="K66">
        <v>4331.1137900000003</v>
      </c>
      <c r="L66">
        <v>34174.078260000002</v>
      </c>
      <c r="M66">
        <v>387.24167999999997</v>
      </c>
      <c r="N66">
        <v>4197.4232099999999</v>
      </c>
      <c r="O66">
        <v>13657.18425</v>
      </c>
      <c r="P66" s="18">
        <f t="shared" si="1"/>
        <v>387.24167999999997</v>
      </c>
      <c r="Q66" s="17">
        <f t="shared" si="2"/>
        <v>4197.4232099999999</v>
      </c>
      <c r="R66" s="17">
        <f t="shared" si="2"/>
        <v>13657.18425</v>
      </c>
      <c r="S66" s="98"/>
      <c r="T66" s="99"/>
      <c r="U66" s="99"/>
      <c r="V66" s="100"/>
    </row>
    <row r="67" spans="1:22" x14ac:dyDescent="0.25">
      <c r="A67" s="97" t="s">
        <v>57</v>
      </c>
      <c r="B67" s="45">
        <v>100000000</v>
      </c>
      <c r="C67" s="45">
        <f t="shared" si="0"/>
        <v>1</v>
      </c>
      <c r="D67" s="97" t="s">
        <v>111</v>
      </c>
      <c r="E67" s="6"/>
      <c r="F67">
        <v>5.8109999999999999</v>
      </c>
      <c r="G67">
        <v>1.51</v>
      </c>
      <c r="H67">
        <v>20.6</v>
      </c>
      <c r="I67">
        <v>153.79</v>
      </c>
      <c r="J67">
        <v>8.7746099999999991</v>
      </c>
      <c r="K67">
        <v>119.70659999999999</v>
      </c>
      <c r="L67">
        <v>893.67368999999997</v>
      </c>
      <c r="M67">
        <v>6.33399</v>
      </c>
      <c r="N67">
        <v>116.33622</v>
      </c>
      <c r="O67">
        <v>339.94349999999997</v>
      </c>
      <c r="P67" s="18">
        <f t="shared" si="1"/>
        <v>6.33399</v>
      </c>
      <c r="Q67" s="17">
        <f t="shared" si="2"/>
        <v>116.33622</v>
      </c>
      <c r="R67" s="17">
        <f t="shared" si="2"/>
        <v>339.94349999999997</v>
      </c>
      <c r="S67" s="98">
        <f>(F68-F67)/F67</f>
        <v>-0.48649113749784889</v>
      </c>
      <c r="T67" s="99">
        <f>(P68-P67)/P67</f>
        <v>-0.46764677557116452</v>
      </c>
      <c r="U67" s="99">
        <f>(Q68-Q67)/Q67</f>
        <v>-0.51855337916256861</v>
      </c>
      <c r="V67" s="100">
        <f>(R68-R67)/R67</f>
        <v>-0.48859784052349875</v>
      </c>
    </row>
    <row r="68" spans="1:22" x14ac:dyDescent="0.25">
      <c r="A68" s="97"/>
      <c r="B68" s="45">
        <v>100000000</v>
      </c>
      <c r="C68" s="45">
        <f t="shared" ref="C68:C106" si="3">100000000/B68</f>
        <v>1</v>
      </c>
      <c r="D68" s="97"/>
      <c r="E68" s="5" t="s">
        <v>118</v>
      </c>
      <c r="F68">
        <v>2.984</v>
      </c>
      <c r="G68">
        <v>1.55</v>
      </c>
      <c r="H68">
        <v>19.350000000000001</v>
      </c>
      <c r="I68">
        <v>153.56</v>
      </c>
      <c r="J68">
        <v>4.6252000000000004</v>
      </c>
      <c r="K68">
        <v>57.740400000000001</v>
      </c>
      <c r="L68">
        <v>458.22304000000003</v>
      </c>
      <c r="M68">
        <v>3.3719199999999998</v>
      </c>
      <c r="N68">
        <v>56.009680000000003</v>
      </c>
      <c r="O68">
        <v>173.84783999999999</v>
      </c>
      <c r="P68" s="18">
        <f t="shared" ref="P68:P106" si="4">C68*M68</f>
        <v>3.3719199999999998</v>
      </c>
      <c r="Q68" s="17">
        <f t="shared" ref="Q68:R106" si="5">$C68*N68</f>
        <v>56.009680000000003</v>
      </c>
      <c r="R68" s="17">
        <f t="shared" si="5"/>
        <v>173.84783999999999</v>
      </c>
      <c r="S68" s="98"/>
      <c r="T68" s="99"/>
      <c r="U68" s="99"/>
      <c r="V68" s="100"/>
    </row>
    <row r="69" spans="1:22" x14ac:dyDescent="0.25">
      <c r="A69" s="97"/>
      <c r="B69" s="45">
        <v>100000000</v>
      </c>
      <c r="C69" s="45">
        <f t="shared" si="3"/>
        <v>1</v>
      </c>
      <c r="D69" s="97" t="s">
        <v>114</v>
      </c>
      <c r="E69" s="6"/>
      <c r="F69">
        <v>5.891</v>
      </c>
      <c r="G69">
        <v>1.52</v>
      </c>
      <c r="H69">
        <v>21.14</v>
      </c>
      <c r="I69">
        <v>154.91</v>
      </c>
      <c r="J69">
        <v>8.9543200000000009</v>
      </c>
      <c r="K69">
        <v>124.53574</v>
      </c>
      <c r="L69">
        <v>912.57480999999996</v>
      </c>
      <c r="M69">
        <v>6.4801000000000002</v>
      </c>
      <c r="N69">
        <v>121.11896</v>
      </c>
      <c r="O69">
        <v>351.22142000000002</v>
      </c>
      <c r="P69" s="18">
        <f t="shared" si="4"/>
        <v>6.4801000000000002</v>
      </c>
      <c r="Q69" s="17">
        <f t="shared" si="5"/>
        <v>121.11896</v>
      </c>
      <c r="R69" s="17">
        <f t="shared" si="5"/>
        <v>351.22142000000002</v>
      </c>
      <c r="S69" s="98">
        <f>(F70-F69)/F69</f>
        <v>-0.42895942963843153</v>
      </c>
      <c r="T69" s="99">
        <f>(P70-P69)/P69</f>
        <v>-0.41338559590129781</v>
      </c>
      <c r="U69" s="99">
        <f>(Q70-Q69)/Q69</f>
        <v>-0.45534505910552731</v>
      </c>
      <c r="V69" s="100">
        <f>(R70-R69)/R69</f>
        <v>-0.42359574766254299</v>
      </c>
    </row>
    <row r="70" spans="1:22" x14ac:dyDescent="0.25">
      <c r="A70" s="97"/>
      <c r="B70" s="45">
        <v>100000000</v>
      </c>
      <c r="C70" s="45">
        <f t="shared" si="3"/>
        <v>1</v>
      </c>
      <c r="D70" s="97"/>
      <c r="E70" s="5" t="s">
        <v>118</v>
      </c>
      <c r="F70">
        <v>3.3639999999999999</v>
      </c>
      <c r="G70">
        <v>1.55</v>
      </c>
      <c r="H70">
        <v>20.190000000000001</v>
      </c>
      <c r="I70">
        <v>155.47</v>
      </c>
      <c r="J70">
        <v>5.2141999999999999</v>
      </c>
      <c r="K70">
        <v>67.919160000000005</v>
      </c>
      <c r="L70">
        <v>523.00108</v>
      </c>
      <c r="M70">
        <v>3.80132</v>
      </c>
      <c r="N70">
        <v>65.968040000000002</v>
      </c>
      <c r="O70">
        <v>202.44551999999999</v>
      </c>
      <c r="P70" s="18">
        <f t="shared" si="4"/>
        <v>3.80132</v>
      </c>
      <c r="Q70" s="17">
        <f t="shared" si="5"/>
        <v>65.968040000000002</v>
      </c>
      <c r="R70" s="17">
        <f t="shared" si="5"/>
        <v>202.44551999999999</v>
      </c>
      <c r="S70" s="98"/>
      <c r="T70" s="99"/>
      <c r="U70" s="99"/>
      <c r="V70" s="100"/>
    </row>
    <row r="71" spans="1:22" ht="15" customHeight="1" x14ac:dyDescent="0.25">
      <c r="A71" s="97" t="s">
        <v>61</v>
      </c>
      <c r="B71" s="45">
        <v>100000000</v>
      </c>
      <c r="C71" s="45">
        <f t="shared" si="3"/>
        <v>1</v>
      </c>
      <c r="D71" s="97" t="s">
        <v>111</v>
      </c>
      <c r="E71" s="6"/>
      <c r="F71">
        <v>159.39599999999999</v>
      </c>
      <c r="G71">
        <v>2.2200000000000002</v>
      </c>
      <c r="H71">
        <v>18.93</v>
      </c>
      <c r="I71">
        <v>149.91999999999999</v>
      </c>
      <c r="J71">
        <v>353.85912000000002</v>
      </c>
      <c r="K71">
        <v>3017.3662800000002</v>
      </c>
      <c r="L71">
        <v>23896.64832</v>
      </c>
      <c r="M71">
        <v>353.85912000000002</v>
      </c>
      <c r="N71">
        <v>2924.9166</v>
      </c>
      <c r="O71">
        <v>9576.5116799999996</v>
      </c>
      <c r="P71" s="18">
        <f t="shared" si="4"/>
        <v>353.85912000000002</v>
      </c>
      <c r="Q71" s="17">
        <f t="shared" si="5"/>
        <v>2924.9166</v>
      </c>
      <c r="R71" s="17">
        <f t="shared" si="5"/>
        <v>9576.5116799999996</v>
      </c>
      <c r="S71" s="98">
        <f>(F72-F71)/F71</f>
        <v>1.5912068056914856</v>
      </c>
      <c r="T71" s="99">
        <f>(P72-P71)/P71</f>
        <v>1.5328462920497852</v>
      </c>
      <c r="U71" s="99">
        <f>(Q72-Q71)/Q71</f>
        <v>1.774780039882162</v>
      </c>
      <c r="V71" s="100">
        <f>(R72-R71)/R71</f>
        <v>1.7089497247916481</v>
      </c>
    </row>
    <row r="72" spans="1:22" ht="15" customHeight="1" x14ac:dyDescent="0.25">
      <c r="A72" s="97"/>
      <c r="B72" s="45">
        <v>100000000</v>
      </c>
      <c r="C72" s="45">
        <f t="shared" si="3"/>
        <v>1</v>
      </c>
      <c r="D72" s="97"/>
      <c r="E72" s="5" t="s">
        <v>118</v>
      </c>
      <c r="F72">
        <v>413.02800000000002</v>
      </c>
      <c r="G72">
        <v>2.17</v>
      </c>
      <c r="H72">
        <v>20.23</v>
      </c>
      <c r="I72">
        <v>152.63999999999999</v>
      </c>
      <c r="J72">
        <v>896.27076</v>
      </c>
      <c r="K72">
        <v>8355.5564400000003</v>
      </c>
      <c r="L72">
        <v>63044.593919999999</v>
      </c>
      <c r="M72">
        <v>896.27076</v>
      </c>
      <c r="N72">
        <v>8116.0001999999986</v>
      </c>
      <c r="O72">
        <v>25942.288680000001</v>
      </c>
      <c r="P72" s="18">
        <f t="shared" si="4"/>
        <v>896.27076</v>
      </c>
      <c r="Q72" s="17">
        <f t="shared" si="5"/>
        <v>8116.0001999999986</v>
      </c>
      <c r="R72" s="17">
        <f t="shared" si="5"/>
        <v>25942.288680000001</v>
      </c>
      <c r="S72" s="98"/>
      <c r="T72" s="99"/>
      <c r="U72" s="99"/>
      <c r="V72" s="100"/>
    </row>
    <row r="73" spans="1:22" ht="15" customHeight="1" x14ac:dyDescent="0.25">
      <c r="A73" s="97"/>
      <c r="B73" s="45">
        <v>100000000</v>
      </c>
      <c r="C73" s="45">
        <f t="shared" si="3"/>
        <v>1</v>
      </c>
      <c r="D73" s="97" t="s">
        <v>114</v>
      </c>
      <c r="E73" s="6"/>
      <c r="F73">
        <v>311.702</v>
      </c>
      <c r="G73">
        <v>2.2000000000000002</v>
      </c>
      <c r="H73">
        <v>19.809999999999999</v>
      </c>
      <c r="I73">
        <v>151.6</v>
      </c>
      <c r="J73">
        <v>685.74440000000004</v>
      </c>
      <c r="K73">
        <v>6174.8166199999996</v>
      </c>
      <c r="L73">
        <v>47254.023200000003</v>
      </c>
      <c r="M73">
        <v>685.74440000000004</v>
      </c>
      <c r="N73">
        <v>5994.0294599999997</v>
      </c>
      <c r="O73">
        <v>19253.832539999999</v>
      </c>
      <c r="P73" s="18">
        <f t="shared" si="4"/>
        <v>685.74440000000004</v>
      </c>
      <c r="Q73" s="17">
        <f t="shared" si="5"/>
        <v>5994.0294599999997</v>
      </c>
      <c r="R73" s="17">
        <f t="shared" si="5"/>
        <v>19253.832539999999</v>
      </c>
      <c r="S73" s="98">
        <f>(F74-F73)/F73</f>
        <v>0.38863401582280505</v>
      </c>
      <c r="T73" s="99">
        <f>(P74-P73)/P73</f>
        <v>0.38232204302361039</v>
      </c>
      <c r="U73" s="99">
        <f>(Q74-Q73)/Q73</f>
        <v>0.40668698014707466</v>
      </c>
      <c r="V73" s="100">
        <f>(R74-R73)/R73</f>
        <v>0.40234725444433517</v>
      </c>
    </row>
    <row r="74" spans="1:22" ht="15" customHeight="1" x14ac:dyDescent="0.25">
      <c r="A74" s="97"/>
      <c r="B74" s="45">
        <v>100000000</v>
      </c>
      <c r="C74" s="45">
        <f t="shared" si="3"/>
        <v>1</v>
      </c>
      <c r="D74" s="97"/>
      <c r="E74" s="5" t="s">
        <v>118</v>
      </c>
      <c r="F74">
        <v>432.84</v>
      </c>
      <c r="G74">
        <v>2.19</v>
      </c>
      <c r="H74">
        <v>20.059999999999999</v>
      </c>
      <c r="I74">
        <v>152.21</v>
      </c>
      <c r="J74">
        <v>947.91959999999995</v>
      </c>
      <c r="K74">
        <v>8682.7703999999994</v>
      </c>
      <c r="L74">
        <v>65882.576400000005</v>
      </c>
      <c r="M74">
        <v>947.91959999999995</v>
      </c>
      <c r="N74">
        <v>8431.7232000000004</v>
      </c>
      <c r="O74">
        <v>27000.5592</v>
      </c>
      <c r="P74" s="18">
        <f t="shared" si="4"/>
        <v>947.91959999999995</v>
      </c>
      <c r="Q74" s="17">
        <f t="shared" si="5"/>
        <v>8431.7232000000004</v>
      </c>
      <c r="R74" s="17">
        <f t="shared" si="5"/>
        <v>27000.5592</v>
      </c>
      <c r="S74" s="98"/>
      <c r="T74" s="99"/>
      <c r="U74" s="99"/>
      <c r="V74" s="100"/>
    </row>
    <row r="75" spans="1:22" x14ac:dyDescent="0.25">
      <c r="A75" s="97" t="s">
        <v>63</v>
      </c>
      <c r="B75" s="45">
        <v>100000000</v>
      </c>
      <c r="C75" s="45">
        <f t="shared" si="3"/>
        <v>1</v>
      </c>
      <c r="D75" s="97" t="s">
        <v>111</v>
      </c>
      <c r="E75" s="6"/>
      <c r="F75">
        <v>10.210000000000001</v>
      </c>
      <c r="G75">
        <v>2.83</v>
      </c>
      <c r="H75">
        <v>25.31</v>
      </c>
      <c r="I75">
        <v>150.4</v>
      </c>
      <c r="J75">
        <v>28.894300000000001</v>
      </c>
      <c r="K75">
        <v>258.4151</v>
      </c>
      <c r="L75">
        <v>1535.5840000000001</v>
      </c>
      <c r="M75">
        <v>24.606100000000001</v>
      </c>
      <c r="N75">
        <v>252.4933</v>
      </c>
      <c r="O75">
        <v>577.47760000000005</v>
      </c>
      <c r="P75" s="18">
        <f t="shared" si="4"/>
        <v>24.606100000000001</v>
      </c>
      <c r="Q75" s="17">
        <f t="shared" si="5"/>
        <v>252.4933</v>
      </c>
      <c r="R75" s="17">
        <f t="shared" si="5"/>
        <v>577.47760000000005</v>
      </c>
      <c r="S75" s="98">
        <f>(F76-F75)/F75</f>
        <v>-0.60009794319294807</v>
      </c>
      <c r="T75" s="99">
        <f>(P76-P75)/P75</f>
        <v>-0.60175728782700222</v>
      </c>
      <c r="U75" s="99">
        <f>(Q76-Q75)/Q75</f>
        <v>-0.62597110497585484</v>
      </c>
      <c r="V75" s="100">
        <f>(R76-R75)/R75</f>
        <v>-0.60257258463358587</v>
      </c>
    </row>
    <row r="76" spans="1:22" x14ac:dyDescent="0.25">
      <c r="A76" s="97"/>
      <c r="B76" s="45">
        <v>100000000</v>
      </c>
      <c r="C76" s="45">
        <f t="shared" si="3"/>
        <v>1</v>
      </c>
      <c r="D76" s="97"/>
      <c r="E76" s="5" t="s">
        <v>118</v>
      </c>
      <c r="F76">
        <v>4.0830000000000002</v>
      </c>
      <c r="G76">
        <v>2.82</v>
      </c>
      <c r="H76">
        <v>23.71</v>
      </c>
      <c r="I76">
        <v>150.06</v>
      </c>
      <c r="J76">
        <v>11.514060000000001</v>
      </c>
      <c r="K76">
        <v>96.807930000000013</v>
      </c>
      <c r="L76">
        <v>612.69497999999999</v>
      </c>
      <c r="M76">
        <v>9.7992000000000008</v>
      </c>
      <c r="N76">
        <v>94.439790000000002</v>
      </c>
      <c r="O76">
        <v>229.50542999999999</v>
      </c>
      <c r="P76" s="18">
        <f t="shared" si="4"/>
        <v>9.7992000000000008</v>
      </c>
      <c r="Q76" s="17">
        <f t="shared" si="5"/>
        <v>94.439790000000002</v>
      </c>
      <c r="R76" s="17">
        <f t="shared" si="5"/>
        <v>229.50542999999999</v>
      </c>
      <c r="S76" s="98"/>
      <c r="T76" s="99"/>
      <c r="U76" s="99"/>
      <c r="V76" s="100"/>
    </row>
    <row r="77" spans="1:22" x14ac:dyDescent="0.25">
      <c r="A77" s="97"/>
      <c r="B77" s="45">
        <v>100000000</v>
      </c>
      <c r="C77" s="45">
        <f t="shared" si="3"/>
        <v>1</v>
      </c>
      <c r="D77" s="97" t="s">
        <v>114</v>
      </c>
      <c r="E77" s="6"/>
      <c r="F77">
        <v>8.9879999999999995</v>
      </c>
      <c r="G77">
        <v>2.76</v>
      </c>
      <c r="H77">
        <v>25.24</v>
      </c>
      <c r="I77">
        <v>151.43</v>
      </c>
      <c r="J77">
        <v>24.80688</v>
      </c>
      <c r="K77">
        <v>226.85712000000001</v>
      </c>
      <c r="L77">
        <v>1361.0528400000001</v>
      </c>
      <c r="M77">
        <v>21.03192</v>
      </c>
      <c r="N77">
        <v>221.64408</v>
      </c>
      <c r="O77">
        <v>517.52904000000001</v>
      </c>
      <c r="P77" s="18">
        <f t="shared" si="4"/>
        <v>21.03192</v>
      </c>
      <c r="Q77" s="17">
        <f t="shared" si="5"/>
        <v>221.64408</v>
      </c>
      <c r="R77" s="17">
        <f t="shared" si="5"/>
        <v>517.52904000000001</v>
      </c>
      <c r="S77" s="98">
        <f>(F78-F77)/F77</f>
        <v>-0.40732087227414326</v>
      </c>
      <c r="T77" s="99">
        <f>(P78-P77)/P77</f>
        <v>-0.40732087227414326</v>
      </c>
      <c r="U77" s="99">
        <f>(Q78-Q77)/Q77</f>
        <v>-0.4260674140270293</v>
      </c>
      <c r="V77" s="100">
        <f>(R78-R77)/R77</f>
        <v>-0.40618862663243011</v>
      </c>
    </row>
    <row r="78" spans="1:22" x14ac:dyDescent="0.25">
      <c r="A78" s="97"/>
      <c r="B78" s="45">
        <v>100000000</v>
      </c>
      <c r="C78" s="45">
        <f t="shared" si="3"/>
        <v>1</v>
      </c>
      <c r="D78" s="97"/>
      <c r="E78" s="5" t="s">
        <v>118</v>
      </c>
      <c r="F78">
        <v>5.327</v>
      </c>
      <c r="G78">
        <v>2.76</v>
      </c>
      <c r="H78">
        <v>24.46</v>
      </c>
      <c r="I78">
        <v>151.54</v>
      </c>
      <c r="J78">
        <v>14.70252</v>
      </c>
      <c r="K78">
        <v>130.29841999999999</v>
      </c>
      <c r="L78">
        <v>807.25357999999994</v>
      </c>
      <c r="M78">
        <v>12.46518</v>
      </c>
      <c r="N78">
        <v>127.20876</v>
      </c>
      <c r="O78">
        <v>307.31463000000002</v>
      </c>
      <c r="P78" s="18">
        <f t="shared" si="4"/>
        <v>12.46518</v>
      </c>
      <c r="Q78" s="17">
        <f t="shared" si="5"/>
        <v>127.20876</v>
      </c>
      <c r="R78" s="17">
        <f t="shared" si="5"/>
        <v>307.31463000000002</v>
      </c>
      <c r="S78" s="98"/>
      <c r="T78" s="99"/>
      <c r="U78" s="99"/>
      <c r="V78" s="100"/>
    </row>
    <row r="79" spans="1:22" x14ac:dyDescent="0.25">
      <c r="A79" s="97" t="s">
        <v>65</v>
      </c>
      <c r="B79" s="45">
        <v>100000000</v>
      </c>
      <c r="C79" s="45">
        <f t="shared" si="3"/>
        <v>1</v>
      </c>
      <c r="D79" s="97" t="s">
        <v>111</v>
      </c>
      <c r="E79" s="6"/>
      <c r="F79">
        <v>10.664</v>
      </c>
      <c r="G79">
        <v>3.12</v>
      </c>
      <c r="H79">
        <v>28.97</v>
      </c>
      <c r="I79">
        <v>161.12</v>
      </c>
      <c r="J79">
        <v>33.271680000000003</v>
      </c>
      <c r="K79">
        <v>308.93608</v>
      </c>
      <c r="L79">
        <v>1718.1836800000001</v>
      </c>
      <c r="M79">
        <v>28.7928</v>
      </c>
      <c r="N79">
        <v>302.75096000000002</v>
      </c>
      <c r="O79">
        <v>697.9588</v>
      </c>
      <c r="P79" s="18">
        <f t="shared" si="4"/>
        <v>28.7928</v>
      </c>
      <c r="Q79" s="17">
        <f t="shared" si="5"/>
        <v>302.75096000000002</v>
      </c>
      <c r="R79" s="17">
        <f t="shared" si="5"/>
        <v>697.9588</v>
      </c>
      <c r="S79" s="98">
        <f>(F80-F79)/F79</f>
        <v>-0.45620780195048755</v>
      </c>
      <c r="T79" s="99">
        <f>(P80-P79)/P79</f>
        <v>-0.46426398266233221</v>
      </c>
      <c r="U79" s="99">
        <f>(Q80-Q79)/Q79</f>
        <v>-0.49719812614301873</v>
      </c>
      <c r="V79" s="100">
        <f>(R80-R79)/R79</f>
        <v>-0.48329355543622343</v>
      </c>
    </row>
    <row r="80" spans="1:22" x14ac:dyDescent="0.25">
      <c r="A80" s="97"/>
      <c r="B80" s="45">
        <v>100000000</v>
      </c>
      <c r="C80" s="45">
        <f t="shared" si="3"/>
        <v>1</v>
      </c>
      <c r="D80" s="97"/>
      <c r="E80" s="5" t="s">
        <v>118</v>
      </c>
      <c r="F80">
        <v>5.7990000000000004</v>
      </c>
      <c r="G80">
        <v>3.08</v>
      </c>
      <c r="H80">
        <v>26.83</v>
      </c>
      <c r="I80">
        <v>157.87</v>
      </c>
      <c r="J80">
        <v>17.86092</v>
      </c>
      <c r="K80">
        <v>155.58716999999999</v>
      </c>
      <c r="L80">
        <v>915.48813000000007</v>
      </c>
      <c r="M80">
        <v>15.42534</v>
      </c>
      <c r="N80">
        <v>152.22375</v>
      </c>
      <c r="O80">
        <v>360.63981000000001</v>
      </c>
      <c r="P80" s="18">
        <f t="shared" si="4"/>
        <v>15.42534</v>
      </c>
      <c r="Q80" s="17">
        <f t="shared" si="5"/>
        <v>152.22375</v>
      </c>
      <c r="R80" s="17">
        <f t="shared" si="5"/>
        <v>360.63981000000001</v>
      </c>
      <c r="S80" s="98"/>
      <c r="T80" s="99"/>
      <c r="U80" s="99"/>
      <c r="V80" s="100"/>
    </row>
    <row r="81" spans="1:22" x14ac:dyDescent="0.25">
      <c r="A81" s="97"/>
      <c r="B81" s="45">
        <v>100000000</v>
      </c>
      <c r="C81" s="45">
        <f t="shared" si="3"/>
        <v>1</v>
      </c>
      <c r="D81" s="97" t="s">
        <v>114</v>
      </c>
      <c r="E81" s="6"/>
      <c r="F81">
        <v>10.337999999999999</v>
      </c>
      <c r="G81">
        <v>3.03</v>
      </c>
      <c r="H81">
        <v>28.97</v>
      </c>
      <c r="I81">
        <v>160.4</v>
      </c>
      <c r="J81">
        <v>31.32414</v>
      </c>
      <c r="K81">
        <v>299.49185999999997</v>
      </c>
      <c r="L81">
        <v>1658.2152000000001</v>
      </c>
      <c r="M81">
        <v>26.98218</v>
      </c>
      <c r="N81">
        <v>293.49581999999998</v>
      </c>
      <c r="O81">
        <v>669.07535999999993</v>
      </c>
      <c r="P81" s="18">
        <f t="shared" si="4"/>
        <v>26.98218</v>
      </c>
      <c r="Q81" s="17">
        <f t="shared" si="5"/>
        <v>293.49581999999998</v>
      </c>
      <c r="R81" s="17">
        <f t="shared" si="5"/>
        <v>669.07535999999993</v>
      </c>
      <c r="S81" s="98">
        <f>(F82-F81)/F81</f>
        <v>-0.43219191332946405</v>
      </c>
      <c r="T81" s="99">
        <f>(P82-P81)/P81</f>
        <v>-0.43654293315069426</v>
      </c>
      <c r="U81" s="99">
        <f>(Q82-Q81)/Q81</f>
        <v>-0.47419251149811936</v>
      </c>
      <c r="V81" s="100">
        <f>(R82-R81)/R81</f>
        <v>-0.4626352702631284</v>
      </c>
    </row>
    <row r="82" spans="1:22" x14ac:dyDescent="0.25">
      <c r="A82" s="97"/>
      <c r="B82" s="45">
        <v>100000000</v>
      </c>
      <c r="C82" s="45">
        <f t="shared" si="3"/>
        <v>1</v>
      </c>
      <c r="D82" s="97"/>
      <c r="E82" s="5" t="s">
        <v>118</v>
      </c>
      <c r="F82">
        <v>5.87</v>
      </c>
      <c r="G82">
        <v>3.01</v>
      </c>
      <c r="H82">
        <v>26.87</v>
      </c>
      <c r="I82">
        <v>156.91999999999999</v>
      </c>
      <c r="J82">
        <v>17.668700000000001</v>
      </c>
      <c r="K82">
        <v>157.7269</v>
      </c>
      <c r="L82">
        <v>921.1203999999999</v>
      </c>
      <c r="M82">
        <v>15.2033</v>
      </c>
      <c r="N82">
        <v>154.32230000000001</v>
      </c>
      <c r="O82">
        <v>359.53750000000002</v>
      </c>
      <c r="P82" s="18">
        <f t="shared" si="4"/>
        <v>15.2033</v>
      </c>
      <c r="Q82" s="17">
        <f t="shared" si="5"/>
        <v>154.32230000000001</v>
      </c>
      <c r="R82" s="17">
        <f t="shared" si="5"/>
        <v>359.53750000000002</v>
      </c>
      <c r="S82" s="98"/>
      <c r="T82" s="99"/>
      <c r="U82" s="99"/>
      <c r="V82" s="100"/>
    </row>
    <row r="83" spans="1:22" x14ac:dyDescent="0.25">
      <c r="A83" s="97" t="s">
        <v>71</v>
      </c>
      <c r="B83" s="45">
        <v>100000000</v>
      </c>
      <c r="C83" s="45">
        <f t="shared" si="3"/>
        <v>1</v>
      </c>
      <c r="D83" s="97" t="s">
        <v>111</v>
      </c>
      <c r="E83" s="6"/>
      <c r="F83">
        <v>71.462999999999994</v>
      </c>
      <c r="G83">
        <v>2.09</v>
      </c>
      <c r="H83">
        <v>18.57</v>
      </c>
      <c r="I83">
        <v>149.11000000000001</v>
      </c>
      <c r="J83">
        <v>149.35767000000001</v>
      </c>
      <c r="K83">
        <v>1327.06791</v>
      </c>
      <c r="L83">
        <v>10655.84793</v>
      </c>
      <c r="M83">
        <v>119.34321</v>
      </c>
      <c r="N83">
        <v>1285.6193699999999</v>
      </c>
      <c r="O83">
        <v>4262.05332</v>
      </c>
      <c r="P83" s="18">
        <f t="shared" si="4"/>
        <v>119.34321</v>
      </c>
      <c r="Q83" s="17">
        <f t="shared" si="5"/>
        <v>1285.6193699999999</v>
      </c>
      <c r="R83" s="17">
        <f t="shared" si="5"/>
        <v>4262.05332</v>
      </c>
      <c r="S83" s="98">
        <f>(F84-F83)/F83</f>
        <v>-0.25600660481647841</v>
      </c>
      <c r="T83" s="99">
        <f>(P84-P83)/P83</f>
        <v>-0.25600660481647847</v>
      </c>
      <c r="U83" s="99">
        <f>(Q84-Q83)/Q83</f>
        <v>-0.27006762507008586</v>
      </c>
      <c r="V83" s="100">
        <f>(R84-R83)/R83</f>
        <v>-0.2659863954963379</v>
      </c>
    </row>
    <row r="84" spans="1:22" x14ac:dyDescent="0.25">
      <c r="A84" s="97"/>
      <c r="B84" s="45">
        <v>100000000</v>
      </c>
      <c r="C84" s="45">
        <f t="shared" si="3"/>
        <v>1</v>
      </c>
      <c r="D84" s="97"/>
      <c r="E84" s="5" t="s">
        <v>118</v>
      </c>
      <c r="F84">
        <v>53.167999999999999</v>
      </c>
      <c r="G84">
        <v>2.09</v>
      </c>
      <c r="H84">
        <v>18.23</v>
      </c>
      <c r="I84">
        <v>148.31</v>
      </c>
      <c r="J84">
        <v>111.12112</v>
      </c>
      <c r="K84">
        <v>969.25264000000004</v>
      </c>
      <c r="L84">
        <v>7885.3460800000003</v>
      </c>
      <c r="M84">
        <v>88.790559999999999</v>
      </c>
      <c r="N84">
        <v>938.41519999999991</v>
      </c>
      <c r="O84">
        <v>3128.4051199999999</v>
      </c>
      <c r="P84" s="18">
        <f t="shared" si="4"/>
        <v>88.790559999999999</v>
      </c>
      <c r="Q84" s="17">
        <f t="shared" si="5"/>
        <v>938.41519999999991</v>
      </c>
      <c r="R84" s="17">
        <f t="shared" si="5"/>
        <v>3128.4051199999999</v>
      </c>
      <c r="S84" s="98"/>
      <c r="T84" s="99"/>
      <c r="U84" s="99"/>
      <c r="V84" s="100"/>
    </row>
    <row r="85" spans="1:22" x14ac:dyDescent="0.25">
      <c r="A85" s="97"/>
      <c r="B85" s="45">
        <v>100000000</v>
      </c>
      <c r="C85" s="45">
        <f t="shared" si="3"/>
        <v>1</v>
      </c>
      <c r="D85" s="97" t="s">
        <v>114</v>
      </c>
      <c r="E85" s="6"/>
      <c r="F85">
        <v>62.521999999999998</v>
      </c>
      <c r="G85">
        <v>2.09</v>
      </c>
      <c r="H85">
        <v>18.46</v>
      </c>
      <c r="I85">
        <v>148.6</v>
      </c>
      <c r="J85">
        <v>130.67097999999999</v>
      </c>
      <c r="K85">
        <v>1154.1561200000001</v>
      </c>
      <c r="L85">
        <v>9290.7691999999988</v>
      </c>
      <c r="M85">
        <v>104.41173999999999</v>
      </c>
      <c r="N85">
        <v>1117.89336</v>
      </c>
      <c r="O85">
        <v>3696.9258599999998</v>
      </c>
      <c r="P85" s="18">
        <f t="shared" si="4"/>
        <v>104.41173999999999</v>
      </c>
      <c r="Q85" s="17">
        <f t="shared" si="5"/>
        <v>1117.89336</v>
      </c>
      <c r="R85" s="17">
        <f t="shared" si="5"/>
        <v>3696.9258599999998</v>
      </c>
      <c r="S85" s="98">
        <f>(F86-F85)/F85</f>
        <v>-0.25266306260196408</v>
      </c>
      <c r="T85" s="99">
        <f>(P86-P85)/P85</f>
        <v>-0.24818799112053866</v>
      </c>
      <c r="U85" s="99">
        <f>(Q86-Q85)/Q85</f>
        <v>-0.25893266778147783</v>
      </c>
      <c r="V85" s="100">
        <f>(R86-R85)/R85</f>
        <v>-0.25557000485803627</v>
      </c>
    </row>
    <row r="86" spans="1:22" x14ac:dyDescent="0.25">
      <c r="A86" s="97"/>
      <c r="B86" s="45">
        <v>100000000</v>
      </c>
      <c r="C86" s="45">
        <f t="shared" si="3"/>
        <v>1</v>
      </c>
      <c r="D86" s="97"/>
      <c r="E86" s="5" t="s">
        <v>118</v>
      </c>
      <c r="F86">
        <v>46.725000000000001</v>
      </c>
      <c r="G86">
        <v>2.1</v>
      </c>
      <c r="H86">
        <v>18.309999999999999</v>
      </c>
      <c r="I86">
        <v>148.37</v>
      </c>
      <c r="J86">
        <v>98.122500000000002</v>
      </c>
      <c r="K86">
        <v>855.53474999999992</v>
      </c>
      <c r="L86">
        <v>6932.5882500000007</v>
      </c>
      <c r="M86">
        <v>78.498000000000005</v>
      </c>
      <c r="N86">
        <v>828.43425000000002</v>
      </c>
      <c r="O86">
        <v>2752.1025</v>
      </c>
      <c r="P86" s="18">
        <f t="shared" si="4"/>
        <v>78.498000000000005</v>
      </c>
      <c r="Q86" s="17">
        <f t="shared" si="5"/>
        <v>828.43425000000002</v>
      </c>
      <c r="R86" s="17">
        <f t="shared" si="5"/>
        <v>2752.1025</v>
      </c>
      <c r="S86" s="98"/>
      <c r="T86" s="99"/>
      <c r="U86" s="99"/>
      <c r="V86" s="100"/>
    </row>
    <row r="87" spans="1:22" x14ac:dyDescent="0.25">
      <c r="A87" s="97" t="s">
        <v>79</v>
      </c>
      <c r="B87" s="45">
        <v>100000000</v>
      </c>
      <c r="C87" s="45">
        <f t="shared" si="3"/>
        <v>1</v>
      </c>
      <c r="D87" s="97" t="s">
        <v>111</v>
      </c>
      <c r="E87" s="6"/>
      <c r="F87">
        <v>204.03899999999999</v>
      </c>
      <c r="G87">
        <v>2.0299999999999998</v>
      </c>
      <c r="H87">
        <v>19.32</v>
      </c>
      <c r="I87">
        <v>150.88</v>
      </c>
      <c r="J87">
        <v>414.19916999999992</v>
      </c>
      <c r="K87">
        <v>3942.0334800000001</v>
      </c>
      <c r="L87">
        <v>30785.404320000001</v>
      </c>
      <c r="M87">
        <v>328.50279</v>
      </c>
      <c r="N87">
        <v>3823.6908599999988</v>
      </c>
      <c r="O87">
        <v>12391.28847</v>
      </c>
      <c r="P87" s="18">
        <f t="shared" si="4"/>
        <v>328.50279</v>
      </c>
      <c r="Q87" s="17">
        <f t="shared" si="5"/>
        <v>3823.6908599999988</v>
      </c>
      <c r="R87" s="17">
        <f t="shared" si="5"/>
        <v>12391.28847</v>
      </c>
      <c r="S87" s="98">
        <f>(F88-F87)/F87</f>
        <v>-0.22926989448095708</v>
      </c>
      <c r="T87" s="99">
        <f>(P88-P87)/P87</f>
        <v>-0.21490846394333513</v>
      </c>
      <c r="U87" s="99">
        <f>(Q88-Q87)/Q87</f>
        <v>-0.26217192673363748</v>
      </c>
      <c r="V87" s="100">
        <f>(R88-R87)/R87</f>
        <v>-0.25592119073634972</v>
      </c>
    </row>
    <row r="88" spans="1:22" x14ac:dyDescent="0.25">
      <c r="A88" s="97"/>
      <c r="B88" s="45">
        <v>100000000</v>
      </c>
      <c r="C88" s="45">
        <f t="shared" si="3"/>
        <v>1</v>
      </c>
      <c r="D88" s="97"/>
      <c r="E88" s="5" t="s">
        <v>118</v>
      </c>
      <c r="F88">
        <v>157.25899999999999</v>
      </c>
      <c r="G88">
        <v>2.06</v>
      </c>
      <c r="H88">
        <v>18.52</v>
      </c>
      <c r="I88">
        <v>148.78</v>
      </c>
      <c r="J88">
        <v>323.95353999999998</v>
      </c>
      <c r="K88">
        <v>2912.4366799999998</v>
      </c>
      <c r="L88">
        <v>23396.994019999998</v>
      </c>
      <c r="M88">
        <v>257.90476000000001</v>
      </c>
      <c r="N88">
        <v>2821.2264599999999</v>
      </c>
      <c r="O88">
        <v>9220.0951699999987</v>
      </c>
      <c r="P88" s="18">
        <f t="shared" si="4"/>
        <v>257.90476000000001</v>
      </c>
      <c r="Q88" s="17">
        <f t="shared" si="5"/>
        <v>2821.2264599999999</v>
      </c>
      <c r="R88" s="17">
        <f t="shared" si="5"/>
        <v>9220.0951699999987</v>
      </c>
      <c r="S88" s="98"/>
      <c r="T88" s="99"/>
      <c r="U88" s="99"/>
      <c r="V88" s="100"/>
    </row>
    <row r="89" spans="1:22" x14ac:dyDescent="0.25">
      <c r="A89" s="97"/>
      <c r="B89" s="45">
        <v>100000000</v>
      </c>
      <c r="C89" s="45">
        <f t="shared" si="3"/>
        <v>1</v>
      </c>
      <c r="D89" s="97" t="s">
        <v>114</v>
      </c>
      <c r="E89" s="6"/>
      <c r="F89">
        <v>131.649</v>
      </c>
      <c r="G89">
        <v>2.11</v>
      </c>
      <c r="H89">
        <v>18.53</v>
      </c>
      <c r="I89">
        <v>148.91</v>
      </c>
      <c r="J89">
        <v>277.77938999999998</v>
      </c>
      <c r="K89">
        <v>2439.45597</v>
      </c>
      <c r="L89">
        <v>19603.852589999999</v>
      </c>
      <c r="M89">
        <v>222.48680999999999</v>
      </c>
      <c r="N89">
        <v>2363.0995499999999</v>
      </c>
      <c r="O89">
        <v>7735.69524</v>
      </c>
      <c r="P89" s="18">
        <f t="shared" si="4"/>
        <v>222.48680999999999</v>
      </c>
      <c r="Q89" s="17">
        <f t="shared" si="5"/>
        <v>2363.0995499999999</v>
      </c>
      <c r="R89" s="17">
        <f t="shared" si="5"/>
        <v>7735.69524</v>
      </c>
      <c r="S89" s="98">
        <f>(F90-F89)/F89</f>
        <v>0.17533745034143822</v>
      </c>
      <c r="T89" s="99">
        <f>(P90-P89)/P89</f>
        <v>0.14056415299405844</v>
      </c>
      <c r="U89" s="99">
        <f>(Q90-Q89)/Q89</f>
        <v>0.15176522292511979</v>
      </c>
      <c r="V89" s="100">
        <f>(R90-R89)/R89</f>
        <v>0.19794009361723511</v>
      </c>
    </row>
    <row r="90" spans="1:22" x14ac:dyDescent="0.25">
      <c r="A90" s="97"/>
      <c r="B90" s="45">
        <v>100000000</v>
      </c>
      <c r="C90" s="45">
        <f t="shared" si="3"/>
        <v>1</v>
      </c>
      <c r="D90" s="97"/>
      <c r="E90" s="5" t="s">
        <v>118</v>
      </c>
      <c r="F90">
        <v>154.732</v>
      </c>
      <c r="G90">
        <v>2.06</v>
      </c>
      <c r="H90">
        <v>18.170000000000002</v>
      </c>
      <c r="I90">
        <v>150.04</v>
      </c>
      <c r="J90">
        <v>318.74792000000002</v>
      </c>
      <c r="K90">
        <v>2811.4804399999998</v>
      </c>
      <c r="L90">
        <v>23215.989280000002</v>
      </c>
      <c r="M90">
        <v>253.76048</v>
      </c>
      <c r="N90">
        <v>2721.7358800000002</v>
      </c>
      <c r="O90">
        <v>9266.89948</v>
      </c>
      <c r="P90" s="18">
        <f t="shared" si="4"/>
        <v>253.76048</v>
      </c>
      <c r="Q90" s="17">
        <f t="shared" si="5"/>
        <v>2721.7358800000002</v>
      </c>
      <c r="R90" s="17">
        <f t="shared" si="5"/>
        <v>9266.89948</v>
      </c>
      <c r="S90" s="98"/>
      <c r="T90" s="99"/>
      <c r="U90" s="99"/>
      <c r="V90" s="100"/>
    </row>
    <row r="91" spans="1:22" x14ac:dyDescent="0.25">
      <c r="A91" s="97" t="s">
        <v>87</v>
      </c>
      <c r="B91" s="45">
        <v>100000000</v>
      </c>
      <c r="C91" s="45">
        <f t="shared" si="3"/>
        <v>1</v>
      </c>
      <c r="D91" s="97" t="s">
        <v>111</v>
      </c>
      <c r="E91" s="6"/>
      <c r="F91">
        <v>6.492</v>
      </c>
      <c r="G91">
        <v>2.57</v>
      </c>
      <c r="H91">
        <v>27.4</v>
      </c>
      <c r="I91">
        <v>153.86000000000001</v>
      </c>
      <c r="J91">
        <v>16.684439999999999</v>
      </c>
      <c r="K91">
        <v>177.88079999999999</v>
      </c>
      <c r="L91">
        <v>998.85912000000008</v>
      </c>
      <c r="M91">
        <v>13.957800000000001</v>
      </c>
      <c r="N91">
        <v>174.11544000000001</v>
      </c>
      <c r="O91">
        <v>419.90256000000011</v>
      </c>
      <c r="P91" s="18">
        <f t="shared" si="4"/>
        <v>13.957800000000001</v>
      </c>
      <c r="Q91" s="17">
        <f t="shared" si="5"/>
        <v>174.11544000000001</v>
      </c>
      <c r="R91" s="17">
        <f t="shared" si="5"/>
        <v>419.90256000000011</v>
      </c>
      <c r="S91" s="98">
        <f>(F92-F91)/F91</f>
        <v>-0.61013555144793585</v>
      </c>
      <c r="T91" s="99">
        <f>(P92-P91)/P91</f>
        <v>-0.6083222284314147</v>
      </c>
      <c r="U91" s="99">
        <f>(Q92-Q91)/Q91</f>
        <v>-0.68354403262571084</v>
      </c>
      <c r="V91" s="100">
        <f>(R92-R91)/R91</f>
        <v>-0.6420817724950284</v>
      </c>
    </row>
    <row r="92" spans="1:22" x14ac:dyDescent="0.25">
      <c r="A92" s="97"/>
      <c r="B92" s="45">
        <v>100000000</v>
      </c>
      <c r="C92" s="45">
        <f t="shared" si="3"/>
        <v>1</v>
      </c>
      <c r="D92" s="97"/>
      <c r="E92" s="5" t="s">
        <v>118</v>
      </c>
      <c r="F92">
        <v>2.5310000000000001</v>
      </c>
      <c r="G92">
        <v>2.58</v>
      </c>
      <c r="H92">
        <v>22.35</v>
      </c>
      <c r="I92">
        <v>148.56</v>
      </c>
      <c r="J92">
        <v>6.5299800000000001</v>
      </c>
      <c r="K92">
        <v>56.567850000000007</v>
      </c>
      <c r="L92">
        <v>376.00536000000011</v>
      </c>
      <c r="M92">
        <v>5.4669600000000003</v>
      </c>
      <c r="N92">
        <v>55.099870000000003</v>
      </c>
      <c r="O92">
        <v>150.29078000000001</v>
      </c>
      <c r="P92" s="18">
        <f t="shared" si="4"/>
        <v>5.4669600000000003</v>
      </c>
      <c r="Q92" s="17">
        <f t="shared" si="5"/>
        <v>55.099870000000003</v>
      </c>
      <c r="R92" s="17">
        <f t="shared" si="5"/>
        <v>150.29078000000001</v>
      </c>
      <c r="S92" s="98"/>
      <c r="T92" s="99"/>
      <c r="U92" s="99"/>
      <c r="V92" s="100"/>
    </row>
    <row r="93" spans="1:22" x14ac:dyDescent="0.25">
      <c r="A93" s="97"/>
      <c r="B93" s="45">
        <v>100000000</v>
      </c>
      <c r="C93" s="45">
        <f t="shared" si="3"/>
        <v>1</v>
      </c>
      <c r="D93" s="97" t="s">
        <v>114</v>
      </c>
      <c r="E93" s="6"/>
      <c r="F93">
        <v>6.2240000000000002</v>
      </c>
      <c r="G93">
        <v>2.5</v>
      </c>
      <c r="H93">
        <v>26.72</v>
      </c>
      <c r="I93">
        <v>155.91999999999999</v>
      </c>
      <c r="J93">
        <v>15.56</v>
      </c>
      <c r="K93">
        <v>166.30528000000001</v>
      </c>
      <c r="L93">
        <v>970.44607999999994</v>
      </c>
      <c r="M93">
        <v>12.945919999999999</v>
      </c>
      <c r="N93">
        <v>162.69535999999999</v>
      </c>
      <c r="O93">
        <v>415.32751999999999</v>
      </c>
      <c r="P93" s="18">
        <f t="shared" si="4"/>
        <v>12.945919999999999</v>
      </c>
      <c r="Q93" s="17">
        <f t="shared" si="5"/>
        <v>162.69535999999999</v>
      </c>
      <c r="R93" s="17">
        <f t="shared" si="5"/>
        <v>415.32751999999999</v>
      </c>
      <c r="S93" s="98">
        <f>(F94-F93)/F93</f>
        <v>-0.60298843187660667</v>
      </c>
      <c r="T93" s="99">
        <f>(P94-P93)/P93</f>
        <v>-0.60680585080087002</v>
      </c>
      <c r="U93" s="99">
        <f>(Q94-Q93)/Q93</f>
        <v>-0.6608543107805902</v>
      </c>
      <c r="V93" s="100">
        <f>(R94-R93)/R93</f>
        <v>-0.63344998183602186</v>
      </c>
    </row>
    <row r="94" spans="1:22" x14ac:dyDescent="0.25">
      <c r="A94" s="97"/>
      <c r="B94" s="45">
        <v>100000000</v>
      </c>
      <c r="C94" s="45">
        <f t="shared" si="3"/>
        <v>1</v>
      </c>
      <c r="D94" s="97"/>
      <c r="E94" s="5" t="s">
        <v>118</v>
      </c>
      <c r="F94">
        <v>2.4710000000000001</v>
      </c>
      <c r="G94">
        <v>2.48</v>
      </c>
      <c r="H94">
        <v>22.91</v>
      </c>
      <c r="I94">
        <v>150.80000000000001</v>
      </c>
      <c r="J94">
        <v>6.1280799999999997</v>
      </c>
      <c r="K94">
        <v>56.610610000000001</v>
      </c>
      <c r="L94">
        <v>372.62680000000012</v>
      </c>
      <c r="M94">
        <v>5.0902600000000007</v>
      </c>
      <c r="N94">
        <v>55.177430000000001</v>
      </c>
      <c r="O94">
        <v>152.23831000000001</v>
      </c>
      <c r="P94" s="18">
        <f t="shared" si="4"/>
        <v>5.0902600000000007</v>
      </c>
      <c r="Q94" s="17">
        <f t="shared" si="5"/>
        <v>55.177430000000001</v>
      </c>
      <c r="R94" s="17">
        <f t="shared" si="5"/>
        <v>152.23831000000001</v>
      </c>
      <c r="S94" s="98"/>
      <c r="T94" s="99"/>
      <c r="U94" s="99"/>
      <c r="V94" s="100"/>
    </row>
    <row r="95" spans="1:22" x14ac:dyDescent="0.25">
      <c r="A95" s="97" t="s">
        <v>91</v>
      </c>
      <c r="B95" s="45">
        <v>100000000</v>
      </c>
      <c r="C95" s="45">
        <f t="shared" si="3"/>
        <v>1</v>
      </c>
      <c r="D95" s="97" t="s">
        <v>111</v>
      </c>
      <c r="E95" s="6"/>
      <c r="F95">
        <v>100.944</v>
      </c>
      <c r="G95">
        <v>1.52</v>
      </c>
      <c r="H95">
        <v>19.71</v>
      </c>
      <c r="I95">
        <v>149.97999999999999</v>
      </c>
      <c r="J95">
        <v>153.43487999999999</v>
      </c>
      <c r="K95">
        <v>1989.6062400000001</v>
      </c>
      <c r="L95">
        <v>15139.581120000001</v>
      </c>
      <c r="M95">
        <v>111.0384</v>
      </c>
      <c r="N95">
        <v>1931.05872</v>
      </c>
      <c r="O95">
        <v>5721.5059200000014</v>
      </c>
      <c r="P95" s="18">
        <f t="shared" si="4"/>
        <v>111.0384</v>
      </c>
      <c r="Q95" s="17">
        <f t="shared" si="5"/>
        <v>1931.05872</v>
      </c>
      <c r="R95" s="17">
        <f t="shared" si="5"/>
        <v>5721.5059200000014</v>
      </c>
      <c r="S95" s="98">
        <f>(F96-F95)/F95</f>
        <v>-0.174066809320019</v>
      </c>
      <c r="T95" s="99">
        <f>(P96-P95)/P95</f>
        <v>-0.13652439156183802</v>
      </c>
      <c r="U95" s="99">
        <f>(Q96-Q95)/Q95</f>
        <v>-0.16154612843673652</v>
      </c>
      <c r="V95" s="100">
        <f>(R96-R95)/R95</f>
        <v>-0.1399686500717631</v>
      </c>
    </row>
    <row r="96" spans="1:22" x14ac:dyDescent="0.25">
      <c r="A96" s="97"/>
      <c r="B96" s="45">
        <v>100000000</v>
      </c>
      <c r="C96" s="45">
        <f t="shared" si="3"/>
        <v>1</v>
      </c>
      <c r="D96" s="97"/>
      <c r="E96" s="5" t="s">
        <v>118</v>
      </c>
      <c r="F96">
        <v>83.373000000000005</v>
      </c>
      <c r="G96">
        <v>1.57</v>
      </c>
      <c r="H96">
        <v>20</v>
      </c>
      <c r="I96">
        <v>152.32</v>
      </c>
      <c r="J96">
        <v>130.89561</v>
      </c>
      <c r="K96">
        <v>1667.46</v>
      </c>
      <c r="L96">
        <v>12699.37536</v>
      </c>
      <c r="M96">
        <v>95.878950000000003</v>
      </c>
      <c r="N96">
        <v>1619.10366</v>
      </c>
      <c r="O96">
        <v>4920.6744600000002</v>
      </c>
      <c r="P96" s="18">
        <f t="shared" si="4"/>
        <v>95.878950000000003</v>
      </c>
      <c r="Q96" s="17">
        <f t="shared" si="5"/>
        <v>1619.10366</v>
      </c>
      <c r="R96" s="17">
        <f t="shared" si="5"/>
        <v>4920.6744600000002</v>
      </c>
      <c r="S96" s="98"/>
      <c r="T96" s="99"/>
      <c r="U96" s="99"/>
      <c r="V96" s="100"/>
    </row>
    <row r="97" spans="1:22" x14ac:dyDescent="0.25">
      <c r="A97" s="97"/>
      <c r="B97" s="45">
        <v>100000000</v>
      </c>
      <c r="C97" s="45">
        <f t="shared" si="3"/>
        <v>1</v>
      </c>
      <c r="D97" s="97" t="s">
        <v>114</v>
      </c>
      <c r="E97" s="6"/>
      <c r="F97">
        <v>54.872</v>
      </c>
      <c r="G97">
        <v>1.63</v>
      </c>
      <c r="H97">
        <v>19.8</v>
      </c>
      <c r="I97">
        <v>151.11000000000001</v>
      </c>
      <c r="J97">
        <v>89.441359999999989</v>
      </c>
      <c r="K97">
        <v>1086.4656</v>
      </c>
      <c r="L97">
        <v>8291.7079200000007</v>
      </c>
      <c r="M97">
        <v>66.395119999999991</v>
      </c>
      <c r="N97">
        <v>1054.63984</v>
      </c>
      <c r="O97">
        <v>3172.1503200000002</v>
      </c>
      <c r="P97" s="18">
        <f t="shared" si="4"/>
        <v>66.395119999999991</v>
      </c>
      <c r="Q97" s="17">
        <f t="shared" si="5"/>
        <v>1054.63984</v>
      </c>
      <c r="R97" s="17">
        <f t="shared" si="5"/>
        <v>3172.1503200000002</v>
      </c>
      <c r="S97" s="98">
        <f>(F98-F97)/F97</f>
        <v>-4.0895174223647759E-2</v>
      </c>
      <c r="T97" s="99">
        <f>(P98-P97)/P97</f>
        <v>2.2516715083879729E-2</v>
      </c>
      <c r="U97" s="99">
        <f>(Q98-Q97)/Q97</f>
        <v>4.144212871761032E-2</v>
      </c>
      <c r="V97" s="100">
        <f>(R98-R97)/R97</f>
        <v>1.9494750803612577E-2</v>
      </c>
    </row>
    <row r="98" spans="1:22" x14ac:dyDescent="0.25">
      <c r="A98" s="97"/>
      <c r="B98" s="45">
        <v>100000000</v>
      </c>
      <c r="C98" s="45">
        <f t="shared" si="3"/>
        <v>1</v>
      </c>
      <c r="D98" s="97"/>
      <c r="E98" s="5" t="s">
        <v>118</v>
      </c>
      <c r="F98">
        <v>52.628</v>
      </c>
      <c r="G98">
        <v>1.71</v>
      </c>
      <c r="H98">
        <v>21.45</v>
      </c>
      <c r="I98">
        <v>154.74</v>
      </c>
      <c r="J98">
        <v>89.993880000000004</v>
      </c>
      <c r="K98">
        <v>1128.8706</v>
      </c>
      <c r="L98">
        <v>8143.6567200000009</v>
      </c>
      <c r="M98">
        <v>67.890119999999996</v>
      </c>
      <c r="N98">
        <v>1098.34636</v>
      </c>
      <c r="O98">
        <v>3233.9906000000001</v>
      </c>
      <c r="P98" s="18">
        <f t="shared" si="4"/>
        <v>67.890119999999996</v>
      </c>
      <c r="Q98" s="17">
        <f t="shared" si="5"/>
        <v>1098.34636</v>
      </c>
      <c r="R98" s="17">
        <f t="shared" si="5"/>
        <v>3233.9906000000001</v>
      </c>
      <c r="S98" s="98"/>
      <c r="T98" s="99"/>
      <c r="U98" s="99"/>
      <c r="V98" s="100"/>
    </row>
    <row r="99" spans="1:22" x14ac:dyDescent="0.25">
      <c r="A99" s="97" t="s">
        <v>93</v>
      </c>
      <c r="B99" s="45">
        <v>100000</v>
      </c>
      <c r="C99" s="45">
        <f t="shared" si="3"/>
        <v>1000</v>
      </c>
      <c r="D99" s="97" t="s">
        <v>111</v>
      </c>
      <c r="E99" s="6"/>
      <c r="F99">
        <v>7.3639999999999999</v>
      </c>
      <c r="G99">
        <v>1.52</v>
      </c>
      <c r="H99">
        <v>19.059999999999999</v>
      </c>
      <c r="I99">
        <v>149.35</v>
      </c>
      <c r="J99">
        <v>11.19328</v>
      </c>
      <c r="K99">
        <v>140.35784000000001</v>
      </c>
      <c r="L99">
        <v>1099.8134</v>
      </c>
      <c r="M99">
        <v>8.1004000000000005</v>
      </c>
      <c r="N99">
        <v>136.08672000000001</v>
      </c>
      <c r="O99">
        <v>414.15136000000001</v>
      </c>
      <c r="P99" s="18">
        <f t="shared" si="4"/>
        <v>8100.4000000000005</v>
      </c>
      <c r="Q99" s="17">
        <f t="shared" si="5"/>
        <v>136086.72</v>
      </c>
      <c r="R99" s="17">
        <f t="shared" si="5"/>
        <v>414151.36</v>
      </c>
      <c r="S99" s="98">
        <f>(F100-F99)/F99</f>
        <v>-0.14462248777838124</v>
      </c>
      <c r="T99" s="99">
        <f>(P100-P99)/P99</f>
        <v>-0.14462248777838119</v>
      </c>
      <c r="U99" s="99">
        <f>(Q100-Q99)/Q99</f>
        <v>-9.0004226716611319E-2</v>
      </c>
      <c r="V99" s="100">
        <f>(R100-R99)/R99</f>
        <v>-9.367094677656003E-2</v>
      </c>
    </row>
    <row r="100" spans="1:22" x14ac:dyDescent="0.25">
      <c r="A100" s="97"/>
      <c r="B100" s="45">
        <v>100000</v>
      </c>
      <c r="C100" s="45">
        <f t="shared" si="3"/>
        <v>1000</v>
      </c>
      <c r="D100" s="97"/>
      <c r="E100" s="5" t="s">
        <v>118</v>
      </c>
      <c r="F100">
        <v>6.2990000000000004</v>
      </c>
      <c r="G100">
        <v>1.52</v>
      </c>
      <c r="H100">
        <v>20.239999999999998</v>
      </c>
      <c r="I100">
        <v>152.69999999999999</v>
      </c>
      <c r="J100">
        <v>9.5744800000000012</v>
      </c>
      <c r="K100">
        <v>127.49176</v>
      </c>
      <c r="L100">
        <v>961.85730000000001</v>
      </c>
      <c r="M100">
        <v>6.9289000000000014</v>
      </c>
      <c r="N100">
        <v>123.83834</v>
      </c>
      <c r="O100">
        <v>375.35741000000002</v>
      </c>
      <c r="P100" s="18">
        <f t="shared" si="4"/>
        <v>6928.9000000000015</v>
      </c>
      <c r="Q100" s="17">
        <f t="shared" si="5"/>
        <v>123838.34</v>
      </c>
      <c r="R100" s="17">
        <f t="shared" si="5"/>
        <v>375357.41000000003</v>
      </c>
      <c r="S100" s="98"/>
      <c r="T100" s="99"/>
      <c r="U100" s="99"/>
      <c r="V100" s="100"/>
    </row>
    <row r="101" spans="1:22" x14ac:dyDescent="0.25">
      <c r="A101" s="97"/>
      <c r="B101" s="45">
        <v>100000</v>
      </c>
      <c r="C101" s="45">
        <f t="shared" si="3"/>
        <v>1000</v>
      </c>
      <c r="D101" s="97" t="s">
        <v>114</v>
      </c>
      <c r="E101" s="6"/>
      <c r="F101">
        <v>5.7969999999999997</v>
      </c>
      <c r="G101">
        <v>1.51</v>
      </c>
      <c r="H101">
        <v>18.82</v>
      </c>
      <c r="I101">
        <v>148.41</v>
      </c>
      <c r="J101">
        <v>8.7534700000000001</v>
      </c>
      <c r="K101">
        <v>109.09954</v>
      </c>
      <c r="L101">
        <v>860.33276999999998</v>
      </c>
      <c r="M101">
        <v>6.3187300000000004</v>
      </c>
      <c r="N101">
        <v>105.73728</v>
      </c>
      <c r="O101">
        <v>320.57409999999999</v>
      </c>
      <c r="P101" s="18">
        <f t="shared" si="4"/>
        <v>6318.7300000000005</v>
      </c>
      <c r="Q101" s="17">
        <f t="shared" si="5"/>
        <v>105737.28</v>
      </c>
      <c r="R101" s="17">
        <f t="shared" si="5"/>
        <v>320574.09999999998</v>
      </c>
      <c r="S101" s="98">
        <f>(F102-F101)/F101</f>
        <v>-0.25340693462135577</v>
      </c>
      <c r="T101" s="99">
        <f>(P102-P101)/P101</f>
        <v>-0.23970797929330728</v>
      </c>
      <c r="U101" s="99">
        <f>(Q102-Q101)/Q101</f>
        <v>-0.21615914462713626</v>
      </c>
      <c r="V101" s="100">
        <f>(R102-R101)/R101</f>
        <v>-0.20061888967324562</v>
      </c>
    </row>
    <row r="102" spans="1:22" x14ac:dyDescent="0.25">
      <c r="A102" s="97"/>
      <c r="B102" s="45">
        <v>100000</v>
      </c>
      <c r="C102" s="45">
        <f t="shared" si="3"/>
        <v>1000</v>
      </c>
      <c r="D102" s="97"/>
      <c r="E102" s="5" t="s">
        <v>118</v>
      </c>
      <c r="F102">
        <v>4.3280000000000003</v>
      </c>
      <c r="G102">
        <v>1.53</v>
      </c>
      <c r="H102">
        <v>19.73</v>
      </c>
      <c r="I102">
        <v>152.32</v>
      </c>
      <c r="J102">
        <v>6.6218400000000006</v>
      </c>
      <c r="K102">
        <v>85.391440000000003</v>
      </c>
      <c r="L102">
        <v>659.24095999999997</v>
      </c>
      <c r="M102">
        <v>4.8040800000000008</v>
      </c>
      <c r="N102">
        <v>82.881199999999993</v>
      </c>
      <c r="O102">
        <v>256.26087999999999</v>
      </c>
      <c r="P102" s="18">
        <f t="shared" si="4"/>
        <v>4804.0800000000008</v>
      </c>
      <c r="Q102" s="17">
        <f t="shared" si="5"/>
        <v>82881.2</v>
      </c>
      <c r="R102" s="17">
        <f t="shared" si="5"/>
        <v>256260.87999999998</v>
      </c>
      <c r="S102" s="98"/>
      <c r="T102" s="99"/>
      <c r="U102" s="99"/>
      <c r="V102" s="100"/>
    </row>
    <row r="103" spans="1:22" x14ac:dyDescent="0.25">
      <c r="A103" s="97" t="s">
        <v>95</v>
      </c>
      <c r="B103" s="45">
        <v>100000</v>
      </c>
      <c r="C103" s="45">
        <f t="shared" si="3"/>
        <v>1000</v>
      </c>
      <c r="D103" s="97" t="s">
        <v>111</v>
      </c>
      <c r="E103" s="6"/>
      <c r="F103">
        <v>10.768000000000001</v>
      </c>
      <c r="G103">
        <v>2.39</v>
      </c>
      <c r="H103">
        <v>26.19</v>
      </c>
      <c r="I103">
        <v>157.04</v>
      </c>
      <c r="J103">
        <v>25.735520000000001</v>
      </c>
      <c r="K103">
        <v>282.01391999999998</v>
      </c>
      <c r="L103">
        <v>1691.0067200000001</v>
      </c>
      <c r="M103">
        <v>21.212959999999999</v>
      </c>
      <c r="N103">
        <v>275.76848000000001</v>
      </c>
      <c r="O103">
        <v>674.50752</v>
      </c>
      <c r="P103" s="18">
        <f t="shared" si="4"/>
        <v>21212.959999999999</v>
      </c>
      <c r="Q103" s="17">
        <f t="shared" si="5"/>
        <v>275768.48000000004</v>
      </c>
      <c r="R103" s="17">
        <f t="shared" si="5"/>
        <v>674507.52</v>
      </c>
      <c r="S103" s="98">
        <f>(F104-F103)/F103</f>
        <v>0.31593610698365521</v>
      </c>
      <c r="T103" s="99">
        <f>(P104-P103)/P103</f>
        <v>0.31593610698365521</v>
      </c>
      <c r="U103" s="99">
        <f>(Q104-Q103)/Q103</f>
        <v>0.39917767251717812</v>
      </c>
      <c r="V103" s="100">
        <f>(R104-R103)/R103</f>
        <v>0.39135453967955752</v>
      </c>
    </row>
    <row r="104" spans="1:22" x14ac:dyDescent="0.25">
      <c r="A104" s="97"/>
      <c r="B104" s="45">
        <v>100000</v>
      </c>
      <c r="C104" s="45">
        <f t="shared" si="3"/>
        <v>1000</v>
      </c>
      <c r="D104" s="97"/>
      <c r="E104" s="5" t="s">
        <v>118</v>
      </c>
      <c r="F104">
        <v>14.17</v>
      </c>
      <c r="G104">
        <v>2.39</v>
      </c>
      <c r="H104">
        <v>27.81</v>
      </c>
      <c r="I104">
        <v>160.62</v>
      </c>
      <c r="J104">
        <v>33.866300000000003</v>
      </c>
      <c r="K104">
        <v>394.0677</v>
      </c>
      <c r="L104">
        <v>2275.9854</v>
      </c>
      <c r="M104">
        <v>27.914899999999999</v>
      </c>
      <c r="N104">
        <v>385.84910000000002</v>
      </c>
      <c r="O104">
        <v>938.47910000000002</v>
      </c>
      <c r="P104" s="18">
        <f t="shared" si="4"/>
        <v>27914.899999999998</v>
      </c>
      <c r="Q104" s="17">
        <f t="shared" si="5"/>
        <v>385849.10000000003</v>
      </c>
      <c r="R104" s="17">
        <f t="shared" si="5"/>
        <v>938479.1</v>
      </c>
      <c r="S104" s="98"/>
      <c r="T104" s="99"/>
      <c r="U104" s="99"/>
      <c r="V104" s="100"/>
    </row>
    <row r="105" spans="1:22" x14ac:dyDescent="0.25">
      <c r="A105" s="97"/>
      <c r="B105" s="45">
        <v>100000</v>
      </c>
      <c r="C105" s="45">
        <f t="shared" si="3"/>
        <v>1000</v>
      </c>
      <c r="D105" s="97" t="s">
        <v>114</v>
      </c>
      <c r="E105" s="6"/>
      <c r="F105">
        <v>10.48</v>
      </c>
      <c r="G105">
        <v>2.4</v>
      </c>
      <c r="H105">
        <v>25.86</v>
      </c>
      <c r="I105">
        <v>155.69</v>
      </c>
      <c r="J105">
        <v>25.152000000000001</v>
      </c>
      <c r="K105">
        <v>271.01280000000003</v>
      </c>
      <c r="L105">
        <v>1631.6312</v>
      </c>
      <c r="M105">
        <v>20.750399999999999</v>
      </c>
      <c r="N105">
        <v>264.93439999999998</v>
      </c>
      <c r="O105">
        <v>642.31920000000002</v>
      </c>
      <c r="P105" s="18">
        <f t="shared" si="4"/>
        <v>20750.399999999998</v>
      </c>
      <c r="Q105" s="17">
        <f t="shared" si="5"/>
        <v>264934.39999999997</v>
      </c>
      <c r="R105" s="17">
        <f t="shared" si="5"/>
        <v>642319.20000000007</v>
      </c>
      <c r="S105" s="98">
        <f>(F106-F105)/F105</f>
        <v>0.2942748091603053</v>
      </c>
      <c r="T105" s="99">
        <f>(P106-P105)/P105</f>
        <v>0.29427480916030535</v>
      </c>
      <c r="U105" s="99">
        <f>(Q106-Q105)/Q105</f>
        <v>0.39052625857570794</v>
      </c>
      <c r="V105" s="100">
        <f>(R106-R105)/R105</f>
        <v>0.34939077019650022</v>
      </c>
    </row>
    <row r="106" spans="1:22" x14ac:dyDescent="0.25">
      <c r="A106" s="97"/>
      <c r="B106" s="45">
        <v>100000</v>
      </c>
      <c r="C106" s="45">
        <f t="shared" si="3"/>
        <v>1000</v>
      </c>
      <c r="D106" s="97"/>
      <c r="E106" s="5" t="s">
        <v>118</v>
      </c>
      <c r="F106">
        <v>13.564</v>
      </c>
      <c r="G106">
        <v>2.4</v>
      </c>
      <c r="H106">
        <v>27.74</v>
      </c>
      <c r="I106">
        <v>158.29</v>
      </c>
      <c r="J106">
        <v>32.553600000000003</v>
      </c>
      <c r="K106">
        <v>376.26535999999999</v>
      </c>
      <c r="L106">
        <v>2147.04556</v>
      </c>
      <c r="M106">
        <v>26.856719999999999</v>
      </c>
      <c r="N106">
        <v>368.39823999999999</v>
      </c>
      <c r="O106">
        <v>866.7396</v>
      </c>
      <c r="P106" s="21">
        <f t="shared" si="4"/>
        <v>26856.719999999998</v>
      </c>
      <c r="Q106" s="20">
        <f t="shared" si="5"/>
        <v>368398.24</v>
      </c>
      <c r="R106" s="20">
        <f t="shared" si="5"/>
        <v>866739.6</v>
      </c>
      <c r="S106" s="101"/>
      <c r="T106" s="102"/>
      <c r="U106" s="102"/>
      <c r="V106" s="103"/>
    </row>
  </sheetData>
  <mergeCells count="297">
    <mergeCell ref="T103:T104"/>
    <mergeCell ref="U103:U104"/>
    <mergeCell ref="V103:V104"/>
    <mergeCell ref="T105:T106"/>
    <mergeCell ref="U105:U106"/>
    <mergeCell ref="V105:V106"/>
    <mergeCell ref="T97:T98"/>
    <mergeCell ref="U97:U98"/>
    <mergeCell ref="V97:V98"/>
    <mergeCell ref="T99:T100"/>
    <mergeCell ref="U99:U100"/>
    <mergeCell ref="V99:V100"/>
    <mergeCell ref="T101:T102"/>
    <mergeCell ref="U101:U102"/>
    <mergeCell ref="V101:V102"/>
    <mergeCell ref="T91:T92"/>
    <mergeCell ref="U91:U92"/>
    <mergeCell ref="V91:V92"/>
    <mergeCell ref="T93:T94"/>
    <mergeCell ref="U93:U94"/>
    <mergeCell ref="V93:V94"/>
    <mergeCell ref="T95:T96"/>
    <mergeCell ref="U95:U96"/>
    <mergeCell ref="V95:V96"/>
    <mergeCell ref="T85:T86"/>
    <mergeCell ref="U85:U86"/>
    <mergeCell ref="V85:V86"/>
    <mergeCell ref="T87:T88"/>
    <mergeCell ref="U87:U88"/>
    <mergeCell ref="V87:V88"/>
    <mergeCell ref="T89:T90"/>
    <mergeCell ref="U89:U90"/>
    <mergeCell ref="V89:V90"/>
    <mergeCell ref="T79:T80"/>
    <mergeCell ref="U79:U80"/>
    <mergeCell ref="V79:V80"/>
    <mergeCell ref="T81:T82"/>
    <mergeCell ref="U81:U82"/>
    <mergeCell ref="V81:V82"/>
    <mergeCell ref="T83:T84"/>
    <mergeCell ref="U83:U84"/>
    <mergeCell ref="V83:V84"/>
    <mergeCell ref="T73:T74"/>
    <mergeCell ref="U73:U74"/>
    <mergeCell ref="V73:V74"/>
    <mergeCell ref="T75:T76"/>
    <mergeCell ref="U75:U76"/>
    <mergeCell ref="V75:V76"/>
    <mergeCell ref="T77:T78"/>
    <mergeCell ref="U77:U78"/>
    <mergeCell ref="V77:V78"/>
    <mergeCell ref="T67:T68"/>
    <mergeCell ref="U67:U68"/>
    <mergeCell ref="V67:V68"/>
    <mergeCell ref="T69:T70"/>
    <mergeCell ref="U69:U70"/>
    <mergeCell ref="V69:V70"/>
    <mergeCell ref="T71:T72"/>
    <mergeCell ref="U71:U72"/>
    <mergeCell ref="V71:V72"/>
    <mergeCell ref="T61:T62"/>
    <mergeCell ref="U61:U62"/>
    <mergeCell ref="V61:V62"/>
    <mergeCell ref="T63:T64"/>
    <mergeCell ref="U63:U64"/>
    <mergeCell ref="V63:V64"/>
    <mergeCell ref="T65:T66"/>
    <mergeCell ref="U65:U66"/>
    <mergeCell ref="V65:V66"/>
    <mergeCell ref="T55:T56"/>
    <mergeCell ref="U55:U56"/>
    <mergeCell ref="V55:V56"/>
    <mergeCell ref="T57:T58"/>
    <mergeCell ref="U57:U58"/>
    <mergeCell ref="V57:V58"/>
    <mergeCell ref="T59:T60"/>
    <mergeCell ref="U59:U60"/>
    <mergeCell ref="V59:V60"/>
    <mergeCell ref="T49:T50"/>
    <mergeCell ref="U49:U50"/>
    <mergeCell ref="V49:V50"/>
    <mergeCell ref="T51:T52"/>
    <mergeCell ref="U51:U52"/>
    <mergeCell ref="V51:V52"/>
    <mergeCell ref="T53:T54"/>
    <mergeCell ref="U53:U54"/>
    <mergeCell ref="V53:V54"/>
    <mergeCell ref="T43:T44"/>
    <mergeCell ref="U43:U44"/>
    <mergeCell ref="V43:V44"/>
    <mergeCell ref="T45:T46"/>
    <mergeCell ref="U45:U46"/>
    <mergeCell ref="V45:V46"/>
    <mergeCell ref="T47:T48"/>
    <mergeCell ref="U47:U48"/>
    <mergeCell ref="V47:V48"/>
    <mergeCell ref="T37:T38"/>
    <mergeCell ref="U37:U38"/>
    <mergeCell ref="V37:V38"/>
    <mergeCell ref="T39:T40"/>
    <mergeCell ref="U39:U40"/>
    <mergeCell ref="V39:V40"/>
    <mergeCell ref="T41:T42"/>
    <mergeCell ref="U41:U42"/>
    <mergeCell ref="V41:V42"/>
    <mergeCell ref="T31:T32"/>
    <mergeCell ref="U31:U32"/>
    <mergeCell ref="V31:V32"/>
    <mergeCell ref="T33:T34"/>
    <mergeCell ref="U33:U34"/>
    <mergeCell ref="V33:V34"/>
    <mergeCell ref="T35:T36"/>
    <mergeCell ref="U35:U36"/>
    <mergeCell ref="V35:V36"/>
    <mergeCell ref="T25:T26"/>
    <mergeCell ref="U25:U26"/>
    <mergeCell ref="V25:V26"/>
    <mergeCell ref="T27:T28"/>
    <mergeCell ref="U27:U28"/>
    <mergeCell ref="V27:V28"/>
    <mergeCell ref="T29:T30"/>
    <mergeCell ref="U29:U30"/>
    <mergeCell ref="V29:V30"/>
    <mergeCell ref="T19:T20"/>
    <mergeCell ref="U19:U20"/>
    <mergeCell ref="V19:V20"/>
    <mergeCell ref="T21:T22"/>
    <mergeCell ref="U21:U22"/>
    <mergeCell ref="V21:V22"/>
    <mergeCell ref="T23:T24"/>
    <mergeCell ref="U23:U24"/>
    <mergeCell ref="V23:V24"/>
    <mergeCell ref="T13:T14"/>
    <mergeCell ref="U13:U14"/>
    <mergeCell ref="V13:V14"/>
    <mergeCell ref="T15:T16"/>
    <mergeCell ref="U15:U16"/>
    <mergeCell ref="V15:V16"/>
    <mergeCell ref="T17:T18"/>
    <mergeCell ref="U17:U18"/>
    <mergeCell ref="V17:V18"/>
    <mergeCell ref="T7:T8"/>
    <mergeCell ref="U7:U8"/>
    <mergeCell ref="V7:V8"/>
    <mergeCell ref="T9:T10"/>
    <mergeCell ref="U9:U10"/>
    <mergeCell ref="V9:V10"/>
    <mergeCell ref="T11:T12"/>
    <mergeCell ref="U11:U12"/>
    <mergeCell ref="V11:V12"/>
    <mergeCell ref="M1:O1"/>
    <mergeCell ref="A3:A6"/>
    <mergeCell ref="D3:D4"/>
    <mergeCell ref="S3:S4"/>
    <mergeCell ref="D5:D6"/>
    <mergeCell ref="A1:A2"/>
    <mergeCell ref="D1:D2"/>
    <mergeCell ref="E1:E2"/>
    <mergeCell ref="F1:F2"/>
    <mergeCell ref="G1:I1"/>
    <mergeCell ref="J1:L1"/>
    <mergeCell ref="C1:C2"/>
    <mergeCell ref="P1:R1"/>
    <mergeCell ref="S1:V1"/>
    <mergeCell ref="T3:T4"/>
    <mergeCell ref="U3:U4"/>
    <mergeCell ref="V3:V4"/>
    <mergeCell ref="T5:T6"/>
    <mergeCell ref="U5:U6"/>
    <mergeCell ref="S5:S6"/>
    <mergeCell ref="V5:V6"/>
    <mergeCell ref="A7:A10"/>
    <mergeCell ref="D7:D8"/>
    <mergeCell ref="S7:S8"/>
    <mergeCell ref="D9:D10"/>
    <mergeCell ref="A15:A18"/>
    <mergeCell ref="D15:D16"/>
    <mergeCell ref="S9:S10"/>
    <mergeCell ref="A11:A14"/>
    <mergeCell ref="D11:D12"/>
    <mergeCell ref="S11:S12"/>
    <mergeCell ref="S15:S16"/>
    <mergeCell ref="D17:D18"/>
    <mergeCell ref="S17:S18"/>
    <mergeCell ref="D13:D14"/>
    <mergeCell ref="S13:S14"/>
    <mergeCell ref="S21:S22"/>
    <mergeCell ref="A23:A26"/>
    <mergeCell ref="D23:D24"/>
    <mergeCell ref="S23:S24"/>
    <mergeCell ref="D25:D26"/>
    <mergeCell ref="A19:A22"/>
    <mergeCell ref="D19:D20"/>
    <mergeCell ref="S19:S20"/>
    <mergeCell ref="D21:D22"/>
    <mergeCell ref="S25:S26"/>
    <mergeCell ref="A27:A30"/>
    <mergeCell ref="D27:D28"/>
    <mergeCell ref="S27:S28"/>
    <mergeCell ref="D29:D30"/>
    <mergeCell ref="S29:S30"/>
    <mergeCell ref="A31:A34"/>
    <mergeCell ref="D31:D32"/>
    <mergeCell ref="S31:S32"/>
    <mergeCell ref="D33:D34"/>
    <mergeCell ref="A39:A42"/>
    <mergeCell ref="D39:D40"/>
    <mergeCell ref="S33:S34"/>
    <mergeCell ref="A35:A38"/>
    <mergeCell ref="D35:D36"/>
    <mergeCell ref="S35:S36"/>
    <mergeCell ref="S39:S40"/>
    <mergeCell ref="D41:D42"/>
    <mergeCell ref="S41:S42"/>
    <mergeCell ref="D37:D38"/>
    <mergeCell ref="S37:S38"/>
    <mergeCell ref="S45:S46"/>
    <mergeCell ref="A47:A50"/>
    <mergeCell ref="D47:D48"/>
    <mergeCell ref="S47:S48"/>
    <mergeCell ref="D49:D50"/>
    <mergeCell ref="A43:A46"/>
    <mergeCell ref="D43:D44"/>
    <mergeCell ref="S43:S44"/>
    <mergeCell ref="D45:D46"/>
    <mergeCell ref="S49:S50"/>
    <mergeCell ref="A51:A54"/>
    <mergeCell ref="D51:D52"/>
    <mergeCell ref="S51:S52"/>
    <mergeCell ref="D53:D54"/>
    <mergeCell ref="S53:S54"/>
    <mergeCell ref="A55:A58"/>
    <mergeCell ref="D55:D56"/>
    <mergeCell ref="S55:S56"/>
    <mergeCell ref="D57:D58"/>
    <mergeCell ref="A63:A66"/>
    <mergeCell ref="D63:D64"/>
    <mergeCell ref="S57:S58"/>
    <mergeCell ref="A59:A62"/>
    <mergeCell ref="D59:D60"/>
    <mergeCell ref="S59:S60"/>
    <mergeCell ref="S63:S64"/>
    <mergeCell ref="D65:D66"/>
    <mergeCell ref="S65:S66"/>
    <mergeCell ref="D61:D62"/>
    <mergeCell ref="S61:S62"/>
    <mergeCell ref="S69:S70"/>
    <mergeCell ref="A71:A74"/>
    <mergeCell ref="D71:D72"/>
    <mergeCell ref="S71:S72"/>
    <mergeCell ref="D73:D74"/>
    <mergeCell ref="A67:A70"/>
    <mergeCell ref="D67:D68"/>
    <mergeCell ref="S67:S68"/>
    <mergeCell ref="D69:D70"/>
    <mergeCell ref="S73:S74"/>
    <mergeCell ref="A83:A86"/>
    <mergeCell ref="D83:D84"/>
    <mergeCell ref="S83:S84"/>
    <mergeCell ref="S87:S88"/>
    <mergeCell ref="D89:D90"/>
    <mergeCell ref="S89:S90"/>
    <mergeCell ref="D85:D86"/>
    <mergeCell ref="S85:S86"/>
    <mergeCell ref="A75:A78"/>
    <mergeCell ref="D75:D76"/>
    <mergeCell ref="S75:S76"/>
    <mergeCell ref="D77:D78"/>
    <mergeCell ref="S77:S78"/>
    <mergeCell ref="A79:A82"/>
    <mergeCell ref="D79:D80"/>
    <mergeCell ref="S79:S80"/>
    <mergeCell ref="D81:D82"/>
    <mergeCell ref="S105:S106"/>
    <mergeCell ref="B1:B2"/>
    <mergeCell ref="S101:S102"/>
    <mergeCell ref="A103:A106"/>
    <mergeCell ref="D103:D104"/>
    <mergeCell ref="S103:S104"/>
    <mergeCell ref="D105:D106"/>
    <mergeCell ref="S97:S98"/>
    <mergeCell ref="A99:A102"/>
    <mergeCell ref="D99:D100"/>
    <mergeCell ref="S99:S100"/>
    <mergeCell ref="D101:D102"/>
    <mergeCell ref="S93:S94"/>
    <mergeCell ref="A95:A98"/>
    <mergeCell ref="D95:D96"/>
    <mergeCell ref="S95:S96"/>
    <mergeCell ref="D97:D98"/>
    <mergeCell ref="A91:A94"/>
    <mergeCell ref="D91:D92"/>
    <mergeCell ref="S91:S92"/>
    <mergeCell ref="D93:D94"/>
    <mergeCell ref="A87:A90"/>
    <mergeCell ref="D87:D88"/>
    <mergeCell ref="S81:S82"/>
  </mergeCells>
  <conditionalFormatting sqref="S3:V106">
    <cfRule type="colorScale" priority="1">
      <colorScale>
        <cfvo type="num" val="-1"/>
        <cfvo type="num" val="0"/>
        <cfvo type="num" val="1"/>
        <color rgb="FF92D050"/>
        <color rgb="FFFFC000"/>
        <color rgb="FFFF000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53897-0FFF-4331-B18D-B677A58C4548}">
  <dimension ref="B2:AD48"/>
  <sheetViews>
    <sheetView topLeftCell="A9" zoomScale="85" zoomScaleNormal="85" workbookViewId="0">
      <selection activeCell="G44" sqref="G44"/>
    </sheetView>
  </sheetViews>
  <sheetFormatPr baseColWidth="10" defaultRowHeight="15" x14ac:dyDescent="0.25"/>
  <cols>
    <col min="3" max="4" width="20.42578125" bestFit="1" customWidth="1"/>
    <col min="6" max="6" width="7.7109375" bestFit="1" customWidth="1"/>
    <col min="7" max="7" width="33.5703125" bestFit="1" customWidth="1"/>
    <col min="8" max="9" width="20.42578125" bestFit="1" customWidth="1"/>
    <col min="12" max="12" width="33.5703125" bestFit="1" customWidth="1"/>
    <col min="14" max="15" width="20.42578125" bestFit="1" customWidth="1"/>
    <col min="17" max="17" width="7.7109375" bestFit="1" customWidth="1"/>
    <col min="18" max="18" width="33.5703125" bestFit="1" customWidth="1"/>
    <col min="19" max="20" width="20.42578125" bestFit="1" customWidth="1"/>
    <col min="22" max="22" width="7.7109375" bestFit="1" customWidth="1"/>
    <col min="23" max="23" width="33.5703125" bestFit="1" customWidth="1"/>
    <col min="24" max="24" width="18.28515625" bestFit="1" customWidth="1"/>
    <col min="26" max="26" width="12.5703125" bestFit="1" customWidth="1"/>
    <col min="27" max="27" width="44.5703125" bestFit="1" customWidth="1"/>
    <col min="29" max="29" width="12.5703125" bestFit="1" customWidth="1"/>
    <col min="30" max="30" width="41.28515625" bestFit="1" customWidth="1"/>
  </cols>
  <sheetData>
    <row r="2" spans="2:30" x14ac:dyDescent="0.25">
      <c r="B2" s="49"/>
      <c r="C2" s="105" t="s">
        <v>223</v>
      </c>
      <c r="D2" s="105"/>
      <c r="E2" s="105"/>
      <c r="F2" s="105"/>
      <c r="G2" s="105"/>
      <c r="H2" s="105"/>
      <c r="I2" s="105"/>
      <c r="J2" s="105"/>
      <c r="K2" s="105"/>
      <c r="L2" s="105"/>
      <c r="N2" s="108" t="s">
        <v>118</v>
      </c>
      <c r="O2" s="109"/>
      <c r="P2" s="109"/>
      <c r="Q2" s="109"/>
      <c r="R2" s="109"/>
      <c r="S2" s="109"/>
      <c r="T2" s="109"/>
      <c r="U2" s="109"/>
      <c r="V2" s="109"/>
      <c r="W2" s="110"/>
    </row>
    <row r="3" spans="2:30" ht="15.75" x14ac:dyDescent="0.25">
      <c r="B3" s="49"/>
      <c r="C3" s="108" t="s">
        <v>100</v>
      </c>
      <c r="D3" s="109"/>
      <c r="E3" s="109"/>
      <c r="F3" s="109"/>
      <c r="G3" s="110"/>
      <c r="H3" s="105" t="s">
        <v>211</v>
      </c>
      <c r="I3" s="105"/>
      <c r="J3" s="105"/>
      <c r="K3" s="105"/>
      <c r="L3" s="105"/>
      <c r="N3" s="108" t="s">
        <v>100</v>
      </c>
      <c r="O3" s="109"/>
      <c r="P3" s="109"/>
      <c r="Q3" s="109"/>
      <c r="R3" s="109"/>
      <c r="S3" s="109" t="s">
        <v>211</v>
      </c>
      <c r="T3" s="109"/>
      <c r="U3" s="109"/>
      <c r="V3" s="51"/>
      <c r="W3" s="52"/>
      <c r="Z3" s="117" t="s">
        <v>211</v>
      </c>
      <c r="AA3" s="118"/>
      <c r="AC3" s="117" t="s">
        <v>211</v>
      </c>
      <c r="AD3" s="118"/>
    </row>
    <row r="4" spans="2:30" x14ac:dyDescent="0.25">
      <c r="B4" s="50" t="s">
        <v>97</v>
      </c>
      <c r="C4" s="40" t="s">
        <v>223</v>
      </c>
      <c r="D4" s="40" t="s">
        <v>118</v>
      </c>
      <c r="E4" s="40" t="s">
        <v>153</v>
      </c>
      <c r="F4" s="15" t="s">
        <v>214</v>
      </c>
      <c r="G4" s="15" t="s">
        <v>177</v>
      </c>
      <c r="H4" s="40" t="s">
        <v>223</v>
      </c>
      <c r="I4" s="40" t="s">
        <v>118</v>
      </c>
      <c r="J4" s="40" t="s">
        <v>153</v>
      </c>
      <c r="K4" s="40" t="s">
        <v>214</v>
      </c>
      <c r="L4" s="40" t="s">
        <v>177</v>
      </c>
      <c r="M4" s="50" t="s">
        <v>97</v>
      </c>
      <c r="N4" s="40" t="s">
        <v>223</v>
      </c>
      <c r="O4" s="40" t="s">
        <v>118</v>
      </c>
      <c r="P4" s="40" t="s">
        <v>153</v>
      </c>
      <c r="Q4" s="15" t="s">
        <v>214</v>
      </c>
      <c r="R4" s="40" t="s">
        <v>177</v>
      </c>
      <c r="S4" s="40" t="s">
        <v>223</v>
      </c>
      <c r="T4" s="40" t="s">
        <v>118</v>
      </c>
      <c r="U4" s="40" t="s">
        <v>153</v>
      </c>
      <c r="V4" s="15" t="s">
        <v>214</v>
      </c>
      <c r="W4" s="40" t="s">
        <v>177</v>
      </c>
      <c r="X4" s="74" t="s">
        <v>178</v>
      </c>
      <c r="Z4" s="108" t="s">
        <v>193</v>
      </c>
      <c r="AA4" s="110"/>
      <c r="AB4" s="53"/>
      <c r="AC4" s="108" t="s">
        <v>118</v>
      </c>
      <c r="AD4" s="110"/>
    </row>
    <row r="5" spans="2:30" x14ac:dyDescent="0.25">
      <c r="B5" s="77" t="s">
        <v>156</v>
      </c>
      <c r="C5" s="75" cm="1">
        <f t="array" aca="1" ref="C5" ca="1">INDIRECT("'Python Impact of Technique'!F" &amp; 3 + (ROW(A1)-1)*4)</f>
        <v>84.436999999999998</v>
      </c>
      <c r="D5" s="75" cm="1">
        <f t="array" aca="1" ref="D5" ca="1">INDIRECT("'Python Impact of Technique'!F" &amp; 4 + (ROW(A1)-1)*4)</f>
        <v>46.953000000000003</v>
      </c>
      <c r="E5" s="75" cm="1">
        <f t="array" aca="1" ref="E5" ca="1">INDIRECT("'Python Impact of Technique'!S" &amp; 3 + (ROW(A1)-1)*4)*100</f>
        <v>-44.392860949583707</v>
      </c>
      <c r="F5" s="75">
        <v>2.8719490663203402E-11</v>
      </c>
      <c r="G5" s="78" t="s">
        <v>186</v>
      </c>
      <c r="H5" s="75" cm="1">
        <f t="array" aca="1" ref="H5" ca="1">INDIRECT("'Python Impact of Technique'!R" &amp; 3 + (ROW(A1)-1)*4)</f>
        <v>5560.176449999999</v>
      </c>
      <c r="I5" s="75" cm="1">
        <f t="array" aca="1" ref="I5" ca="1">INDIRECT("'Python Impact of Technique'!R" &amp; 4 + (ROW(A1)-1)*4)</f>
        <v>3092.32458</v>
      </c>
      <c r="J5" s="75" cm="1">
        <f t="array" aca="1" ref="J5" ca="1">INDIRECT("'Python Impact of Technique'!V" &amp; 3 + (ROW(A1)-1)*4)*100</f>
        <v>-44.384416433402926</v>
      </c>
      <c r="K5" s="75">
        <v>2.8719490663203402E-11</v>
      </c>
      <c r="L5" s="75" t="s">
        <v>186</v>
      </c>
      <c r="M5" s="79" t="s">
        <v>156</v>
      </c>
      <c r="N5" s="75" cm="1">
        <f t="array" aca="1" ref="N5" ca="1">INDIRECT("'Python Impact of Technique'!F" &amp; 5 + (ROW(A1)-1)*4)</f>
        <v>135.87899999999999</v>
      </c>
      <c r="O5" s="75" cm="1">
        <f t="array" aca="1" ref="O5" ca="1">INDIRECT("'Python Impact of Technique'!F" &amp; 6 + (ROW(A1)-1)*4)</f>
        <v>42.414999999999999</v>
      </c>
      <c r="P5" s="75" cm="1">
        <f t="array" aca="1" ref="P5" ca="1">INDIRECT("'Python Impact of Technique'!S" &amp; 5 + (ROW(A1)-1)*4)*100</f>
        <v>-68.784727588516262</v>
      </c>
      <c r="Q5" s="75">
        <v>2.8719490663203402E-11</v>
      </c>
      <c r="R5" s="75" t="s">
        <v>186</v>
      </c>
      <c r="S5" s="75" cm="1">
        <f t="array" aca="1" ref="S5" ca="1">INDIRECT("'Python Impact of Technique'!R" &amp; 5 + (ROW(A1)-1)*4)</f>
        <v>8650.057139999999</v>
      </c>
      <c r="T5" s="75" cm="1">
        <f t="array" aca="1" ref="T5" ca="1">INDIRECT("'Python Impact of Technique'!R" &amp; 6 + (ROW(A1)-1)*4)</f>
        <v>2656.8755999999998</v>
      </c>
      <c r="U5" s="75" cm="1">
        <f t="array" aca="1" ref="U5" ca="1">INDIRECT("'Python Impact of Technique'!V" &amp; 5 + (ROW(A1)-1)*4)*100</f>
        <v>-69.284878041857652</v>
      </c>
      <c r="V5" s="75">
        <v>2.8719490663203402E-11</v>
      </c>
      <c r="W5" s="75" t="s">
        <v>186</v>
      </c>
      <c r="X5" s="75">
        <f ca="1">AVERAGE(J5,U5)</f>
        <v>-56.834647237630293</v>
      </c>
      <c r="Z5" s="15" t="s">
        <v>155</v>
      </c>
      <c r="AA5" s="15" t="s">
        <v>154</v>
      </c>
      <c r="AB5" s="53"/>
      <c r="AC5" s="15" t="s">
        <v>155</v>
      </c>
      <c r="AD5" s="15" t="s">
        <v>154</v>
      </c>
    </row>
    <row r="6" spans="2:30" x14ac:dyDescent="0.25">
      <c r="B6" s="77" t="s">
        <v>157</v>
      </c>
      <c r="C6" s="75" cm="1">
        <f t="array" aca="1" ref="C6" ca="1">INDIRECT("'Python Impact of Technique'!F" &amp; 3 + (ROW(A2)-1)*4)</f>
        <v>5.7590000000000003</v>
      </c>
      <c r="D6" s="75" cm="1">
        <f t="array" aca="1" ref="D6" ca="1">INDIRECT("'Python Impact of Technique'!F" &amp; 4 + (ROW(A2)-1)*4)</f>
        <v>5.2510000000000003</v>
      </c>
      <c r="E6" s="75" cm="1">
        <f t="array" aca="1" ref="E6" ca="1">INDIRECT("'Python Impact of Technique'!S" &amp; 3 + (ROW(A2)-1)*4)*100</f>
        <v>-8.8209758638652538</v>
      </c>
      <c r="F6" s="75">
        <v>2.8719490663203402E-11</v>
      </c>
      <c r="G6" s="78" t="s">
        <v>186</v>
      </c>
      <c r="H6" s="75" cm="1">
        <f t="array" aca="1" ref="H6" ca="1">INDIRECT("'Python Impact of Technique'!R" &amp; 3 + (ROW(A2)-1)*4)</f>
        <v>331775.99</v>
      </c>
      <c r="I6" s="75" cm="1">
        <f t="array" aca="1" ref="I6" ca="1">INDIRECT("'Python Impact of Technique'!R" &amp; 4 + (ROW(A2)-1)*4)</f>
        <v>305870.75</v>
      </c>
      <c r="J6" s="75" cm="1">
        <f t="array" aca="1" ref="J6" ca="1">INDIRECT("'Python Impact of Technique'!V" &amp; 3 + (ROW(A2)-1)*4)*100</f>
        <v>-7.8080514506188319</v>
      </c>
      <c r="K6" s="75">
        <v>4.7340206841989269E-11</v>
      </c>
      <c r="L6" s="75" t="s">
        <v>186</v>
      </c>
      <c r="M6" s="79" t="s">
        <v>157</v>
      </c>
      <c r="N6" s="75" cm="1">
        <f t="array" aca="1" ref="N6" ca="1">INDIRECT("'Python Impact of Technique'!F" &amp; 5 + (ROW(A2)-1)*4)</f>
        <v>6.2830000000000004</v>
      </c>
      <c r="O6" s="75" cm="1">
        <f t="array" aca="1" ref="O6" ca="1">INDIRECT("'Python Impact of Technique'!F" &amp; 6 + (ROW(A2)-1)*4)</f>
        <v>6.0629999999999997</v>
      </c>
      <c r="P6" s="75" cm="1">
        <f t="array" aca="1" ref="P6" ca="1">INDIRECT("'Python Impact of Technique'!S" &amp; 5 + (ROW(A2)-1)*4)*100</f>
        <v>-3.5015120165526126</v>
      </c>
      <c r="Q6" s="75">
        <v>0.65738042711008138</v>
      </c>
      <c r="R6" s="75" t="s">
        <v>185</v>
      </c>
      <c r="S6" s="75" cm="1">
        <f t="array" aca="1" ref="S6" ca="1">INDIRECT("'Python Impact of Technique'!R" &amp; 5 + (ROW(A2)-1)*4)</f>
        <v>401232.38</v>
      </c>
      <c r="T6" s="75" cm="1">
        <f t="array" aca="1" ref="T6" ca="1">INDIRECT("'Python Impact of Technique'!R" &amp; 6 + (ROW(A2)-1)*4)</f>
        <v>375117.81</v>
      </c>
      <c r="U6" s="75" cm="1">
        <f t="array" aca="1" ref="U6" ca="1">INDIRECT("'Python Impact of Technique'!V" &amp; 5 + (ROW(A2)-1)*4)*100</f>
        <v>-6.5085898600706171</v>
      </c>
      <c r="V6" s="75">
        <v>4.0055327817782509E-10</v>
      </c>
      <c r="W6" s="75" t="s">
        <v>186</v>
      </c>
      <c r="X6" s="75">
        <f t="shared" ref="X6:X30" ca="1" si="0">AVERAGE(J6,U6)</f>
        <v>-7.1583206553447241</v>
      </c>
      <c r="Z6" s="54" t="s">
        <v>161</v>
      </c>
      <c r="AA6" s="29" t="str" cm="1">
        <f t="array" aca="1" ref="AA6" ca="1">_xlfn.TEXTJOIN(", ", TRUE, IF(J5:J30 &lt;= -75, B5:B30, ""))</f>
        <v/>
      </c>
      <c r="AC6" s="54" t="s">
        <v>161</v>
      </c>
      <c r="AD6" s="29" t="str" cm="1">
        <f t="array" aca="1" ref="AD6" ca="1">_xlfn.TEXTJOIN(", ", TRUE, IF(U5:U30 &lt;= -75, M5:M30, ""))</f>
        <v/>
      </c>
    </row>
    <row r="7" spans="2:30" x14ac:dyDescent="0.25">
      <c r="B7" s="77" t="s">
        <v>158</v>
      </c>
      <c r="C7" s="75" cm="1">
        <f t="array" aca="1" ref="C7" ca="1">INDIRECT("'Python Impact of Technique'!F" &amp; 3 + (ROW(A3)-1)*4)</f>
        <v>22.041</v>
      </c>
      <c r="D7" s="75" cm="1">
        <f t="array" aca="1" ref="D7" ca="1">INDIRECT("'Python Impact of Technique'!F" &amp; 4 + (ROW(A3)-1)*4)</f>
        <v>15.282999999999999</v>
      </c>
      <c r="E7" s="75" cm="1">
        <f t="array" aca="1" ref="E7" ca="1">INDIRECT("'Python Impact of Technique'!S" &amp; 3 + (ROW(A3)-1)*4)*100</f>
        <v>-30.661040787623069</v>
      </c>
      <c r="F7" s="75">
        <v>2.8719490663203402E-11</v>
      </c>
      <c r="G7" s="78" t="s">
        <v>186</v>
      </c>
      <c r="H7" s="75" cm="1">
        <f t="array" aca="1" ref="H7" ca="1">INDIRECT("'Python Impact of Technique'!R" &amp; 3 + (ROW(A3)-1)*4)</f>
        <v>1418.5587599999999</v>
      </c>
      <c r="I7" s="75" cm="1">
        <f t="array" aca="1" ref="I7" ca="1">INDIRECT("'Python Impact of Technique'!R" &amp; 4 + (ROW(A3)-1)*4)</f>
        <v>974.13842</v>
      </c>
      <c r="J7" s="75" cm="1">
        <f t="array" aca="1" ref="J7" ca="1">INDIRECT("'Python Impact of Technique'!V" &amp; 3 + (ROW(A3)-1)*4)*100</f>
        <v>-31.32900465822085</v>
      </c>
      <c r="K7" s="75">
        <v>2.8719490663203402E-11</v>
      </c>
      <c r="L7" s="75" t="s">
        <v>186</v>
      </c>
      <c r="M7" s="79" t="s">
        <v>158</v>
      </c>
      <c r="N7" s="75" cm="1">
        <f t="array" aca="1" ref="N7" ca="1">INDIRECT("'Python Impact of Technique'!F" &amp; 5 + (ROW(A3)-1)*4)</f>
        <v>19.504999999999999</v>
      </c>
      <c r="O7" s="75" cm="1">
        <f t="array" aca="1" ref="O7" ca="1">INDIRECT("'Python Impact of Technique'!F" &amp; 6 + (ROW(A3)-1)*4)</f>
        <v>11.724</v>
      </c>
      <c r="P7" s="75" cm="1">
        <f t="array" aca="1" ref="P7" ca="1">INDIRECT("'Python Impact of Technique'!S" &amp; 5 + (ROW(A3)-1)*4)*100</f>
        <v>-39.89233529864137</v>
      </c>
      <c r="Q7" s="75">
        <v>2.8719490663203402E-11</v>
      </c>
      <c r="R7" s="75" t="s">
        <v>186</v>
      </c>
      <c r="S7" s="75" cm="1">
        <f t="array" aca="1" ref="S7" ca="1">INDIRECT("'Python Impact of Technique'!R" &amp; 5 + (ROW(A3)-1)*4)</f>
        <v>1191.95055</v>
      </c>
      <c r="T7" s="75" cm="1">
        <f t="array" aca="1" ref="T7" ca="1">INDIRECT("'Python Impact of Technique'!R" &amp; 6 + (ROW(A3)-1)*4)</f>
        <v>687.37812000000008</v>
      </c>
      <c r="U7" s="75" cm="1">
        <f t="array" aca="1" ref="U7" ca="1">INDIRECT("'Python Impact of Technique'!V" &amp; 5 + (ROW(A3)-1)*4)*100</f>
        <v>-42.331657970206898</v>
      </c>
      <c r="V7" s="75">
        <v>2.8719490663203402E-11</v>
      </c>
      <c r="W7" s="75" t="s">
        <v>186</v>
      </c>
      <c r="X7" s="75">
        <f t="shared" ca="1" si="0"/>
        <v>-36.830331314213872</v>
      </c>
      <c r="Z7" s="55" t="s">
        <v>162</v>
      </c>
      <c r="AA7" s="29" t="str" cm="1">
        <f t="array" aca="1" ref="AA7" ca="1">_xlfn.TEXTJOIN(", ", TRUE, IF((J5:J30 &gt; -75) * (J5:J30 &lt;= -25), B5:B30, ""))</f>
        <v>T4, T7, T8, T9, T10, T11, T40, T49</v>
      </c>
      <c r="AC7" s="55" t="s">
        <v>162</v>
      </c>
      <c r="AD7" s="29" t="str" cm="1">
        <f t="array" aca="1" ref="AD7" ca="1">_xlfn.TEXTJOIN(", ", TRUE, IF((U5:U30 &gt; -75) * (U5:U30 &lt;= -25), M5:M30, ""))</f>
        <v>T4, T7, T8, T9, T10, T49, T50</v>
      </c>
    </row>
    <row r="8" spans="2:30" x14ac:dyDescent="0.25">
      <c r="B8" s="77" t="s">
        <v>160</v>
      </c>
      <c r="C8" s="75" cm="1">
        <f t="array" aca="1" ref="C8" ca="1">INDIRECT("'Python Impact of Technique'!F" &amp; 3 + (ROW(A4)-1)*4)</f>
        <v>24.632000000000001</v>
      </c>
      <c r="D8" s="75" cm="1">
        <f t="array" aca="1" ref="D8" ca="1">INDIRECT("'Python Impact of Technique'!F" &amp; 4 + (ROW(A4)-1)*4)</f>
        <v>7.2549999999999999</v>
      </c>
      <c r="E8" s="75" cm="1">
        <f t="array" aca="1" ref="E8" ca="1">INDIRECT("'Python Impact of Technique'!S" &amp; 3 + (ROW(A4)-1)*4)*100</f>
        <v>-70.546443650535892</v>
      </c>
      <c r="F8" s="75">
        <v>2.8719490663203402E-11</v>
      </c>
      <c r="G8" s="78" t="s">
        <v>186</v>
      </c>
      <c r="H8" s="75" cm="1">
        <f t="array" aca="1" ref="H8" ca="1">INDIRECT("'Python Impact of Technique'!R" &amp; 3 + (ROW(A4)-1)*4)</f>
        <v>1353.7747199999999</v>
      </c>
      <c r="I8" s="75" cm="1">
        <f t="array" aca="1" ref="I8" ca="1">INDIRECT("'Python Impact of Technique'!R" &amp; 4 + (ROW(A4)-1)*4)</f>
        <v>410.41534999999999</v>
      </c>
      <c r="J8" s="75" cm="1">
        <f t="array" aca="1" ref="J8" ca="1">INDIRECT("'Python Impact of Technique'!V" &amp; 3 + (ROW(A4)-1)*4)*100</f>
        <v>-69.683630227634922</v>
      </c>
      <c r="K8" s="75">
        <v>2.8719490663203402E-11</v>
      </c>
      <c r="L8" s="75" t="s">
        <v>186</v>
      </c>
      <c r="M8" s="79" t="s">
        <v>160</v>
      </c>
      <c r="N8" s="75" cm="1">
        <f t="array" aca="1" ref="N8" ca="1">INDIRECT("'Python Impact of Technique'!F" &amp; 5 + (ROW(A4)-1)*4)</f>
        <v>18.050999999999998</v>
      </c>
      <c r="O8" s="75" cm="1">
        <f t="array" aca="1" ref="O8" ca="1">INDIRECT("'Python Impact of Technique'!F" &amp; 6 + (ROW(A4)-1)*4)</f>
        <v>8.3070000000000004</v>
      </c>
      <c r="P8" s="75" cm="1">
        <f t="array" aca="1" ref="P8" ca="1">INDIRECT("'Python Impact of Technique'!S" &amp; 5 + (ROW(A4)-1)*4)*100</f>
        <v>-53.98038889812198</v>
      </c>
      <c r="Q8" s="75">
        <v>2.8719490663203402E-11</v>
      </c>
      <c r="R8" s="75" t="s">
        <v>186</v>
      </c>
      <c r="S8" s="75" cm="1">
        <f t="array" aca="1" ref="S8" ca="1">INDIRECT("'Python Impact of Technique'!R" &amp; 5 + (ROW(A4)-1)*4)</f>
        <v>990.27785999999992</v>
      </c>
      <c r="T8" s="75" cm="1">
        <f t="array" aca="1" ref="T8" ca="1">INDIRECT("'Python Impact of Technique'!R" &amp; 6 + (ROW(A4)-1)*4)</f>
        <v>473.66514000000012</v>
      </c>
      <c r="U8" s="75" cm="1">
        <f t="array" aca="1" ref="U8" ca="1">INDIRECT("'Python Impact of Technique'!V" &amp; 5 + (ROW(A4)-1)*4)*100</f>
        <v>-52.168461082225939</v>
      </c>
      <c r="V8" s="75">
        <v>2.8719490663203402E-11</v>
      </c>
      <c r="W8" s="75" t="s">
        <v>186</v>
      </c>
      <c r="X8" s="75">
        <f t="shared" ca="1" si="0"/>
        <v>-60.926045654930434</v>
      </c>
      <c r="Z8" s="56" t="s">
        <v>167</v>
      </c>
      <c r="AA8" s="29" t="str" cm="1">
        <f t="array" aca="1" ref="AA8" ca="1">_xlfn.TEXTJOIN(", ", TRUE, IF((J5:J30 &gt; -25) * (J5:J30 &lt;= -3), B5:B30, ""))</f>
        <v>T5, T12, T13, T16, T20, T25, T26, T32, T33, T36, T50, T51</v>
      </c>
      <c r="AC8" s="56" t="s">
        <v>167</v>
      </c>
      <c r="AD8" s="29" t="str" cm="1">
        <f t="array" aca="1" ref="AD8" ca="1">_xlfn.TEXTJOIN(", ", TRUE, IF((U5:U30 &gt; -25) * (U5:U30 &lt;= -3), M5:M30, ""))</f>
        <v>T5, T11, T12, T16, T25, T26, T36, T51</v>
      </c>
    </row>
    <row r="9" spans="2:30" x14ac:dyDescent="0.25">
      <c r="B9" s="77" t="s">
        <v>159</v>
      </c>
      <c r="C9" s="75" cm="1">
        <f t="array" aca="1" ref="C9" ca="1">INDIRECT("'Python Impact of Technique'!F" &amp; 3 + (ROW(A5)-1)*4)</f>
        <v>5.9340000000000002</v>
      </c>
      <c r="D9" s="75" cm="1">
        <f t="array" aca="1" ref="D9" ca="1">INDIRECT("'Python Impact of Technique'!F" &amp; 4 + (ROW(A5)-1)*4)</f>
        <v>4.4550000000000001</v>
      </c>
      <c r="E9" s="75" cm="1">
        <f t="array" aca="1" ref="E9" ca="1">INDIRECT("'Python Impact of Technique'!S" &amp; 3 + (ROW(A5)-1)*4)*100</f>
        <v>-24.924165824064712</v>
      </c>
      <c r="F9" s="75">
        <v>3.1752172486680018E-11</v>
      </c>
      <c r="G9" s="78" t="s">
        <v>186</v>
      </c>
      <c r="H9" s="75" cm="1">
        <f t="array" aca="1" ref="H9" ca="1">INDIRECT("'Python Impact of Technique'!R" &amp; 3 + (ROW(A5)-1)*4)</f>
        <v>373.48595999999998</v>
      </c>
      <c r="I9" s="75" cm="1">
        <f t="array" aca="1" ref="I9" ca="1">INDIRECT("'Python Impact of Technique'!R" &amp; 4 + (ROW(A5)-1)*4)</f>
        <v>271.62135000000001</v>
      </c>
      <c r="J9" s="75" cm="1">
        <f t="array" aca="1" ref="J9" ca="1">INDIRECT("'Python Impact of Technique'!V" &amp; 3 + (ROW(A5)-1)*4)*100</f>
        <v>-27.274013191821179</v>
      </c>
      <c r="K9" s="75">
        <v>2.8719490663203402E-11</v>
      </c>
      <c r="L9" s="75" t="s">
        <v>186</v>
      </c>
      <c r="M9" s="79" t="s">
        <v>159</v>
      </c>
      <c r="N9" s="75" cm="1">
        <f t="array" aca="1" ref="N9" ca="1">INDIRECT("'Python Impact of Technique'!F" &amp; 5 + (ROW(A5)-1)*4)</f>
        <v>2.7749999999999999</v>
      </c>
      <c r="O9" s="75" cm="1">
        <f t="array" aca="1" ref="O9" ca="1">INDIRECT("'Python Impact of Technique'!F" &amp; 6 + (ROW(A5)-1)*4)</f>
        <v>2.1030000000000002</v>
      </c>
      <c r="P9" s="75" cm="1">
        <f t="array" aca="1" ref="P9" ca="1">INDIRECT("'Python Impact of Technique'!S" &amp; 5 + (ROW(A5)-1)*4)*100</f>
        <v>-24.216216216216207</v>
      </c>
      <c r="Q9" s="75">
        <v>2.8719490663203402E-11</v>
      </c>
      <c r="R9" s="75" t="s">
        <v>186</v>
      </c>
      <c r="S9" s="75" cm="1">
        <f t="array" aca="1" ref="S9" ca="1">INDIRECT("'Python Impact of Technique'!R" &amp; 5 + (ROW(A5)-1)*4)</f>
        <v>166.27799999999999</v>
      </c>
      <c r="T9" s="75" cm="1">
        <f t="array" aca="1" ref="T9" ca="1">INDIRECT("'Python Impact of Technique'!R" &amp; 6 + (ROW(A5)-1)*4)</f>
        <v>123.19374000000001</v>
      </c>
      <c r="U9" s="75" cm="1">
        <f t="array" aca="1" ref="U9" ca="1">INDIRECT("'Python Impact of Technique'!V" &amp; 5 + (ROW(A5)-1)*4)*100</f>
        <v>-25.910980406307505</v>
      </c>
      <c r="V9" s="75">
        <v>2.8719490663203402E-11</v>
      </c>
      <c r="W9" s="75" t="s">
        <v>186</v>
      </c>
      <c r="X9" s="75">
        <f t="shared" ca="1" si="0"/>
        <v>-26.592496799064342</v>
      </c>
      <c r="Z9" s="57" t="s">
        <v>163</v>
      </c>
      <c r="AA9" s="29" t="str" cm="1">
        <f t="array" aca="1" ref="AA9" ca="1">_xlfn.TEXTJOIN(", ", TRUE, IF((J5:J30 &gt; -3) * (J5:J30 &lt; 3), B5:B30, ""))</f>
        <v>T19, T44</v>
      </c>
      <c r="AC9" s="57" t="s">
        <v>163</v>
      </c>
      <c r="AD9" s="29" t="str" cm="1">
        <f t="array" aca="1" ref="AD9" ca="1">_xlfn.TEXTJOIN(", ", TRUE, IF((U5:U30 &gt; -3) * (U5:U30 &lt; 3), M5:M30, ""))</f>
        <v>T13, T19, T33, T40, T44</v>
      </c>
    </row>
    <row r="10" spans="2:30" x14ac:dyDescent="0.25">
      <c r="B10" s="77" t="s">
        <v>19</v>
      </c>
      <c r="C10" s="75" cm="1">
        <f t="array" aca="1" ref="C10" ca="1">INDIRECT("'Python Impact of Technique'!F" &amp; 3 + (ROW(A6)-1)*4)</f>
        <v>24.492000000000001</v>
      </c>
      <c r="D10" s="75" cm="1">
        <f t="array" aca="1" ref="D10" ca="1">INDIRECT("'Python Impact of Technique'!F" &amp; 4 + (ROW(A6)-1)*4)</f>
        <v>12.337</v>
      </c>
      <c r="E10" s="75" cm="1">
        <f t="array" aca="1" ref="E10" ca="1">INDIRECT("'Python Impact of Technique'!S" &amp; 3 + (ROW(A6)-1)*4)*100</f>
        <v>-49.628450106157111</v>
      </c>
      <c r="F10" s="75">
        <v>2.8719490663203402E-11</v>
      </c>
      <c r="G10" s="78" t="s">
        <v>186</v>
      </c>
      <c r="H10" s="75" cm="1">
        <f t="array" aca="1" ref="H10" ca="1">INDIRECT("'Python Impact of Technique'!R" &amp; 3 + (ROW(A6)-1)*4)</f>
        <v>1701.70416</v>
      </c>
      <c r="I10" s="75" cm="1">
        <f t="array" aca="1" ref="I10" ca="1">INDIRECT("'Python Impact of Technique'!R" &amp; 4 + (ROW(A6)-1)*4)</f>
        <v>813.74851999999987</v>
      </c>
      <c r="J10" s="75" cm="1">
        <f t="array" aca="1" ref="J10" ca="1">INDIRECT("'Python Impact of Technique'!V" &amp; 3 + (ROW(A6)-1)*4)*100</f>
        <v>-52.180376640790492</v>
      </c>
      <c r="K10" s="75">
        <v>2.8719490663203402E-11</v>
      </c>
      <c r="L10" s="75" t="s">
        <v>186</v>
      </c>
      <c r="M10" s="79" t="s">
        <v>19</v>
      </c>
      <c r="N10" s="75" cm="1">
        <f t="array" aca="1" ref="N10" ca="1">INDIRECT("'Python Impact of Technique'!F" &amp; 5 + (ROW(A6)-1)*4)</f>
        <v>13.214</v>
      </c>
      <c r="O10" s="75" cm="1">
        <f t="array" aca="1" ref="O10" ca="1">INDIRECT("'Python Impact of Technique'!F" &amp; 6 + (ROW(A6)-1)*4)</f>
        <v>4.5919999999999996</v>
      </c>
      <c r="P10" s="75" cm="1">
        <f t="array" aca="1" ref="P10" ca="1">INDIRECT("'Python Impact of Technique'!S" &amp; 5 + (ROW(A6)-1)*4)*100</f>
        <v>-65.248978356288774</v>
      </c>
      <c r="Q10" s="75">
        <v>2.8719490663203402E-11</v>
      </c>
      <c r="R10" s="75" t="s">
        <v>186</v>
      </c>
      <c r="S10" s="75" cm="1">
        <f t="array" aca="1" ref="S10" ca="1">INDIRECT("'Python Impact of Technique'!R" &amp; 5 + (ROW(A6)-1)*4)</f>
        <v>905.95184000000006</v>
      </c>
      <c r="T10" s="75" cm="1">
        <f t="array" aca="1" ref="T10" ca="1">INDIRECT("'Python Impact of Technique'!R" &amp; 6 + (ROW(A6)-1)*4)</f>
        <v>275.79552000000001</v>
      </c>
      <c r="U10" s="75" cm="1">
        <f t="array" aca="1" ref="U10" ca="1">INDIRECT("'Python Impact of Technique'!V" &amp; 5 + (ROW(A6)-1)*4)*100</f>
        <v>-69.557375147005601</v>
      </c>
      <c r="V10" s="75">
        <v>2.8719490663203402E-11</v>
      </c>
      <c r="W10" s="75" t="s">
        <v>186</v>
      </c>
      <c r="X10" s="75">
        <f t="shared" ca="1" si="0"/>
        <v>-60.86887589389805</v>
      </c>
      <c r="Z10" s="58" t="s">
        <v>164</v>
      </c>
      <c r="AA10" s="29" t="str" cm="1">
        <f t="array" aca="1" ref="AA10" ca="1">_xlfn.TEXTJOIN(", ", TRUE, IF((J5:J30 &gt;= 3) * (J5:J30 &lt; 25), B5:B30, ""))</f>
        <v>T17, T28, T29</v>
      </c>
      <c r="AC10" s="58" t="s">
        <v>164</v>
      </c>
      <c r="AD10" s="29" t="str" cm="1">
        <f t="array" aca="1" ref="AD10" ca="1">_xlfn.TEXTJOIN(", ", TRUE, IF((U5:U30 &gt;= 3) * (U5:U30 &lt; 25), M5:M30, ""))</f>
        <v>T17, T20, T28, T29, T31</v>
      </c>
    </row>
    <row r="11" spans="2:30" x14ac:dyDescent="0.25">
      <c r="B11" s="77" t="s">
        <v>21</v>
      </c>
      <c r="C11" s="75" cm="1">
        <f t="array" aca="1" ref="C11" ca="1">INDIRECT("'Python Impact of Technique'!F" &amp; 3 + (ROW(A7)-1)*4)</f>
        <v>44.048999999999999</v>
      </c>
      <c r="D11" s="75" cm="1">
        <f t="array" aca="1" ref="D11" ca="1">INDIRECT("'Python Impact of Technique'!F" &amp; 4 + (ROW(A7)-1)*4)</f>
        <v>28.974</v>
      </c>
      <c r="E11" s="75" cm="1">
        <f t="array" aca="1" ref="E11" ca="1">INDIRECT("'Python Impact of Technique'!S" &amp; 3 + (ROW(A7)-1)*4)*100</f>
        <v>-34.22325137914595</v>
      </c>
      <c r="F11" s="75">
        <v>2.8719490663203402E-11</v>
      </c>
      <c r="G11" s="78" t="s">
        <v>186</v>
      </c>
      <c r="H11" s="75" cm="1">
        <f t="array" aca="1" ref="H11" ca="1">INDIRECT("'Python Impact of Technique'!R" &amp; 3 + (ROW(A7)-1)*4)</f>
        <v>2844.2439300000001</v>
      </c>
      <c r="I11" s="75" cm="1">
        <f t="array" aca="1" ref="I11" ca="1">INDIRECT("'Python Impact of Technique'!R" &amp; 4 + (ROW(A7)-1)*4)</f>
        <v>1853.7565199999999</v>
      </c>
      <c r="J11" s="75" cm="1">
        <f t="array" aca="1" ref="J11" ca="1">INDIRECT("'Python Impact of Technique'!V" &amp; 3 + (ROW(A7)-1)*4)*100</f>
        <v>-34.82427788814865</v>
      </c>
      <c r="K11" s="75">
        <v>2.8719490663203402E-11</v>
      </c>
      <c r="L11" s="75" t="s">
        <v>186</v>
      </c>
      <c r="M11" s="79" t="s">
        <v>21</v>
      </c>
      <c r="N11" s="75" cm="1">
        <f t="array" aca="1" ref="N11" ca="1">INDIRECT("'Python Impact of Technique'!F" &amp; 5 + (ROW(A7)-1)*4)</f>
        <v>29.234999999999999</v>
      </c>
      <c r="O11" s="75" cm="1">
        <f t="array" aca="1" ref="O11" ca="1">INDIRECT("'Python Impact of Technique'!F" &amp; 6 + (ROW(A7)-1)*4)</f>
        <v>26.346</v>
      </c>
      <c r="P11" s="75" cm="1">
        <f t="array" aca="1" ref="P11" ca="1">INDIRECT("'Python Impact of Technique'!S" &amp; 5 + (ROW(A7)-1)*4)*100</f>
        <v>-9.8819907644946117</v>
      </c>
      <c r="Q11" s="75">
        <v>2.8719490663203402E-11</v>
      </c>
      <c r="R11" s="75" t="s">
        <v>186</v>
      </c>
      <c r="S11" s="75" cm="1">
        <f t="array" aca="1" ref="S11" ca="1">INDIRECT("'Python Impact of Technique'!R" &amp; 5 + (ROW(A7)-1)*4)</f>
        <v>1765.5016499999999</v>
      </c>
      <c r="T11" s="75" cm="1">
        <f t="array" aca="1" ref="T11" ca="1">INDIRECT("'Python Impact of Technique'!R" &amp; 6 + (ROW(A7)-1)*4)</f>
        <v>1659.798</v>
      </c>
      <c r="U11" s="75" cm="1">
        <f t="array" aca="1" ref="U11" ca="1">INDIRECT("'Python Impact of Technique'!V" &amp; 5 + (ROW(A7)-1)*4)*100</f>
        <v>-5.9871736738393837</v>
      </c>
      <c r="V11" s="75">
        <v>2.260390486287696E-10</v>
      </c>
      <c r="W11" s="75" t="s">
        <v>186</v>
      </c>
      <c r="X11" s="75">
        <f t="shared" ca="1" si="0"/>
        <v>-20.405725780994018</v>
      </c>
      <c r="Z11" s="59" t="s">
        <v>165</v>
      </c>
      <c r="AA11" s="29" t="str" cm="1">
        <f t="array" aca="1" ref="AA11" ca="1">_xlfn.TEXTJOIN(", ", TRUE, IF((J5:J30 &gt;= 25) * (J5:J30 &lt; 75), B5:B30, ""))</f>
        <v/>
      </c>
      <c r="AC11" s="59" t="s">
        <v>165</v>
      </c>
      <c r="AD11" s="29" t="str" cm="1">
        <f t="array" aca="1" ref="AD11" ca="1">_xlfn.TEXTJOIN(", ", TRUE, IF((U5:U30 &gt;= 25) * (U5:U30 &lt; 75), M5:M30, ""))</f>
        <v>T32</v>
      </c>
    </row>
    <row r="12" spans="2:30" x14ac:dyDescent="0.25">
      <c r="B12" s="77" t="s">
        <v>23</v>
      </c>
      <c r="C12" s="75" cm="1">
        <f t="array" aca="1" ref="C12" ca="1">INDIRECT("'Python Impact of Technique'!F" &amp; 3 + (ROW(A8)-1)*4)</f>
        <v>10.035</v>
      </c>
      <c r="D12" s="75" cm="1">
        <f t="array" aca="1" ref="D12" ca="1">INDIRECT("'Python Impact of Technique'!F" &amp; 4 + (ROW(A8)-1)*4)</f>
        <v>8.2349999999999994</v>
      </c>
      <c r="E12" s="75" cm="1">
        <f t="array" aca="1" ref="E12" ca="1">INDIRECT("'Python Impact of Technique'!S" &amp; 3 + (ROW(A8)-1)*4)*100</f>
        <v>-17.937219730941713</v>
      </c>
      <c r="F12" s="75">
        <v>9.4449471512379355E-11</v>
      </c>
      <c r="G12" s="78" t="s">
        <v>186</v>
      </c>
      <c r="H12" s="75" cm="1">
        <f t="array" aca="1" ref="H12" ca="1">INDIRECT("'Python Impact of Technique'!R" &amp; 3 + (ROW(A8)-1)*4)</f>
        <v>575.60760000000005</v>
      </c>
      <c r="I12" s="75" cm="1">
        <f t="array" aca="1" ref="I12" ca="1">INDIRECT("'Python Impact of Technique'!R" &amp; 4 + (ROW(A8)-1)*4)</f>
        <v>477.79469999999998</v>
      </c>
      <c r="J12" s="75" cm="1">
        <f t="array" aca="1" ref="J12" ca="1">INDIRECT("'Python Impact of Technique'!V" &amp; 3 + (ROW(A8)-1)*4)*100</f>
        <v>-16.992982719477656</v>
      </c>
      <c r="K12" s="75">
        <v>7.7617346896055191E-11</v>
      </c>
      <c r="L12" s="75" t="s">
        <v>186</v>
      </c>
      <c r="M12" s="79" t="s">
        <v>23</v>
      </c>
      <c r="N12" s="75" cm="1">
        <f t="array" aca="1" ref="N12" ca="1">INDIRECT("'Python Impact of Technique'!F" &amp; 5 + (ROW(A8)-1)*4)</f>
        <v>5.0970000000000004</v>
      </c>
      <c r="O12" s="75" cm="1">
        <f t="array" aca="1" ref="O12" ca="1">INDIRECT("'Python Impact of Technique'!F" &amp; 6 + (ROW(A8)-1)*4)</f>
        <v>4.2759999999999998</v>
      </c>
      <c r="P12" s="75" cm="1">
        <f t="array" aca="1" ref="P12" ca="1">INDIRECT("'Python Impact of Technique'!S" &amp; 5 + (ROW(A8)-1)*4)*100</f>
        <v>-16.107514224053375</v>
      </c>
      <c r="Q12" s="75">
        <v>2.7927400789269995E-9</v>
      </c>
      <c r="R12" s="75" t="s">
        <v>186</v>
      </c>
      <c r="S12" s="75" cm="1">
        <f t="array" aca="1" ref="S12" ca="1">INDIRECT("'Python Impact of Technique'!R" &amp; 5 + (ROW(A8)-1)*4)</f>
        <v>292.66973999999999</v>
      </c>
      <c r="T12" s="75" cm="1">
        <f t="array" aca="1" ref="T12" ca="1">INDIRECT("'Python Impact of Technique'!R" &amp; 6 + (ROW(A8)-1)*4)</f>
        <v>244.54444000000001</v>
      </c>
      <c r="U12" s="75" cm="1">
        <f t="array" aca="1" ref="U12" ca="1">INDIRECT("'Python Impact of Technique'!V" &amp; 5 + (ROW(A8)-1)*4)*100</f>
        <v>-16.443551697555062</v>
      </c>
      <c r="V12" s="75">
        <v>1.1483348024864054E-10</v>
      </c>
      <c r="W12" s="75" t="s">
        <v>186</v>
      </c>
      <c r="X12" s="75">
        <f t="shared" ca="1" si="0"/>
        <v>-16.718267208516359</v>
      </c>
      <c r="Z12" s="60" t="s">
        <v>166</v>
      </c>
      <c r="AA12" s="38" t="str" cm="1">
        <f t="array" aca="1" ref="AA12" ca="1">_xlfn.TEXTJOIN(", ", TRUE, IF(J5:J30 &gt;= 75, B5:B30, ""))</f>
        <v>T31</v>
      </c>
      <c r="AC12" s="60" t="s">
        <v>166</v>
      </c>
      <c r="AD12" s="38" t="str" cm="1">
        <f t="array" aca="1" ref="AD12" ca="1">_xlfn.TEXTJOIN(", ", TRUE, IF(U5:U30 &gt;= 75, M5:M30, ""))</f>
        <v/>
      </c>
    </row>
    <row r="13" spans="2:30" x14ac:dyDescent="0.25">
      <c r="B13" s="77" t="s">
        <v>25</v>
      </c>
      <c r="C13" s="75" cm="1">
        <f t="array" aca="1" ref="C13" ca="1">INDIRECT("'Python Impact of Technique'!F" &amp; 3 + (ROW(A9)-1)*4)</f>
        <v>234.32</v>
      </c>
      <c r="D13" s="75" cm="1">
        <f t="array" aca="1" ref="D13" ca="1">INDIRECT("'Python Impact of Technique'!F" &amp; 4 + (ROW(A9)-1)*4)</f>
        <v>192.81399999999999</v>
      </c>
      <c r="E13" s="75" cm="1">
        <f t="array" aca="1" ref="E13" ca="1">INDIRECT("'Python Impact of Technique'!S" &amp; 3 + (ROW(A9)-1)*4)*100</f>
        <v>-17.713383407306249</v>
      </c>
      <c r="F13" s="75">
        <v>2.8719490663203402E-11</v>
      </c>
      <c r="G13" s="78" t="s">
        <v>186</v>
      </c>
      <c r="H13" s="75" cm="1">
        <f t="array" aca="1" ref="H13" ca="1">INDIRECT("'Python Impact of Technique'!R" &amp; 3 + (ROW(A9)-1)*4)</f>
        <v>15146.444799999999</v>
      </c>
      <c r="I13" s="75" cm="1">
        <f t="array" aca="1" ref="I13" ca="1">INDIRECT("'Python Impact of Technique'!R" &amp; 4 + (ROW(A9)-1)*4)</f>
        <v>12054.73128</v>
      </c>
      <c r="J13" s="75" cm="1">
        <f t="array" aca="1" ref="J13" ca="1">INDIRECT("'Python Impact of Technique'!V" &amp; 3 + (ROW(A9)-1)*4)*100</f>
        <v>-20.412140015853751</v>
      </c>
      <c r="K13" s="75">
        <v>2.8719490663203402E-11</v>
      </c>
      <c r="L13" s="75" t="s">
        <v>186</v>
      </c>
      <c r="M13" s="79" t="s">
        <v>25</v>
      </c>
      <c r="N13" s="75" cm="1">
        <f t="array" aca="1" ref="N13" ca="1">INDIRECT("'Python Impact of Technique'!F" &amp; 5 + (ROW(A9)-1)*4)</f>
        <v>99.337999999999994</v>
      </c>
      <c r="O13" s="75" cm="1">
        <f t="array" aca="1" ref="O13" ca="1">INDIRECT("'Python Impact of Technique'!F" &amp; 6 + (ROW(A9)-1)*4)</f>
        <v>103.092</v>
      </c>
      <c r="P13" s="75" cm="1">
        <f t="array" aca="1" ref="P13" ca="1">INDIRECT("'Python Impact of Technique'!S" &amp; 5 + (ROW(A9)-1)*4)*100</f>
        <v>3.7790170931567024</v>
      </c>
      <c r="Q13" s="75">
        <v>9.3134690599007508E-10</v>
      </c>
      <c r="R13" s="75" t="s">
        <v>186</v>
      </c>
      <c r="S13" s="75" cm="1">
        <f t="array" aca="1" ref="S13" ca="1">INDIRECT("'Python Impact of Technique'!R" &amp; 5 + (ROW(A9)-1)*4)</f>
        <v>5965.2468999999992</v>
      </c>
      <c r="T13" s="75" cm="1">
        <f t="array" aca="1" ref="T13" ca="1">INDIRECT("'Python Impact of Technique'!R" &amp; 6 + (ROW(A9)-1)*4)</f>
        <v>6035.0056800000002</v>
      </c>
      <c r="U13" s="75" cm="1">
        <f t="array" aca="1" ref="U13" ca="1">INDIRECT("'Python Impact of Technique'!V" &amp; 5 + (ROW(A9)-1)*4)*100</f>
        <v>1.1694198273670959</v>
      </c>
      <c r="V13" s="75">
        <v>1.949440970694306E-2</v>
      </c>
      <c r="W13" s="75" t="s">
        <v>215</v>
      </c>
      <c r="X13" s="75">
        <f t="shared" ca="1" si="0"/>
        <v>-9.6213600942433271</v>
      </c>
    </row>
    <row r="14" spans="2:30" x14ac:dyDescent="0.25">
      <c r="B14" s="77" t="s">
        <v>31</v>
      </c>
      <c r="C14" s="75" cm="1">
        <f t="array" aca="1" ref="C14" ca="1">INDIRECT("'Python Impact of Technique'!F" &amp; 3 + (ROW(A10)-1)*4)</f>
        <v>8.7789999999999999</v>
      </c>
      <c r="D14" s="75" cm="1">
        <f t="array" aca="1" ref="D14" ca="1">INDIRECT("'Python Impact of Technique'!F" &amp; 4 + (ROW(A10)-1)*4)</f>
        <v>8.0570000000000004</v>
      </c>
      <c r="E14" s="75" cm="1">
        <f t="array" aca="1" ref="E14" ca="1">INDIRECT("'Python Impact of Technique'!S" &amp; 3 + (ROW(A10)-1)*4)*100</f>
        <v>-8.2241713179177527</v>
      </c>
      <c r="F14" s="75">
        <v>2.8789720800670149E-6</v>
      </c>
      <c r="G14" s="78" t="s">
        <v>186</v>
      </c>
      <c r="H14" s="75" cm="1">
        <f t="array" aca="1" ref="H14" ca="1">INDIRECT("'Python Impact of Technique'!R" &amp; 3 + (ROW(A10)-1)*4)</f>
        <v>497.50592999999998</v>
      </c>
      <c r="I14" s="75" cm="1">
        <f t="array" aca="1" ref="I14" ca="1">INDIRECT("'Python Impact of Technique'!R" &amp; 4 + (ROW(A10)-1)*4)</f>
        <v>480.11662999999999</v>
      </c>
      <c r="J14" s="75" cm="1">
        <f t="array" aca="1" ref="J14" ca="1">INDIRECT("'Python Impact of Technique'!V" &amp; 3 + (ROW(A10)-1)*4)*100</f>
        <v>-3.4952950209055782</v>
      </c>
      <c r="K14" s="75">
        <v>1.053652525865327E-2</v>
      </c>
      <c r="L14" s="75" t="s">
        <v>215</v>
      </c>
      <c r="M14" s="79" t="s">
        <v>31</v>
      </c>
      <c r="N14" s="75" cm="1">
        <f t="array" aca="1" ref="N14" ca="1">INDIRECT("'Python Impact of Technique'!F" &amp; 5 + (ROW(A10)-1)*4)</f>
        <v>4.3979999999999997</v>
      </c>
      <c r="O14" s="75" cm="1">
        <f t="array" aca="1" ref="O14" ca="1">INDIRECT("'Python Impact of Technique'!F" &amp; 6 + (ROW(A10)-1)*4)</f>
        <v>4.0830000000000002</v>
      </c>
      <c r="P14" s="75" cm="1">
        <f t="array" aca="1" ref="P14" ca="1">INDIRECT("'Python Impact of Technique'!S" &amp; 5 + (ROW(A10)-1)*4)*100</f>
        <v>-7.1623465211459649</v>
      </c>
      <c r="Q14" s="75">
        <v>0.64672457734348421</v>
      </c>
      <c r="R14" s="75" t="s">
        <v>185</v>
      </c>
      <c r="S14" s="75" cm="1">
        <f t="array" aca="1" ref="S14" ca="1">INDIRECT("'Python Impact of Technique'!R" &amp; 5 + (ROW(A10)-1)*4)</f>
        <v>249.93834000000001</v>
      </c>
      <c r="T14" s="75" cm="1">
        <f t="array" aca="1" ref="T14" ca="1">INDIRECT("'Python Impact of Technique'!R" &amp; 6 + (ROW(A10)-1)*4)</f>
        <v>236.07906</v>
      </c>
      <c r="U14" s="75" cm="1">
        <f t="array" aca="1" ref="U14" ca="1">INDIRECT("'Python Impact of Technique'!V" &amp; 5 + (ROW(A10)-1)*4)*100</f>
        <v>-5.5450796384420293</v>
      </c>
      <c r="V14" s="75">
        <v>8.4012017304915023E-5</v>
      </c>
      <c r="W14" s="75" t="s">
        <v>186</v>
      </c>
      <c r="X14" s="75">
        <f t="shared" ca="1" si="0"/>
        <v>-4.5201873296738038</v>
      </c>
    </row>
    <row r="15" spans="2:30" x14ac:dyDescent="0.25">
      <c r="B15" s="77" t="s">
        <v>33</v>
      </c>
      <c r="C15" s="75" cm="1">
        <f t="array" aca="1" ref="C15" ca="1">INDIRECT("'Python Impact of Technique'!F" &amp; 3 + (ROW(A11)-1)*4)</f>
        <v>8.4120000000000008</v>
      </c>
      <c r="D15" s="75" cm="1">
        <f t="array" aca="1" ref="D15" ca="1">INDIRECT("'Python Impact of Technique'!F" &amp; 4 + (ROW(A11)-1)*4)</f>
        <v>8.6690000000000005</v>
      </c>
      <c r="E15" s="75" cm="1">
        <f t="array" aca="1" ref="E15" ca="1">INDIRECT("'Python Impact of Technique'!S" &amp; 3 + (ROW(A11)-1)*4)*100</f>
        <v>3.0551592962434575</v>
      </c>
      <c r="F15" s="75">
        <v>2.9845759669437845E-6</v>
      </c>
      <c r="G15" s="78" t="s">
        <v>186</v>
      </c>
      <c r="H15" s="75" cm="1">
        <f t="array" aca="1" ref="H15" ca="1">INDIRECT("'Python Impact of Technique'!R" &amp; 3 + (ROW(A11)-1)*4)</f>
        <v>487.05480000000011</v>
      </c>
      <c r="I15" s="75" cm="1">
        <f t="array" aca="1" ref="I15" ca="1">INDIRECT("'Python Impact of Technique'!R" &amp; 4 + (ROW(A11)-1)*4)</f>
        <v>510.77748000000003</v>
      </c>
      <c r="J15" s="75" cm="1">
        <f t="array" aca="1" ref="J15" ca="1">INDIRECT("'Python Impact of Technique'!V" &amp; 3 + (ROW(A11)-1)*4)*100</f>
        <v>4.8706387864363325</v>
      </c>
      <c r="K15" s="75">
        <v>1.3652428433285794E-4</v>
      </c>
      <c r="L15" s="75" t="s">
        <v>215</v>
      </c>
      <c r="M15" s="79" t="s">
        <v>33</v>
      </c>
      <c r="N15" s="75" cm="1">
        <f t="array" aca="1" ref="N15" ca="1">INDIRECT("'Python Impact of Technique'!F" &amp; 5 + (ROW(A11)-1)*4)</f>
        <v>4.3099999999999996</v>
      </c>
      <c r="O15" s="75" cm="1">
        <f t="array" aca="1" ref="O15" ca="1">INDIRECT("'Python Impact of Technique'!F" &amp; 6 + (ROW(A11)-1)*4)</f>
        <v>5.0819999999999999</v>
      </c>
      <c r="P15" s="75" cm="1">
        <f t="array" aca="1" ref="P15" ca="1">INDIRECT("'Python Impact of Technique'!S" &amp; 5 + (ROW(A11)-1)*4)*100</f>
        <v>17.911832946635737</v>
      </c>
      <c r="Q15" s="75">
        <v>2.8719490663203402E-11</v>
      </c>
      <c r="R15" s="75" t="s">
        <v>186</v>
      </c>
      <c r="S15" s="75" cm="1">
        <f t="array" aca="1" ref="S15" ca="1">INDIRECT("'Python Impact of Technique'!R" &amp; 5 + (ROW(A11)-1)*4)</f>
        <v>244.37700000000001</v>
      </c>
      <c r="T15" s="75" cm="1">
        <f t="array" aca="1" ref="T15" ca="1">INDIRECT("'Python Impact of Technique'!R" &amp; 6 + (ROW(A11)-1)*4)</f>
        <v>291.65598</v>
      </c>
      <c r="U15" s="75" cm="1">
        <f t="array" aca="1" ref="U15" ca="1">INDIRECT("'Python Impact of Technique'!V" &amp; 5 + (ROW(A11)-1)*4)*100</f>
        <v>19.346738850219126</v>
      </c>
      <c r="V15" s="75">
        <v>2.8719490663203402E-11</v>
      </c>
      <c r="W15" s="75" t="s">
        <v>186</v>
      </c>
      <c r="X15" s="75">
        <f t="shared" ca="1" si="0"/>
        <v>12.108688818327728</v>
      </c>
    </row>
    <row r="16" spans="2:30" x14ac:dyDescent="0.25">
      <c r="B16" s="77" t="s">
        <v>37</v>
      </c>
      <c r="C16" s="75" cm="1">
        <f t="array" aca="1" ref="C16" ca="1">INDIRECT("'Python Impact of Technique'!F" &amp; 3 + (ROW(A12)-1)*4)</f>
        <v>129.93700000000001</v>
      </c>
      <c r="D16" s="75" cm="1">
        <f t="array" aca="1" ref="D16" ca="1">INDIRECT("'Python Impact of Technique'!F" &amp; 4 + (ROW(A12)-1)*4)</f>
        <v>133.52199999999999</v>
      </c>
      <c r="E16" s="75" cm="1">
        <f t="array" aca="1" ref="E16" ca="1">INDIRECT("'Python Impact of Technique'!S" &amp; 3 + (ROW(A12)-1)*4)*100</f>
        <v>2.7590293757743978</v>
      </c>
      <c r="F16" s="75">
        <v>8.7005671625129535E-8</v>
      </c>
      <c r="G16" s="78" t="s">
        <v>186</v>
      </c>
      <c r="H16" s="75" cm="1">
        <f t="array" aca="1" ref="H16" ca="1">INDIRECT("'Python Impact of Technique'!R" &amp; 3 + (ROW(A12)-1)*4)</f>
        <v>7536.3459999999995</v>
      </c>
      <c r="I16" s="75" cm="1">
        <f t="array" aca="1" ref="I16" ca="1">INDIRECT("'Python Impact of Technique'!R" &amp; 4 + (ROW(A12)-1)*4)</f>
        <v>7597.4017999999996</v>
      </c>
      <c r="J16" s="75" cm="1">
        <f t="array" aca="1" ref="J16" ca="1">INDIRECT("'Python Impact of Technique'!V" &amp; 3 + (ROW(A12)-1)*4)*100</f>
        <v>0.81015123244076237</v>
      </c>
      <c r="K16" s="75">
        <v>6.8990140129963337E-2</v>
      </c>
      <c r="L16" s="75" t="s">
        <v>216</v>
      </c>
      <c r="M16" s="79" t="s">
        <v>37</v>
      </c>
      <c r="N16" s="75" cm="1">
        <f t="array" aca="1" ref="N16" ca="1">INDIRECT("'Python Impact of Technique'!F" &amp; 5 + (ROW(A12)-1)*4)</f>
        <v>124.295</v>
      </c>
      <c r="O16" s="75" cm="1">
        <f t="array" aca="1" ref="O16" ca="1">INDIRECT("'Python Impact of Technique'!F" &amp; 6 + (ROW(A12)-1)*4)</f>
        <v>126.38500000000001</v>
      </c>
      <c r="P16" s="75" cm="1">
        <f t="array" aca="1" ref="P16" ca="1">INDIRECT("'Python Impact of Technique'!S" &amp; 5 + (ROW(A12)-1)*4)*100</f>
        <v>1.6814835673196855</v>
      </c>
      <c r="Q16" s="75">
        <v>1.2077179187889395E-5</v>
      </c>
      <c r="R16" s="75" t="s">
        <v>186</v>
      </c>
      <c r="S16" s="75" cm="1">
        <f t="array" aca="1" ref="S16" ca="1">INDIRECT("'Python Impact of Technique'!R" &amp; 5 + (ROW(A12)-1)*4)</f>
        <v>7307.3030500000004</v>
      </c>
      <c r="T16" s="75" cm="1">
        <f t="array" aca="1" ref="T16" ca="1">INDIRECT("'Python Impact of Technique'!R" &amp; 6 + (ROW(A12)-1)*4)</f>
        <v>7130.6417000000001</v>
      </c>
      <c r="U16" s="75" cm="1">
        <f t="array" aca="1" ref="U16" ca="1">INDIRECT("'Python Impact of Technique'!V" &amp; 5 + (ROW(A12)-1)*4)*100</f>
        <v>-2.4175998831744128</v>
      </c>
      <c r="V16" s="75">
        <v>1.6378388653489847E-3</v>
      </c>
      <c r="W16" s="75" t="s">
        <v>216</v>
      </c>
      <c r="X16" s="75">
        <f t="shared" ca="1" si="0"/>
        <v>-0.80372432536682514</v>
      </c>
    </row>
    <row r="17" spans="2:24" x14ac:dyDescent="0.25">
      <c r="B17" s="77" t="s">
        <v>39</v>
      </c>
      <c r="C17" s="75" cm="1">
        <f t="array" aca="1" ref="C17" ca="1">INDIRECT("'Python Impact of Technique'!F" &amp; 3 + (ROW(A13)-1)*4)</f>
        <v>69.477000000000004</v>
      </c>
      <c r="D17" s="75" cm="1">
        <f t="array" aca="1" ref="D17" ca="1">INDIRECT("'Python Impact of Technique'!F" &amp; 4 + (ROW(A13)-1)*4)</f>
        <v>61.158999999999999</v>
      </c>
      <c r="E17" s="75" cm="1">
        <f t="array" aca="1" ref="E17" ca="1">INDIRECT("'Python Impact of Technique'!S" &amp; 3 + (ROW(A13)-1)*4)*100</f>
        <v>-11.972307382299183</v>
      </c>
      <c r="F17" s="75">
        <v>2.8719490663203402E-11</v>
      </c>
      <c r="G17" s="78" t="s">
        <v>186</v>
      </c>
      <c r="H17" s="75" cm="1">
        <f t="array" aca="1" ref="H17" ca="1">INDIRECT("'Python Impact of Technique'!R" &amp; 3 + (ROW(A13)-1)*4)</f>
        <v>4629.2525100000003</v>
      </c>
      <c r="I17" s="75" cm="1">
        <f t="array" aca="1" ref="I17" ca="1">INDIRECT("'Python Impact of Technique'!R" &amp; 4 + (ROW(A13)-1)*4)</f>
        <v>4196.7305800000004</v>
      </c>
      <c r="J17" s="75" cm="1">
        <f t="array" aca="1" ref="J17" ca="1">INDIRECT("'Python Impact of Technique'!V" &amp; 3 + (ROW(A13)-1)*4)*100</f>
        <v>-9.3432347677227892</v>
      </c>
      <c r="K17" s="75">
        <v>4.2855392840606714E-11</v>
      </c>
      <c r="L17" s="75" t="s">
        <v>186</v>
      </c>
      <c r="M17" s="79" t="s">
        <v>39</v>
      </c>
      <c r="N17" s="75" cm="1">
        <f t="array" aca="1" ref="N17" ca="1">INDIRECT("'Python Impact of Technique'!F" &amp; 5 + (ROW(A13)-1)*4)</f>
        <v>64.256</v>
      </c>
      <c r="O17" s="75" cm="1">
        <f t="array" aca="1" ref="O17" ca="1">INDIRECT("'Python Impact of Technique'!F" &amp; 6 + (ROW(A13)-1)*4)</f>
        <v>68.841999999999999</v>
      </c>
      <c r="P17" s="75" cm="1">
        <f t="array" aca="1" ref="P17" ca="1">INDIRECT("'Python Impact of Technique'!S" &amp; 5 + (ROW(A13)-1)*4)*100</f>
        <v>7.1370766932270886</v>
      </c>
      <c r="Q17" s="75">
        <v>1.6931348391614612E-10</v>
      </c>
      <c r="R17" s="75" t="s">
        <v>186</v>
      </c>
      <c r="S17" s="75" cm="1">
        <f t="array" aca="1" ref="S17" ca="1">INDIRECT("'Python Impact of Technique'!R" &amp; 5 + (ROW(A13)-1)*4)</f>
        <v>4117.52448</v>
      </c>
      <c r="T17" s="75" cm="1">
        <f t="array" aca="1" ref="T17" ca="1">INDIRECT("'Python Impact of Technique'!R" &amp; 6 + (ROW(A13)-1)*4)</f>
        <v>4723.2496199999996</v>
      </c>
      <c r="U17" s="75" cm="1">
        <f t="array" aca="1" ref="U17" ca="1">INDIRECT("'Python Impact of Technique'!V" &amp; 5 + (ROW(A13)-1)*4)*100</f>
        <v>14.710905616765139</v>
      </c>
      <c r="V17" s="75">
        <v>2.8719490663203402E-11</v>
      </c>
      <c r="W17" s="75" t="s">
        <v>186</v>
      </c>
      <c r="X17" s="75">
        <f t="shared" ca="1" si="0"/>
        <v>2.6838354245211749</v>
      </c>
    </row>
    <row r="18" spans="2:24" x14ac:dyDescent="0.25">
      <c r="B18" s="77" t="s">
        <v>49</v>
      </c>
      <c r="C18" s="75" cm="1">
        <f t="array" aca="1" ref="C18" ca="1">INDIRECT("'Python Impact of Technique'!F" &amp; 3 + (ROW(A14)-1)*4)</f>
        <v>180.571</v>
      </c>
      <c r="D18" s="75" cm="1">
        <f t="array" aca="1" ref="D18" ca="1">INDIRECT("'Python Impact of Technique'!F" &amp; 4 + (ROW(A14)-1)*4)</f>
        <v>169.465</v>
      </c>
      <c r="E18" s="75" cm="1">
        <f t="array" aca="1" ref="E18" ca="1">INDIRECT("'Python Impact of Technique'!S" &amp; 3 + (ROW(A14)-1)*4)*100</f>
        <v>-6.1504892812245568</v>
      </c>
      <c r="F18" s="75">
        <v>2.8719490663203402E-11</v>
      </c>
      <c r="G18" s="78" t="s">
        <v>186</v>
      </c>
      <c r="H18" s="75" cm="1">
        <f t="array" aca="1" ref="H18" ca="1">INDIRECT("'Python Impact of Technique'!R" &amp; 3 + (ROW(A14)-1)*4)</f>
        <v>10698.831749999999</v>
      </c>
      <c r="I18" s="75" cm="1">
        <f t="array" aca="1" ref="I18" ca="1">INDIRECT("'Python Impact of Technique'!R" &amp; 4 + (ROW(A14)-1)*4)</f>
        <v>9962.84735</v>
      </c>
      <c r="J18" s="75" cm="1">
        <f t="array" aca="1" ref="J18" ca="1">INDIRECT("'Python Impact of Technique'!V" &amp; 3 + (ROW(A14)-1)*4)*100</f>
        <v>-6.8791099551593513</v>
      </c>
      <c r="K18" s="75">
        <v>2.8719490663203402E-11</v>
      </c>
      <c r="L18" s="75" t="s">
        <v>186</v>
      </c>
      <c r="M18" s="79" t="s">
        <v>49</v>
      </c>
      <c r="N18" s="75" cm="1">
        <f t="array" aca="1" ref="N18" ca="1">INDIRECT("'Python Impact of Technique'!F" &amp; 5 + (ROW(A14)-1)*4)</f>
        <v>158.15899999999999</v>
      </c>
      <c r="O18" s="75" cm="1">
        <f t="array" aca="1" ref="O18" ca="1">INDIRECT("'Python Impact of Technique'!F" &amp; 6 + (ROW(A14)-1)*4)</f>
        <v>147.53299999999999</v>
      </c>
      <c r="P18" s="75" cm="1">
        <f t="array" aca="1" ref="P18" ca="1">INDIRECT("'Python Impact of Technique'!S" &amp; 5 + (ROW(A14)-1)*4)*100</f>
        <v>-6.7185553778159992</v>
      </c>
      <c r="Q18" s="75">
        <v>2.8719490663203402E-11</v>
      </c>
      <c r="R18" s="75" t="s">
        <v>186</v>
      </c>
      <c r="S18" s="75" cm="1">
        <f t="array" aca="1" ref="S18" ca="1">INDIRECT("'Python Impact of Technique'!R" &amp; 5 + (ROW(A14)-1)*4)</f>
        <v>9532.2429300000003</v>
      </c>
      <c r="T18" s="75" cm="1">
        <f t="array" aca="1" ref="T18" ca="1">INDIRECT("'Python Impact of Technique'!R" &amp; 6 + (ROW(A14)-1)*4)</f>
        <v>8548.0620199999994</v>
      </c>
      <c r="U18" s="75" cm="1">
        <f t="array" aca="1" ref="U18" ca="1">INDIRECT("'Python Impact of Technique'!V" &amp; 5 + (ROW(A14)-1)*4)*100</f>
        <v>-10.324756903777324</v>
      </c>
      <c r="V18" s="75">
        <v>2.8719490663203402E-11</v>
      </c>
      <c r="W18" s="75" t="s">
        <v>186</v>
      </c>
      <c r="X18" s="75">
        <f t="shared" ca="1" si="0"/>
        <v>-8.6019334294683372</v>
      </c>
    </row>
    <row r="19" spans="2:24" x14ac:dyDescent="0.25">
      <c r="B19" s="77" t="s">
        <v>51</v>
      </c>
      <c r="C19" s="75" cm="1">
        <f t="array" aca="1" ref="C19" ca="1">INDIRECT("'Python Impact of Technique'!F" &amp; 3 + (ROW(A15)-1)*4)</f>
        <v>175.72200000000001</v>
      </c>
      <c r="D19" s="75" cm="1">
        <f t="array" aca="1" ref="D19" ca="1">INDIRECT("'Python Impact of Technique'!F" &amp; 4 + (ROW(A15)-1)*4)</f>
        <v>130.21100000000001</v>
      </c>
      <c r="E19" s="75" cm="1">
        <f t="array" aca="1" ref="E19" ca="1">INDIRECT("'Python Impact of Technique'!S" &amp; 3 + (ROW(A15)-1)*4)*100</f>
        <v>-25.899432057454387</v>
      </c>
      <c r="F19" s="75">
        <v>2.8719490663203402E-11</v>
      </c>
      <c r="G19" s="78" t="s">
        <v>186</v>
      </c>
      <c r="H19" s="75" cm="1">
        <f t="array" aca="1" ref="H19" ca="1">INDIRECT("'Python Impact of Technique'!R" &amp; 3 + (ROW(A15)-1)*4)</f>
        <v>10378.141320000001</v>
      </c>
      <c r="I19" s="75" cm="1">
        <f t="array" aca="1" ref="I19" ca="1">INDIRECT("'Python Impact of Technique'!R" &amp; 4 + (ROW(A15)-1)*4)</f>
        <v>7867.3486200000007</v>
      </c>
      <c r="J19" s="75" cm="1">
        <f t="array" aca="1" ref="J19" ca="1">INDIRECT("'Python Impact of Technique'!V" &amp; 3 + (ROW(A15)-1)*4)*100</f>
        <v>-24.193086436020895</v>
      </c>
      <c r="K19" s="75">
        <v>2.8719490663203402E-11</v>
      </c>
      <c r="L19" s="75" t="s">
        <v>186</v>
      </c>
      <c r="M19" s="79" t="s">
        <v>51</v>
      </c>
      <c r="N19" s="75" cm="1">
        <f t="array" aca="1" ref="N19" ca="1">INDIRECT("'Python Impact of Technique'!F" &amp; 5 + (ROW(A15)-1)*4)</f>
        <v>153.12299999999999</v>
      </c>
      <c r="O19" s="75" cm="1">
        <f t="array" aca="1" ref="O19" ca="1">INDIRECT("'Python Impact of Technique'!F" &amp; 6 + (ROW(A15)-1)*4)</f>
        <v>131.38800000000001</v>
      </c>
      <c r="P19" s="75" cm="1">
        <f t="array" aca="1" ref="P19" ca="1">INDIRECT("'Python Impact of Technique'!S" &amp; 5 + (ROW(A15)-1)*4)*100</f>
        <v>-14.194471111459405</v>
      </c>
      <c r="Q19" s="75">
        <v>2.8719490663203402E-11</v>
      </c>
      <c r="R19" s="75" t="s">
        <v>186</v>
      </c>
      <c r="S19" s="75" cm="1">
        <f t="array" aca="1" ref="S19" ca="1">INDIRECT("'Python Impact of Technique'!R" &amp; 5 + (ROW(A15)-1)*4)</f>
        <v>9116.9434199999996</v>
      </c>
      <c r="T19" s="75" cm="1">
        <f t="array" aca="1" ref="T19" ca="1">INDIRECT("'Python Impact of Technique'!R" &amp; 6 + (ROW(A15)-1)*4)</f>
        <v>7704.5923200000007</v>
      </c>
      <c r="U19" s="75" cm="1">
        <f t="array" aca="1" ref="U19" ca="1">INDIRECT("'Python Impact of Technique'!V" &amp; 5 + (ROW(A15)-1)*4)*100</f>
        <v>-15.49149791696304</v>
      </c>
      <c r="V19" s="75">
        <v>2.8719490663203402E-11</v>
      </c>
      <c r="W19" s="75" t="s">
        <v>186</v>
      </c>
      <c r="X19" s="75">
        <f t="shared" ca="1" si="0"/>
        <v>-19.842292176491966</v>
      </c>
    </row>
    <row r="20" spans="2:24" x14ac:dyDescent="0.25">
      <c r="B20" s="77" t="s">
        <v>55</v>
      </c>
      <c r="C20" s="75" cm="1">
        <f t="array" aca="1" ref="C20" ca="1">INDIRECT("'Python Impact of Technique'!F" &amp; 3 + (ROW(A16)-1)*4)</f>
        <v>201.018</v>
      </c>
      <c r="D20" s="75" cm="1">
        <f t="array" aca="1" ref="D20" ca="1">INDIRECT("'Python Impact of Technique'!F" &amp; 4 + (ROW(A16)-1)*4)</f>
        <v>239.393</v>
      </c>
      <c r="E20" s="75" cm="1">
        <f t="array" aca="1" ref="E20" ca="1">INDIRECT("'Python Impact of Technique'!S" &amp; 3 + (ROW(A16)-1)*4)*100</f>
        <v>19.090330219184352</v>
      </c>
      <c r="F20" s="75">
        <v>2.8719490663203402E-11</v>
      </c>
      <c r="G20" s="78" t="s">
        <v>186</v>
      </c>
      <c r="H20" s="75" cm="1">
        <f t="array" aca="1" ref="H20" ca="1">INDIRECT("'Python Impact of Technique'!R" &amp; 3 + (ROW(A16)-1)*4)</f>
        <v>12107.31414</v>
      </c>
      <c r="I20" s="75" cm="1">
        <f t="array" aca="1" ref="I20" ca="1">INDIRECT("'Python Impact of Technique'!R" &amp; 4 + (ROW(A16)-1)*4)</f>
        <v>14339.6407</v>
      </c>
      <c r="J20" s="75" cm="1">
        <f t="array" aca="1" ref="J20" ca="1">INDIRECT("'Python Impact of Technique'!V" &amp; 3 + (ROW(A16)-1)*4)*100</f>
        <v>18.437834636047523</v>
      </c>
      <c r="K20" s="75">
        <v>2.8719490663203402E-11</v>
      </c>
      <c r="L20" s="75" t="s">
        <v>186</v>
      </c>
      <c r="M20" s="79" t="s">
        <v>55</v>
      </c>
      <c r="N20" s="75" cm="1">
        <f t="array" aca="1" ref="N20" ca="1">INDIRECT("'Python Impact of Technique'!F" &amp; 5 + (ROW(A16)-1)*4)</f>
        <v>190.18899999999999</v>
      </c>
      <c r="O20" s="75" cm="1">
        <f t="array" aca="1" ref="O20" ca="1">INDIRECT("'Python Impact of Technique'!F" &amp; 6 + (ROW(A16)-1)*4)</f>
        <v>230.501</v>
      </c>
      <c r="P20" s="75" cm="1">
        <f t="array" aca="1" ref="P20" ca="1">INDIRECT("'Python Impact of Technique'!S" &amp; 5 + (ROW(A16)-1)*4)*100</f>
        <v>21.195757903979732</v>
      </c>
      <c r="Q20" s="75">
        <v>2.8719490663203402E-11</v>
      </c>
      <c r="R20" s="75" t="s">
        <v>186</v>
      </c>
      <c r="S20" s="75" cm="1">
        <f t="array" aca="1" ref="S20" ca="1">INDIRECT("'Python Impact of Technique'!R" &amp; 5 + (ROW(A16)-1)*4)</f>
        <v>11325.75495</v>
      </c>
      <c r="T20" s="75" cm="1">
        <f t="array" aca="1" ref="T20" ca="1">INDIRECT("'Python Impact of Technique'!R" &amp; 6 + (ROW(A16)-1)*4)</f>
        <v>13657.18425</v>
      </c>
      <c r="U20" s="75" cm="1">
        <f t="array" aca="1" ref="U20" ca="1">INDIRECT("'Python Impact of Technique'!V" &amp; 5 + (ROW(A16)-1)*4)*100</f>
        <v>20.585199929652369</v>
      </c>
      <c r="V20" s="75">
        <v>2.8719490663203402E-11</v>
      </c>
      <c r="W20" s="75" t="s">
        <v>186</v>
      </c>
      <c r="X20" s="75">
        <f t="shared" ca="1" si="0"/>
        <v>19.511517282849944</v>
      </c>
    </row>
    <row r="21" spans="2:24" x14ac:dyDescent="0.25">
      <c r="B21" s="77" t="s">
        <v>57</v>
      </c>
      <c r="C21" s="75" cm="1">
        <f t="array" aca="1" ref="C21" ca="1">INDIRECT("'Python Impact of Technique'!F" &amp; 3 + (ROW(A17)-1)*4)</f>
        <v>5.8109999999999999</v>
      </c>
      <c r="D21" s="75" cm="1">
        <f t="array" aca="1" ref="D21" ca="1">INDIRECT("'Python Impact of Technique'!F" &amp; 4 + (ROW(A17)-1)*4)</f>
        <v>5.891</v>
      </c>
      <c r="E21" s="75" cm="1">
        <f t="array" aca="1" ref="E21" ca="1">INDIRECT("'Python Impact of Technique'!S" &amp; 3 + (ROW(A17)-1)*4)*100</f>
        <v>1.3766993632765459</v>
      </c>
      <c r="F21" s="75">
        <v>1.5177961906131152E-3</v>
      </c>
      <c r="G21" s="78" t="s">
        <v>215</v>
      </c>
      <c r="H21" s="75" cm="1">
        <f t="array" aca="1" ref="H21" ca="1">INDIRECT("'Python Impact of Technique'!R" &amp; 3 + (ROW(A17)-1)*4)</f>
        <v>339.94349999999997</v>
      </c>
      <c r="I21" s="75" cm="1">
        <f t="array" aca="1" ref="I21" ca="1">INDIRECT("'Python Impact of Technique'!R" &amp; 4 + (ROW(A17)-1)*4)</f>
        <v>351.22142000000002</v>
      </c>
      <c r="J21" s="75" cm="1">
        <f t="array" aca="1" ref="J21" ca="1">INDIRECT("'Python Impact of Technique'!V" &amp; 3 + (ROW(A17)-1)*4)*100</f>
        <v>3.3175865989495472</v>
      </c>
      <c r="K21" s="75">
        <v>4.3367783350618843E-4</v>
      </c>
      <c r="L21" s="75" t="s">
        <v>215</v>
      </c>
      <c r="M21" s="79" t="s">
        <v>57</v>
      </c>
      <c r="N21" s="75" cm="1">
        <f t="array" aca="1" ref="N21" ca="1">INDIRECT("'Python Impact of Technique'!F" &amp; 5 + (ROW(A17)-1)*4)</f>
        <v>2.984</v>
      </c>
      <c r="O21" s="75" cm="1">
        <f t="array" aca="1" ref="O21" ca="1">INDIRECT("'Python Impact of Technique'!F" &amp; 6 + (ROW(A17)-1)*4)</f>
        <v>3.3639999999999999</v>
      </c>
      <c r="P21" s="75" cm="1">
        <f t="array" aca="1" ref="P21" ca="1">INDIRECT("'Python Impact of Technique'!S" &amp; 5 + (ROW(A17)-1)*4)*100</f>
        <v>12.734584450402142</v>
      </c>
      <c r="Q21" s="75">
        <v>2.8719490663203402E-11</v>
      </c>
      <c r="R21" s="75" t="s">
        <v>186</v>
      </c>
      <c r="S21" s="75" cm="1">
        <f t="array" aca="1" ref="S21" ca="1">INDIRECT("'Python Impact of Technique'!R" &amp; 5 + (ROW(A17)-1)*4)</f>
        <v>173.84783999999999</v>
      </c>
      <c r="T21" s="75" cm="1">
        <f t="array" aca="1" ref="T21" ca="1">INDIRECT("'Python Impact of Technique'!R" &amp; 6 + (ROW(A17)-1)*4)</f>
        <v>202.44551999999999</v>
      </c>
      <c r="U21" s="75" cm="1">
        <f t="array" aca="1" ref="U21" ca="1">INDIRECT("'Python Impact of Technique'!V" &amp; 5 + (ROW(A17)-1)*4)*100</f>
        <v>16.449833371527653</v>
      </c>
      <c r="V21" s="75">
        <v>8.5629939049008916E-11</v>
      </c>
      <c r="W21" s="75" t="s">
        <v>186</v>
      </c>
      <c r="X21" s="75">
        <f t="shared" ca="1" si="0"/>
        <v>9.8837099852385997</v>
      </c>
    </row>
    <row r="22" spans="2:24" x14ac:dyDescent="0.25">
      <c r="B22" s="77" t="s">
        <v>61</v>
      </c>
      <c r="C22" s="75" cm="1">
        <f t="array" aca="1" ref="C22" ca="1">INDIRECT("'Python Impact of Technique'!F" &amp; 3 + (ROW(A18)-1)*4)</f>
        <v>159.39599999999999</v>
      </c>
      <c r="D22" s="75" cm="1">
        <f t="array" aca="1" ref="D22" ca="1">INDIRECT("'Python Impact of Technique'!F" &amp; 4 + (ROW(A18)-1)*4)</f>
        <v>311.702</v>
      </c>
      <c r="E22" s="75" cm="1">
        <f t="array" aca="1" ref="E22" ca="1">INDIRECT("'Python Impact of Technique'!S" &amp; 3 + (ROW(A18)-1)*4)*100</f>
        <v>95.551958643880667</v>
      </c>
      <c r="F22" s="75">
        <v>2.8719490663203402E-11</v>
      </c>
      <c r="G22" s="78" t="s">
        <v>186</v>
      </c>
      <c r="H22" s="75" cm="1">
        <f t="array" aca="1" ref="H22" ca="1">INDIRECT("'Python Impact of Technique'!R" &amp; 3 + (ROW(A18)-1)*4)</f>
        <v>9576.5116799999996</v>
      </c>
      <c r="I22" s="75" cm="1">
        <f t="array" aca="1" ref="I22" ca="1">INDIRECT("'Python Impact of Technique'!R" &amp; 4 + (ROW(A18)-1)*4)</f>
        <v>19253.832539999999</v>
      </c>
      <c r="J22" s="75" cm="1">
        <f t="array" aca="1" ref="J22" ca="1">INDIRECT("'Python Impact of Technique'!V" &amp; 3 + (ROW(A18)-1)*4)*100</f>
        <v>101.05267119561432</v>
      </c>
      <c r="K22" s="75">
        <v>2.8719490663203402E-11</v>
      </c>
      <c r="L22" s="75" t="s">
        <v>186</v>
      </c>
      <c r="M22" s="79" t="s">
        <v>61</v>
      </c>
      <c r="N22" s="75" cm="1">
        <f t="array" aca="1" ref="N22" ca="1">INDIRECT("'Python Impact of Technique'!F" &amp; 5 + (ROW(A18)-1)*4)</f>
        <v>413.02800000000002</v>
      </c>
      <c r="O22" s="75" cm="1">
        <f t="array" aca="1" ref="O22" ca="1">INDIRECT("'Python Impact of Technique'!F" &amp; 6 + (ROW(A18)-1)*4)</f>
        <v>432.84</v>
      </c>
      <c r="P22" s="75" cm="1">
        <f t="array" aca="1" ref="P22" ca="1">INDIRECT("'Python Impact of Technique'!S" &amp; 5 + (ROW(A18)-1)*4)*100</f>
        <v>4.7967692262994168</v>
      </c>
      <c r="Q22" s="75">
        <v>2.8719490663203402E-11</v>
      </c>
      <c r="R22" s="75" t="s">
        <v>186</v>
      </c>
      <c r="S22" s="75" cm="1">
        <f t="array" aca="1" ref="S22" ca="1">INDIRECT("'Python Impact of Technique'!R" &amp; 5 + (ROW(A18)-1)*4)</f>
        <v>25942.288680000001</v>
      </c>
      <c r="T22" s="75" cm="1">
        <f t="array" aca="1" ref="T22" ca="1">INDIRECT("'Python Impact of Technique'!R" &amp; 6 + (ROW(A18)-1)*4)</f>
        <v>27000.5592</v>
      </c>
      <c r="U22" s="75" cm="1">
        <f t="array" aca="1" ref="U22" ca="1">INDIRECT("'Python Impact of Technique'!V" &amp; 5 + (ROW(A18)-1)*4)*100</f>
        <v>4.0793259725610227</v>
      </c>
      <c r="V22" s="75">
        <v>5.7729863008733963E-11</v>
      </c>
      <c r="W22" s="75" t="s">
        <v>186</v>
      </c>
      <c r="X22" s="75">
        <f t="shared" ca="1" si="0"/>
        <v>52.565998584087673</v>
      </c>
    </row>
    <row r="23" spans="2:24" ht="14.25" customHeight="1" x14ac:dyDescent="0.25">
      <c r="B23" s="77" t="s">
        <v>63</v>
      </c>
      <c r="C23" s="75" cm="1">
        <f t="array" aca="1" ref="C23" ca="1">INDIRECT("'Python Impact of Technique'!F" &amp; 3 + (ROW(A19)-1)*4)</f>
        <v>10.210000000000001</v>
      </c>
      <c r="D23" s="75" cm="1">
        <f t="array" aca="1" ref="D23" ca="1">INDIRECT("'Python Impact of Technique'!F" &amp; 4 + (ROW(A19)-1)*4)</f>
        <v>8.9879999999999995</v>
      </c>
      <c r="E23" s="75" cm="1">
        <f t="array" aca="1" ref="E23" ca="1">INDIRECT("'Python Impact of Technique'!S" &amp; 3 + (ROW(A19)-1)*4)*100</f>
        <v>-11.968658178256623</v>
      </c>
      <c r="F23" s="75">
        <v>3.9998074674352866E-9</v>
      </c>
      <c r="G23" s="78" t="s">
        <v>186</v>
      </c>
      <c r="H23" s="75" cm="1">
        <f t="array" aca="1" ref="H23" ca="1">INDIRECT("'Python Impact of Technique'!R" &amp; 3 + (ROW(A19)-1)*4)</f>
        <v>577.47760000000005</v>
      </c>
      <c r="I23" s="75" cm="1">
        <f t="array" aca="1" ref="I23" ca="1">INDIRECT("'Python Impact of Technique'!R" &amp; 4 + (ROW(A19)-1)*4)</f>
        <v>517.52904000000001</v>
      </c>
      <c r="J23" s="75" cm="1">
        <f t="array" aca="1" ref="J23" ca="1">INDIRECT("'Python Impact of Technique'!V" &amp; 3 + (ROW(A19)-1)*4)*100</f>
        <v>-10.381105691372278</v>
      </c>
      <c r="K23" s="75">
        <v>2.2902248808643292E-8</v>
      </c>
      <c r="L23" s="75" t="s">
        <v>186</v>
      </c>
      <c r="M23" s="79" t="s">
        <v>63</v>
      </c>
      <c r="N23" s="75" cm="1">
        <f t="array" aca="1" ref="N23" ca="1">INDIRECT("'Python Impact of Technique'!F" &amp; 5 + (ROW(A19)-1)*4)</f>
        <v>4.0830000000000002</v>
      </c>
      <c r="O23" s="75" cm="1">
        <f t="array" aca="1" ref="O23" ca="1">INDIRECT("'Python Impact of Technique'!F" &amp; 6 + (ROW(A19)-1)*4)</f>
        <v>5.327</v>
      </c>
      <c r="P23" s="75" cm="1">
        <f t="array" aca="1" ref="P23" ca="1">INDIRECT("'Python Impact of Technique'!S" &amp; 5 + (ROW(A19)-1)*4)*100</f>
        <v>30.467793289248096</v>
      </c>
      <c r="Q23" s="75">
        <v>2.8719490663203402E-11</v>
      </c>
      <c r="R23" s="75" t="s">
        <v>186</v>
      </c>
      <c r="S23" s="75" cm="1">
        <f t="array" aca="1" ref="S23" ca="1">INDIRECT("'Python Impact of Technique'!R" &amp; 5 + (ROW(A19)-1)*4)</f>
        <v>229.50542999999999</v>
      </c>
      <c r="T23" s="75" cm="1">
        <f t="array" aca="1" ref="T23" ca="1">INDIRECT("'Python Impact of Technique'!R" &amp; 6 + (ROW(A19)-1)*4)</f>
        <v>307.31463000000002</v>
      </c>
      <c r="U23" s="75" cm="1">
        <f t="array" aca="1" ref="U23" ca="1">INDIRECT("'Python Impact of Technique'!V" &amp; 5 + (ROW(A19)-1)*4)*100</f>
        <v>33.902988700528802</v>
      </c>
      <c r="V23" s="75">
        <v>2.8719490663203402E-11</v>
      </c>
      <c r="W23" s="75" t="s">
        <v>186</v>
      </c>
      <c r="X23" s="75">
        <f t="shared" ca="1" si="0"/>
        <v>11.760941504578263</v>
      </c>
    </row>
    <row r="24" spans="2:24" x14ac:dyDescent="0.25">
      <c r="B24" s="77" t="s">
        <v>65</v>
      </c>
      <c r="C24" s="75" cm="1">
        <f t="array" aca="1" ref="C24" ca="1">INDIRECT("'Python Impact of Technique'!F" &amp; 3 + (ROW(A20)-1)*4)</f>
        <v>10.664</v>
      </c>
      <c r="D24" s="75" cm="1">
        <f t="array" aca="1" ref="D24" ca="1">INDIRECT("'Python Impact of Technique'!F" &amp; 4 + (ROW(A20)-1)*4)</f>
        <v>10.337999999999999</v>
      </c>
      <c r="E24" s="75" cm="1">
        <f t="array" aca="1" ref="E24" ca="1">INDIRECT("'Python Impact of Technique'!S" &amp; 3 + (ROW(A20)-1)*4)*100</f>
        <v>-3.0570142535633957</v>
      </c>
      <c r="F24" s="75">
        <v>2.6577763365016164E-2</v>
      </c>
      <c r="G24" s="78" t="s">
        <v>185</v>
      </c>
      <c r="H24" s="75" cm="1">
        <f t="array" aca="1" ref="H24" ca="1">INDIRECT("'Python Impact of Technique'!R" &amp; 3 + (ROW(A20)-1)*4)</f>
        <v>697.9588</v>
      </c>
      <c r="I24" s="75" cm="1">
        <f t="array" aca="1" ref="I24" ca="1">INDIRECT("'Python Impact of Technique'!R" &amp; 4 + (ROW(A20)-1)*4)</f>
        <v>669.07535999999993</v>
      </c>
      <c r="J24" s="75" cm="1">
        <f t="array" aca="1" ref="J24" ca="1">INDIRECT("'Python Impact of Technique'!V" &amp; 3 + (ROW(A20)-1)*4)*100</f>
        <v>-4.1382729181149465</v>
      </c>
      <c r="K24" s="75">
        <v>5.2734825894852625E-6</v>
      </c>
      <c r="L24" s="75" t="s">
        <v>186</v>
      </c>
      <c r="M24" s="79" t="s">
        <v>65</v>
      </c>
      <c r="N24" s="75" cm="1">
        <f t="array" aca="1" ref="N24" ca="1">INDIRECT("'Python Impact of Technique'!F" &amp; 5 + (ROW(A20)-1)*4)</f>
        <v>5.7990000000000004</v>
      </c>
      <c r="O24" s="75" cm="1">
        <f t="array" aca="1" ref="O24" ca="1">INDIRECT("'Python Impact of Technique'!F" &amp; 6 + (ROW(A20)-1)*4)</f>
        <v>5.87</v>
      </c>
      <c r="P24" s="75" cm="1">
        <f t="array" aca="1" ref="P24" ca="1">INDIRECT("'Python Impact of Technique'!S" &amp; 5 + (ROW(A20)-1)*4)*100</f>
        <v>1.2243490256940806</v>
      </c>
      <c r="Q24" s="75">
        <v>2.1104831763424417E-7</v>
      </c>
      <c r="R24" s="75" t="s">
        <v>186</v>
      </c>
      <c r="S24" s="75" cm="1">
        <f t="array" aca="1" ref="S24" ca="1">INDIRECT("'Python Impact of Technique'!R" &amp; 5 + (ROW(A20)-1)*4)</f>
        <v>360.63981000000001</v>
      </c>
      <c r="T24" s="75" cm="1">
        <f t="array" aca="1" ref="T24" ca="1">INDIRECT("'Python Impact of Technique'!R" &amp; 6 + (ROW(A20)-1)*4)</f>
        <v>359.53750000000002</v>
      </c>
      <c r="U24" s="75" cm="1">
        <f t="array" aca="1" ref="U24" ca="1">INDIRECT("'Python Impact of Technique'!V" &amp; 5 + (ROW(A20)-1)*4)*100</f>
        <v>-0.30565399865311282</v>
      </c>
      <c r="V24" s="75">
        <v>0.66810637961831021</v>
      </c>
      <c r="W24" s="75" t="s">
        <v>185</v>
      </c>
      <c r="X24" s="75">
        <f t="shared" ca="1" si="0"/>
        <v>-2.2219634583840295</v>
      </c>
    </row>
    <row r="25" spans="2:24" x14ac:dyDescent="0.25">
      <c r="B25" s="77" t="s">
        <v>71</v>
      </c>
      <c r="C25" s="75" cm="1">
        <f t="array" aca="1" ref="C25" ca="1">INDIRECT("'Python Impact of Technique'!F" &amp; 3 + (ROW(A21)-1)*4)</f>
        <v>71.462999999999994</v>
      </c>
      <c r="D25" s="75" cm="1">
        <f t="array" aca="1" ref="D25" ca="1">INDIRECT("'Python Impact of Technique'!F" &amp; 4 + (ROW(A21)-1)*4)</f>
        <v>62.521999999999998</v>
      </c>
      <c r="E25" s="75" cm="1">
        <f t="array" aca="1" ref="E25" ca="1">INDIRECT("'Python Impact of Technique'!S" &amp; 3 + (ROW(A21)-1)*4)*100</f>
        <v>-12.511369519891408</v>
      </c>
      <c r="F25" s="75">
        <v>2.8719490663203402E-11</v>
      </c>
      <c r="G25" s="78" t="s">
        <v>186</v>
      </c>
      <c r="H25" s="75" cm="1">
        <f t="array" aca="1" ref="H25" ca="1">INDIRECT("'Python Impact of Technique'!R" &amp; 3 + (ROW(A21)-1)*4)</f>
        <v>4262.05332</v>
      </c>
      <c r="I25" s="75" cm="1">
        <f t="array" aca="1" ref="I25" ca="1">INDIRECT("'Python Impact of Technique'!R" &amp; 4 + (ROW(A21)-1)*4)</f>
        <v>3696.9258599999998</v>
      </c>
      <c r="J25" s="75" cm="1">
        <f t="array" aca="1" ref="J25" ca="1">INDIRECT("'Python Impact of Technique'!V" &amp; 3 + (ROW(A21)-1)*4)*100</f>
        <v>-13.259511732246471</v>
      </c>
      <c r="K25" s="75">
        <v>2.8719490663203402E-11</v>
      </c>
      <c r="L25" s="75" t="s">
        <v>186</v>
      </c>
      <c r="M25" s="79" t="s">
        <v>71</v>
      </c>
      <c r="N25" s="75" cm="1">
        <f t="array" aca="1" ref="N25" ca="1">INDIRECT("'Python Impact of Technique'!F" &amp; 5 + (ROW(A21)-1)*4)</f>
        <v>53.167999999999999</v>
      </c>
      <c r="O25" s="75" cm="1">
        <f t="array" aca="1" ref="O25" ca="1">INDIRECT("'Python Impact of Technique'!F" &amp; 6 + (ROW(A21)-1)*4)</f>
        <v>46.725000000000001</v>
      </c>
      <c r="P25" s="75" cm="1">
        <f t="array" aca="1" ref="P25" ca="1">INDIRECT("'Python Impact of Technique'!S" &amp; 5 + (ROW(A21)-1)*4)*100</f>
        <v>-12.118191393319286</v>
      </c>
      <c r="Q25" s="75">
        <v>2.8719490663203402E-11</v>
      </c>
      <c r="R25" s="75" t="s">
        <v>186</v>
      </c>
      <c r="S25" s="75" cm="1">
        <f t="array" aca="1" ref="S25" ca="1">INDIRECT("'Python Impact of Technique'!R" &amp; 5 + (ROW(A21)-1)*4)</f>
        <v>3128.4051199999999</v>
      </c>
      <c r="T25" s="75" cm="1">
        <f t="array" aca="1" ref="T25" ca="1">INDIRECT("'Python Impact of Technique'!R" &amp; 6 + (ROW(A21)-1)*4)</f>
        <v>2752.1025</v>
      </c>
      <c r="U25" s="75" cm="1">
        <f t="array" aca="1" ref="U25" ca="1">INDIRECT("'Python Impact of Technique'!V" &amp; 5 + (ROW(A21)-1)*4)*100</f>
        <v>-12.028577040559247</v>
      </c>
      <c r="V25" s="75">
        <v>2.8719490663203402E-11</v>
      </c>
      <c r="W25" s="75" t="s">
        <v>186</v>
      </c>
      <c r="X25" s="75">
        <f t="shared" ca="1" si="0"/>
        <v>-12.644044386402859</v>
      </c>
    </row>
    <row r="26" spans="2:24" x14ac:dyDescent="0.25">
      <c r="B26" s="77" t="s">
        <v>79</v>
      </c>
      <c r="C26" s="75" cm="1">
        <f t="array" aca="1" ref="C26" ca="1">INDIRECT("'Python Impact of Technique'!F" &amp; 3 + (ROW(A22)-1)*4)</f>
        <v>204.03899999999999</v>
      </c>
      <c r="D26" s="75" cm="1">
        <f t="array" aca="1" ref="D26" ca="1">INDIRECT("'Python Impact of Technique'!F" &amp; 4 + (ROW(A22)-1)*4)</f>
        <v>131.649</v>
      </c>
      <c r="E26" s="75" cm="1">
        <f t="array" aca="1" ref="E26" ca="1">INDIRECT("'Python Impact of Technique'!S" &amp; 3 + (ROW(A22)-1)*4)*100</f>
        <v>-35.478511461044206</v>
      </c>
      <c r="F26" s="75">
        <v>2.8719490663203402E-11</v>
      </c>
      <c r="G26" s="78" t="s">
        <v>186</v>
      </c>
      <c r="H26" s="75" cm="1">
        <f t="array" aca="1" ref="H26" ca="1">INDIRECT("'Python Impact of Technique'!R" &amp; 3 + (ROW(A22)-1)*4)</f>
        <v>12391.28847</v>
      </c>
      <c r="I26" s="75" cm="1">
        <f t="array" aca="1" ref="I26" ca="1">INDIRECT("'Python Impact of Technique'!R" &amp; 4 + (ROW(A22)-1)*4)</f>
        <v>7735.69524</v>
      </c>
      <c r="J26" s="75" cm="1">
        <f t="array" aca="1" ref="J26" ca="1">INDIRECT("'Python Impact of Technique'!V" &amp; 3 + (ROW(A22)-1)*4)*100</f>
        <v>-37.571502279778656</v>
      </c>
      <c r="K26" s="75">
        <v>2.8719490663203402E-11</v>
      </c>
      <c r="L26" s="75" t="s">
        <v>186</v>
      </c>
      <c r="M26" s="79" t="s">
        <v>79</v>
      </c>
      <c r="N26" s="75" cm="1">
        <f t="array" aca="1" ref="N26" ca="1">INDIRECT("'Python Impact of Technique'!F" &amp; 5 + (ROW(A22)-1)*4)</f>
        <v>157.25899999999999</v>
      </c>
      <c r="O26" s="75" cm="1">
        <f t="array" aca="1" ref="O26" ca="1">INDIRECT("'Python Impact of Technique'!F" &amp; 6 + (ROW(A22)-1)*4)</f>
        <v>154.732</v>
      </c>
      <c r="P26" s="75" cm="1">
        <f t="array" aca="1" ref="P26" ca="1">INDIRECT("'Python Impact of Technique'!S" &amp; 5 + (ROW(A22)-1)*4)*100</f>
        <v>-1.6069032614985386</v>
      </c>
      <c r="Q26" s="75">
        <v>3.3257796630500248E-2</v>
      </c>
      <c r="R26" s="75" t="s">
        <v>185</v>
      </c>
      <c r="S26" s="75" cm="1">
        <f t="array" aca="1" ref="S26" ca="1">INDIRECT("'Python Impact of Technique'!R" &amp; 5 + (ROW(A22)-1)*4)</f>
        <v>9220.0951699999987</v>
      </c>
      <c r="T26" s="75" cm="1">
        <f t="array" aca="1" ref="T26" ca="1">INDIRECT("'Python Impact of Technique'!R" &amp; 6 + (ROW(A22)-1)*4)</f>
        <v>9266.89948</v>
      </c>
      <c r="U26" s="75" cm="1">
        <f t="array" aca="1" ref="U26" ca="1">INDIRECT("'Python Impact of Technique'!V" &amp; 5 + (ROW(A22)-1)*4)*100</f>
        <v>0.50763369723440022</v>
      </c>
      <c r="V26" s="75">
        <v>0.85918391427443774</v>
      </c>
      <c r="W26" s="75" t="s">
        <v>185</v>
      </c>
      <c r="X26" s="75">
        <f t="shared" ca="1" si="0"/>
        <v>-18.53193429127213</v>
      </c>
    </row>
    <row r="27" spans="2:24" x14ac:dyDescent="0.25">
      <c r="B27" s="77" t="s">
        <v>87</v>
      </c>
      <c r="C27" s="75" cm="1">
        <f t="array" aca="1" ref="C27" ca="1">INDIRECT("'Python Impact of Technique'!F" &amp; 3 + (ROW(A23)-1)*4)</f>
        <v>6.492</v>
      </c>
      <c r="D27" s="75" cm="1">
        <f t="array" aca="1" ref="D27" ca="1">INDIRECT("'Python Impact of Technique'!F" &amp; 4 + (ROW(A23)-1)*4)</f>
        <v>6.2240000000000002</v>
      </c>
      <c r="E27" s="75" cm="1">
        <f t="array" aca="1" ref="E27" ca="1">INDIRECT("'Python Impact of Technique'!S" &amp; 3 + (ROW(A23)-1)*4)*100</f>
        <v>-4.1281577325939587</v>
      </c>
      <c r="F27" s="75">
        <v>0.20620548705301311</v>
      </c>
      <c r="G27" s="78" t="s">
        <v>216</v>
      </c>
      <c r="H27" s="75" cm="1">
        <f t="array" aca="1" ref="H27" ca="1">INDIRECT("'Python Impact of Technique'!R" &amp; 3 + (ROW(A23)-1)*4)</f>
        <v>419.90256000000011</v>
      </c>
      <c r="I27" s="75" cm="1">
        <f t="array" aca="1" ref="I27" ca="1">INDIRECT("'Python Impact of Technique'!R" &amp; 4 + (ROW(A23)-1)*4)</f>
        <v>415.32751999999999</v>
      </c>
      <c r="J27" s="75" cm="1">
        <f t="array" aca="1" ref="J27" ca="1">INDIRECT("'Python Impact of Technique'!V" &amp; 3 + (ROW(A23)-1)*4)*100</f>
        <v>-1.0895480132343356</v>
      </c>
      <c r="K27" s="75">
        <v>0.36713658124843562</v>
      </c>
      <c r="L27" s="75" t="s">
        <v>216</v>
      </c>
      <c r="M27" s="79" t="s">
        <v>87</v>
      </c>
      <c r="N27" s="75" cm="1">
        <f t="array" aca="1" ref="N27" ca="1">INDIRECT("'Python Impact of Technique'!F" &amp; 5 + (ROW(A23)-1)*4)</f>
        <v>2.5310000000000001</v>
      </c>
      <c r="O27" s="75" cm="1">
        <f t="array" aca="1" ref="O27" ca="1">INDIRECT("'Python Impact of Technique'!F" &amp; 6 + (ROW(A23)-1)*4)</f>
        <v>2.4710000000000001</v>
      </c>
      <c r="P27" s="75" cm="1">
        <f t="array" aca="1" ref="P27" ca="1">INDIRECT("'Python Impact of Technique'!S" &amp; 5 + (ROW(A23)-1)*4)*100</f>
        <v>-2.3706045041485599</v>
      </c>
      <c r="Q27" s="75">
        <v>3.1829591616507349E-3</v>
      </c>
      <c r="R27" s="75" t="s">
        <v>216</v>
      </c>
      <c r="S27" s="75" cm="1">
        <f t="array" aca="1" ref="S27" ca="1">INDIRECT("'Python Impact of Technique'!R" &amp; 5 + (ROW(A23)-1)*4)</f>
        <v>150.29078000000001</v>
      </c>
      <c r="T27" s="75" cm="1">
        <f t="array" aca="1" ref="T27" ca="1">INDIRECT("'Python Impact of Technique'!R" &amp; 6 + (ROW(A23)-1)*4)</f>
        <v>152.23831000000001</v>
      </c>
      <c r="U27" s="75" cm="1">
        <f t="array" aca="1" ref="U27" ca="1">INDIRECT("'Python Impact of Technique'!V" &amp; 5 + (ROW(A23)-1)*4)*100</f>
        <v>1.2958413017751322</v>
      </c>
      <c r="V27" s="75">
        <v>0.64672457734348421</v>
      </c>
      <c r="W27" s="75" t="s">
        <v>216</v>
      </c>
      <c r="X27" s="75">
        <f t="shared" ca="1" si="0"/>
        <v>0.10314664427039832</v>
      </c>
    </row>
    <row r="28" spans="2:24" x14ac:dyDescent="0.25">
      <c r="B28" s="77" t="s">
        <v>91</v>
      </c>
      <c r="C28" s="75" cm="1">
        <f t="array" aca="1" ref="C28" ca="1">INDIRECT("'Python Impact of Technique'!F" &amp; 3 + (ROW(A24)-1)*4)</f>
        <v>100.944</v>
      </c>
      <c r="D28" s="75" cm="1">
        <f t="array" aca="1" ref="D28" ca="1">INDIRECT("'Python Impact of Technique'!F" &amp; 4 + (ROW(A24)-1)*4)</f>
        <v>54.872</v>
      </c>
      <c r="E28" s="75" cm="1">
        <f t="array" aca="1" ref="E28" ca="1">INDIRECT("'Python Impact of Technique'!S" &amp; 3 + (ROW(A24)-1)*4)*100</f>
        <v>-45.641147566967824</v>
      </c>
      <c r="F28" s="75">
        <v>2.8719490663203402E-11</v>
      </c>
      <c r="G28" s="78" t="s">
        <v>186</v>
      </c>
      <c r="H28" s="75" cm="1">
        <f t="array" aca="1" ref="H28" ca="1">INDIRECT("'Python Impact of Technique'!R" &amp; 3 + (ROW(A24)-1)*4)</f>
        <v>5721.5059200000014</v>
      </c>
      <c r="I28" s="75" cm="1">
        <f t="array" aca="1" ref="I28" ca="1">INDIRECT("'Python Impact of Technique'!R" &amp; 4 + (ROW(A24)-1)*4)</f>
        <v>3172.1503200000002</v>
      </c>
      <c r="J28" s="75" cm="1">
        <f t="array" aca="1" ref="J28" ca="1">INDIRECT("'Python Impact of Technique'!V" &amp; 3 + (ROW(A24)-1)*4)*100</f>
        <v>-44.557423091856222</v>
      </c>
      <c r="K28" s="75">
        <v>2.8719490663203402E-11</v>
      </c>
      <c r="L28" s="75" t="s">
        <v>186</v>
      </c>
      <c r="M28" s="79" t="s">
        <v>91</v>
      </c>
      <c r="N28" s="75" cm="1">
        <f t="array" aca="1" ref="N28" ca="1">INDIRECT("'Python Impact of Technique'!F" &amp; 5 + (ROW(A24)-1)*4)</f>
        <v>83.373000000000005</v>
      </c>
      <c r="O28" s="75" cm="1">
        <f t="array" aca="1" ref="O28" ca="1">INDIRECT("'Python Impact of Technique'!F" &amp; 6 + (ROW(A24)-1)*4)</f>
        <v>52.628</v>
      </c>
      <c r="P28" s="75" cm="1">
        <f t="array" aca="1" ref="P28" ca="1">INDIRECT("'Python Impact of Technique'!S" &amp; 5 + (ROW(A24)-1)*4)*100</f>
        <v>-36.876446811317813</v>
      </c>
      <c r="Q28" s="75">
        <v>2.8719490663203402E-11</v>
      </c>
      <c r="R28" s="75" t="s">
        <v>186</v>
      </c>
      <c r="S28" s="75" cm="1">
        <f t="array" aca="1" ref="S28" ca="1">INDIRECT("'Python Impact of Technique'!R" &amp; 5 + (ROW(A24)-1)*4)</f>
        <v>4920.6744600000002</v>
      </c>
      <c r="T28" s="75" cm="1">
        <f t="array" aca="1" ref="T28" ca="1">INDIRECT("'Python Impact of Technique'!R" &amp; 6 + (ROW(A24)-1)*4)</f>
        <v>3233.9906000000001</v>
      </c>
      <c r="U28" s="75" cm="1">
        <f t="array" aca="1" ref="U28" ca="1">INDIRECT("'Python Impact of Technique'!V" &amp; 5 + (ROW(A24)-1)*4)*100</f>
        <v>-34.27749333370857</v>
      </c>
      <c r="V28" s="75">
        <v>2.8719490663203402E-11</v>
      </c>
      <c r="W28" s="75" t="s">
        <v>186</v>
      </c>
      <c r="X28" s="75">
        <f t="shared" ca="1" si="0"/>
        <v>-39.417458212782392</v>
      </c>
    </row>
    <row r="29" spans="2:24" x14ac:dyDescent="0.25">
      <c r="B29" s="77" t="s">
        <v>93</v>
      </c>
      <c r="C29" s="75" cm="1">
        <f t="array" aca="1" ref="C29" ca="1">INDIRECT("'Python Impact of Technique'!F" &amp; 3 + (ROW(A25)-1)*4)</f>
        <v>7.3639999999999999</v>
      </c>
      <c r="D29" s="75" cm="1">
        <f t="array" aca="1" ref="D29" ca="1">INDIRECT("'Python Impact of Technique'!F" &amp; 4 + (ROW(A25)-1)*4)</f>
        <v>5.7969999999999997</v>
      </c>
      <c r="E29" s="75" cm="1">
        <f t="array" aca="1" ref="E29" ca="1">INDIRECT("'Python Impact of Technique'!S" &amp; 3 + (ROW(A25)-1)*4)*100</f>
        <v>-21.279196089082024</v>
      </c>
      <c r="F29" s="75">
        <v>2.8719490663203402E-11</v>
      </c>
      <c r="G29" s="78" t="s">
        <v>186</v>
      </c>
      <c r="H29" s="75" cm="1">
        <f t="array" aca="1" ref="H29" ca="1">INDIRECT("'Python Impact of Technique'!R" &amp; 3 + (ROW(A25)-1)*4)</f>
        <v>414151.36</v>
      </c>
      <c r="I29" s="75" cm="1">
        <f t="array" aca="1" ref="I29" ca="1">INDIRECT("'Python Impact of Technique'!R" &amp; 4 + (ROW(A25)-1)*4)</f>
        <v>320574.09999999998</v>
      </c>
      <c r="J29" s="75" cm="1">
        <f t="array" aca="1" ref="J29" ca="1">INDIRECT("'Python Impact of Technique'!V" &amp; 3 + (ROW(A25)-1)*4)*100</f>
        <v>-22.594942100395375</v>
      </c>
      <c r="K29" s="75">
        <v>2.8719490663203402E-11</v>
      </c>
      <c r="L29" s="75" t="s">
        <v>186</v>
      </c>
      <c r="M29" s="79" t="s">
        <v>93</v>
      </c>
      <c r="N29" s="75" cm="1">
        <f t="array" aca="1" ref="N29" ca="1">INDIRECT("'Python Impact of Technique'!F" &amp; 5 + (ROW(A25)-1)*4)</f>
        <v>6.2990000000000004</v>
      </c>
      <c r="O29" s="75" cm="1">
        <f t="array" aca="1" ref="O29" ca="1">INDIRECT("'Python Impact of Technique'!F" &amp; 6 + (ROW(A25)-1)*4)</f>
        <v>4.3280000000000003</v>
      </c>
      <c r="P29" s="75" cm="1">
        <f t="array" aca="1" ref="P29" ca="1">INDIRECT("'Python Impact of Technique'!S" &amp; 5 + (ROW(A25)-1)*4)*100</f>
        <v>-31.290681060485792</v>
      </c>
      <c r="Q29" s="75">
        <v>2.8719490663203402E-11</v>
      </c>
      <c r="R29" s="75" t="s">
        <v>186</v>
      </c>
      <c r="S29" s="75" cm="1">
        <f t="array" aca="1" ref="S29" ca="1">INDIRECT("'Python Impact of Technique'!R" &amp; 5 + (ROW(A25)-1)*4)</f>
        <v>375357.41000000003</v>
      </c>
      <c r="T29" s="75" cm="1">
        <f t="array" aca="1" ref="T29" ca="1">INDIRECT("'Python Impact of Technique'!R" &amp; 6 + (ROW(A25)-1)*4)</f>
        <v>256260.87999999998</v>
      </c>
      <c r="U29" s="75" cm="1">
        <f t="array" aca="1" ref="U29" ca="1">INDIRECT("'Python Impact of Technique'!V" &amp; 5 + (ROW(A25)-1)*4)*100</f>
        <v>-31.728834126386378</v>
      </c>
      <c r="V29" s="75">
        <v>2.8719490663203402E-11</v>
      </c>
      <c r="W29" s="75" t="s">
        <v>186</v>
      </c>
      <c r="X29" s="75">
        <f t="shared" ca="1" si="0"/>
        <v>-27.161888113390876</v>
      </c>
    </row>
    <row r="30" spans="2:24" x14ac:dyDescent="0.25">
      <c r="B30" s="27" t="s">
        <v>95</v>
      </c>
      <c r="C30" s="75" cm="1">
        <f t="array" aca="1" ref="C30" ca="1">INDIRECT("'Python Impact of Technique'!F" &amp; 3 + (ROW(A26)-1)*4)</f>
        <v>10.768000000000001</v>
      </c>
      <c r="D30" s="75" cm="1">
        <f t="array" aca="1" ref="D30" ca="1">INDIRECT("'Python Impact of Technique'!F" &amp; 4 + (ROW(A26)-1)*4)</f>
        <v>10.48</v>
      </c>
      <c r="E30" s="75" cm="1">
        <f t="array" aca="1" ref="E30" ca="1">INDIRECT("'Python Impact of Technique'!S" &amp; 3 + (ROW(A26)-1)*4)*100</f>
        <v>-2.6745913818722165</v>
      </c>
      <c r="F30" s="75">
        <v>0.20356484061118718</v>
      </c>
      <c r="G30" s="78" t="s">
        <v>216</v>
      </c>
      <c r="H30" s="75" cm="1">
        <f t="array" aca="1" ref="H30" ca="1">INDIRECT("'Python Impact of Technique'!R" &amp; 3 + (ROW(A26)-1)*4)</f>
        <v>674507.52</v>
      </c>
      <c r="I30" s="75" cm="1">
        <f t="array" aca="1" ref="I30" ca="1">INDIRECT("'Python Impact of Technique'!R" &amp; 4 + (ROW(A26)-1)*4)</f>
        <v>642319.20000000007</v>
      </c>
      <c r="J30" s="75" cm="1">
        <f t="array" aca="1" ref="J30" ca="1">INDIRECT("'Python Impact of Technique'!V" &amp; 3 + (ROW(A26)-1)*4)*100</f>
        <v>-4.7721217400215119</v>
      </c>
      <c r="K30" s="75">
        <v>1.1499274734848341E-6</v>
      </c>
      <c r="L30" s="75" t="s">
        <v>186</v>
      </c>
      <c r="M30" s="80" t="s">
        <v>95</v>
      </c>
      <c r="N30" s="75" cm="1">
        <f t="array" aca="1" ref="N30" ca="1">INDIRECT("'Python Impact of Technique'!F" &amp; 5 + (ROW(A26)-1)*4)</f>
        <v>14.17</v>
      </c>
      <c r="O30" s="75" cm="1">
        <f t="array" aca="1" ref="O30" ca="1">INDIRECT("'Python Impact of Technique'!F" &amp; 6 + (ROW(A26)-1)*4)</f>
        <v>13.564</v>
      </c>
      <c r="P30" s="75" cm="1">
        <f t="array" aca="1" ref="P30" ca="1">INDIRECT("'Python Impact of Technique'!S" &amp; 5 + (ROW(A26)-1)*4)*100</f>
        <v>-4.276640790402257</v>
      </c>
      <c r="Q30" s="75">
        <v>2.6098527879558533E-10</v>
      </c>
      <c r="R30" s="75" t="s">
        <v>216</v>
      </c>
      <c r="S30" s="75" cm="1">
        <f t="array" aca="1" ref="S30" ca="1">INDIRECT("'Python Impact of Technique'!R" &amp; 5 + (ROW(A26)-1)*4)</f>
        <v>938479.1</v>
      </c>
      <c r="T30" s="75" cm="1">
        <f t="array" aca="1" ref="T30" ca="1">INDIRECT("'Python Impact of Technique'!R" &amp; 6 + (ROW(A26)-1)*4)</f>
        <v>866739.6</v>
      </c>
      <c r="U30" s="75" cm="1">
        <f t="array" aca="1" ref="U30" ca="1">INDIRECT("'Python Impact of Technique'!V" &amp; 5 + (ROW(A26)-1)*4)*100</f>
        <v>-7.6442299034682817</v>
      </c>
      <c r="V30" s="75">
        <v>5.7729863008733963E-11</v>
      </c>
      <c r="W30" s="75" t="s">
        <v>186</v>
      </c>
      <c r="X30" s="75">
        <f t="shared" ca="1" si="0"/>
        <v>-6.2081758217448968</v>
      </c>
    </row>
    <row r="32" spans="2:24" ht="18.75" x14ac:dyDescent="0.3">
      <c r="B32" s="119" t="s">
        <v>155</v>
      </c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1"/>
    </row>
    <row r="33" spans="2:19" ht="15.75" x14ac:dyDescent="0.25">
      <c r="B33" s="114" t="s">
        <v>211</v>
      </c>
      <c r="C33" s="115"/>
      <c r="D33" s="115"/>
      <c r="E33" s="116"/>
      <c r="F33" s="81"/>
      <c r="G33" s="114" t="s">
        <v>211</v>
      </c>
      <c r="H33" s="115"/>
      <c r="I33" s="115"/>
      <c r="J33" s="116"/>
      <c r="K33" s="81"/>
      <c r="L33" s="114" t="s">
        <v>211</v>
      </c>
      <c r="M33" s="115"/>
      <c r="N33" s="115"/>
      <c r="O33" s="116"/>
    </row>
    <row r="34" spans="2:19" x14ac:dyDescent="0.25">
      <c r="B34" s="108" t="s">
        <v>193</v>
      </c>
      <c r="C34" s="109"/>
      <c r="D34" s="109"/>
      <c r="E34" s="110"/>
      <c r="F34" s="82"/>
      <c r="G34" s="108" t="s">
        <v>118</v>
      </c>
      <c r="H34" s="109"/>
      <c r="I34" s="109"/>
      <c r="J34" s="110"/>
      <c r="K34" s="82"/>
      <c r="L34" s="108" t="s">
        <v>232</v>
      </c>
      <c r="M34" s="109"/>
      <c r="N34" s="109"/>
      <c r="O34" s="110"/>
      <c r="R34" s="1"/>
    </row>
    <row r="35" spans="2:19" x14ac:dyDescent="0.25">
      <c r="B35" s="50" t="s">
        <v>155</v>
      </c>
      <c r="C35" s="51" t="s">
        <v>179</v>
      </c>
      <c r="D35" s="51" t="s">
        <v>180</v>
      </c>
      <c r="E35" s="52" t="s">
        <v>181</v>
      </c>
      <c r="F35" s="82"/>
      <c r="G35" s="50" t="s">
        <v>155</v>
      </c>
      <c r="H35" s="51" t="s">
        <v>179</v>
      </c>
      <c r="I35" s="51" t="s">
        <v>180</v>
      </c>
      <c r="J35" s="52" t="s">
        <v>181</v>
      </c>
      <c r="K35" s="82"/>
      <c r="L35" s="50" t="s">
        <v>155</v>
      </c>
      <c r="M35" s="51" t="s">
        <v>179</v>
      </c>
      <c r="N35" s="51" t="s">
        <v>180</v>
      </c>
      <c r="O35" s="52" t="s">
        <v>181</v>
      </c>
    </row>
    <row r="36" spans="2:19" x14ac:dyDescent="0.25">
      <c r="B36" s="5" t="s">
        <v>182</v>
      </c>
      <c r="C36" s="39" cm="1">
        <f t="array" aca="1" ref="C36" ca="1">AVERAGE(_xlfn._xlws.FILTER($J$5:$J$30, ISNUMBER(MATCH($B$5:$B$30, _xlfn.TEXTSPLIT(_xlfn.TEXTJOIN(", ", TRUE, AA6:AA8), ", "), 0))))</f>
        <v>-24.303724947978168</v>
      </c>
      <c r="D36" s="39" cm="1">
        <f t="array" aca="1" ref="D36" ca="1">MIN(_xlfn._xlws.FILTER($J$5:$J$30, ISNUMBER(MATCH($B$5:$B$30, _xlfn.TEXTSPLIT(_xlfn.TEXTJOIN(", ", TRUE, AA6:AA8), ", "), 0))))</f>
        <v>-69.683630227634922</v>
      </c>
      <c r="E36" s="39" cm="1">
        <f t="array" aca="1" ref="E36" ca="1">MAX(_xlfn._xlws.FILTER($J$5:$J$30, ISNUMBER(MATCH($B$5:$B$30, _xlfn.TEXTSPLIT(_xlfn.TEXTJOIN(", ", TRUE, AA6:AA8), ", "), 0))))</f>
        <v>-3.4952950209055782</v>
      </c>
      <c r="F36" s="82"/>
      <c r="G36" s="5" t="s">
        <v>182</v>
      </c>
      <c r="H36" s="39" cm="1">
        <f t="array" aca="1" ref="H36" ca="1">AVERAGE(_xlfn._xlws.FILTER($U$5:$U$30, ISNUMBER(MATCH($M$5:$M$30, _xlfn.TEXTSPLIT(_xlfn.TEXTJOIN(", ", TRUE, AD6:AD8), ", "), 0))))</f>
        <v>-27.015542449491569</v>
      </c>
      <c r="I36" s="39" cm="1">
        <f t="array" aca="1" ref="I36" ca="1">MIN(_xlfn._xlws.FILTER($U$5:$U$30, ISNUMBER(MATCH($M$5:$M$30, _xlfn.TEXTSPLIT(_xlfn.TEXTJOIN(", ", TRUE, AD6:AD8), ", "), 0))))</f>
        <v>-69.557375147005601</v>
      </c>
      <c r="J36" s="39" cm="1">
        <f t="array" aca="1" ref="J36" ca="1">MAX(_xlfn._xlws.FILTER($U$5:$U$30, ISNUMBER(MATCH($M$5:$M$30, _xlfn.TEXTSPLIT(_xlfn.TEXTJOIN(", ", TRUE, AD6:AD8), ", "), 0))))</f>
        <v>-5.5450796384420293</v>
      </c>
      <c r="K36" s="82"/>
      <c r="L36" s="5" t="s">
        <v>182</v>
      </c>
      <c r="M36" s="39">
        <f ca="1">AVERAGE(C36,H36)</f>
        <v>-25.659633698734869</v>
      </c>
      <c r="N36" s="39">
        <f ca="1">MIN(D36,I36)</f>
        <v>-69.683630227634922</v>
      </c>
      <c r="O36" s="39">
        <f ca="1">MAX(E36,J36)</f>
        <v>-3.4952950209055782</v>
      </c>
    </row>
    <row r="37" spans="2:19" x14ac:dyDescent="0.25">
      <c r="B37" s="5" t="s">
        <v>183</v>
      </c>
      <c r="C37" s="39" cm="1">
        <f t="array" aca="1" ref="C37" ca="1">AVERAGE(_xlfn._xlws.FILTER($J$5:$J$30, ISNUMBER(MATCH($B$5:$B$30, _xlfn.TEXTSPLIT(_xlfn.TEXTJOIN(", ", TRUE, AA9), ", "), 0))))</f>
        <v>-0.13969839039678661</v>
      </c>
      <c r="D37" s="39" cm="1">
        <f t="array" aca="1" ref="D37" ca="1">MIN(_xlfn._xlws.FILTER($J$5:$J$30, ISNUMBER(MATCH($B$5:$B$30, _xlfn.TEXTSPLIT(_xlfn.TEXTJOIN(", ", TRUE, AA9), ", "), 0))))</f>
        <v>-1.0895480132343356</v>
      </c>
      <c r="E37" s="39" cm="1">
        <f t="array" aca="1" ref="E37" ca="1">MAX(_xlfn._xlws.FILTER($J$5:$J$30, ISNUMBER(MATCH($B$5:$B$30, _xlfn.TEXTSPLIT(_xlfn.TEXTJOIN(", ", TRUE, AA9), ", "), 0))))</f>
        <v>0.81015123244076237</v>
      </c>
      <c r="F37" s="82"/>
      <c r="G37" s="5" t="s">
        <v>183</v>
      </c>
      <c r="H37" s="39" cm="1">
        <f t="array" aca="1" ref="H37" ca="1">AVERAGE(_xlfn._xlws.FILTER($U$5:$U$30, ISNUMBER(MATCH($M$5:$M$30, _xlfn.TEXTSPLIT(_xlfn.TEXTJOIN(", ", TRUE, AD9), ", "), 0))))</f>
        <v>4.9928188909820558E-2</v>
      </c>
      <c r="I37" s="39" cm="1">
        <f t="array" aca="1" ref="I37" ca="1">MIN(_xlfn._xlws.FILTER($U$5:$U$30, ISNUMBER(MATCH($M$5:$M$30, _xlfn.TEXTSPLIT(_xlfn.TEXTJOIN(", ", TRUE, AD9), ", "), 0))))</f>
        <v>-2.4175998831744128</v>
      </c>
      <c r="J37" s="39" cm="1">
        <f t="array" aca="1" ref="J37" ca="1">MAX(_xlfn._xlws.FILTER($U$5:$U$30, ISNUMBER(MATCH($M$5:$M$30, _xlfn.TEXTSPLIT(_xlfn.TEXTJOIN(", ", TRUE, AD9), ", "), 0))))</f>
        <v>1.2958413017751322</v>
      </c>
      <c r="K37" s="82"/>
      <c r="L37" s="5" t="s">
        <v>183</v>
      </c>
      <c r="M37" s="39">
        <f ca="1">AVERAGE(C37,H37)</f>
        <v>-4.4885100743483022E-2</v>
      </c>
      <c r="N37" s="39">
        <f ca="1">MIN(D37,I37)</f>
        <v>-2.4175998831744128</v>
      </c>
      <c r="O37" s="39">
        <f ca="1">MAX(E37,J37)</f>
        <v>1.2958413017751322</v>
      </c>
    </row>
    <row r="38" spans="2:19" x14ac:dyDescent="0.25">
      <c r="B38" s="5" t="s">
        <v>184</v>
      </c>
      <c r="C38" s="39" cm="1">
        <f t="array" aca="1" ref="C38" ca="1">AVERAGE(_xlfn._xlws.FILTER($J$5:$J$30, ISNUMBER(MATCH($B$5:$B$30, _xlfn.TEXTSPLIT(_xlfn.TEXTJOIN(", ", TRUE, AA10:AA12), ", "), 0))))</f>
        <v>31.919682804261932</v>
      </c>
      <c r="D38" s="39" cm="1">
        <f t="array" aca="1" ref="D38" ca="1">MIN(_xlfn._xlws.FILTER($J$5:$J$30, ISNUMBER(MATCH($B$5:$B$30, _xlfn.TEXTSPLIT(_xlfn.TEXTJOIN(", ", TRUE, AA10:AA12), ", "), 0))))</f>
        <v>3.3175865989495472</v>
      </c>
      <c r="E38" s="39" cm="1">
        <f t="array" aca="1" ref="E38" ca="1">MAX(_xlfn._xlws.FILTER($J$5:$J$30, ISNUMBER(MATCH($B$5:$B$30, _xlfn.TEXTSPLIT(_xlfn.TEXTJOIN(", ", TRUE, AA10:AA12), ", "), 0))))</f>
        <v>101.05267119561432</v>
      </c>
      <c r="F38" s="82"/>
      <c r="G38" s="5" t="s">
        <v>184</v>
      </c>
      <c r="H38" s="39" cm="1">
        <f t="array" aca="1" ref="H38" ca="1">AVERAGE(_xlfn._xlws.FILTER($U$5:$U$30, ISNUMBER(MATCH($M$5:$M$30, _xlfn.TEXTSPLIT(_xlfn.TEXTJOIN(", ", TRUE, AD10:AD12), ", "), 0))))</f>
        <v>18.179165406875686</v>
      </c>
      <c r="I38" s="39" cm="1">
        <f t="array" aca="1" ref="I38" ca="1">MIN(_xlfn._xlws.FILTER($U$5:$U$30, ISNUMBER(MATCH($M$5:$M$30, _xlfn.TEXTSPLIT(_xlfn.TEXTJOIN(", ", TRUE, AD10:AD12), ", "), 0))))</f>
        <v>4.0793259725610227</v>
      </c>
      <c r="J38" s="39" cm="1">
        <f t="array" aca="1" ref="J38" ca="1">MAX(_xlfn._xlws.FILTER($U$5:$U$30, ISNUMBER(MATCH($M$5:$M$30, _xlfn.TEXTSPLIT(_xlfn.TEXTJOIN(", ", TRUE, AD10:AD12), ", "), 0))))</f>
        <v>33.902988700528802</v>
      </c>
      <c r="K38" s="82"/>
      <c r="L38" s="5" t="s">
        <v>184</v>
      </c>
      <c r="M38" s="39">
        <f ca="1">AVERAGE(C38,H38)</f>
        <v>25.049424105568811</v>
      </c>
      <c r="N38" s="39">
        <f ca="1">MIN(D38,I38)</f>
        <v>3.3175865989495472</v>
      </c>
      <c r="O38" s="39">
        <f ca="1">MAX(E38,J38)</f>
        <v>101.05267119561432</v>
      </c>
      <c r="S38" s="1"/>
    </row>
    <row r="39" spans="2:19" x14ac:dyDescent="0.25">
      <c r="B39" s="5" t="s">
        <v>121</v>
      </c>
      <c r="C39" s="39" cm="1">
        <f t="array" aca="1" ref="C39" ca="1">AVERAGE(_xlfn._xlws.FILTER($J$5:$J$30, ISNUMBER(MATCH($B$5:$B$30, _xlfn.TEXTSPLIT(_xlfn.TEXTJOIN(", ", TRUE, AA6:AA12), ", "), 0))))</f>
        <v>-13.795198635511891</v>
      </c>
      <c r="D39" s="39" cm="1">
        <f t="array" aca="1" ref="D39" ca="1">MIN(_xlfn._xlws.FILTER($J$5:$J$30, ISNUMBER(MATCH($B$5:$B$30, _xlfn.TEXTSPLIT(_xlfn.TEXTJOIN(", ", TRUE, AA6:AA12), ", "), 0))))</f>
        <v>-69.683630227634922</v>
      </c>
      <c r="E39" s="39" cm="1">
        <f t="array" aca="1" ref="E39" ca="1">MAX(_xlfn._xlws.FILTER($J$5:$J$30, ISNUMBER(MATCH($B$5:$B$30, _xlfn.TEXTSPLIT(_xlfn.TEXTJOIN(", ", TRUE, AA6:AA12), ", "), 0))))</f>
        <v>101.05267119561432</v>
      </c>
      <c r="F39" s="83"/>
      <c r="G39" s="5" t="s">
        <v>121</v>
      </c>
      <c r="H39" s="39" cm="1">
        <f t="array" aca="1" ref="H39" ca="1">AVERAGE(_xlfn._xlws.FILTER($U$5:$U$30, ISNUMBER(MATCH($M$5:$M$30, _xlfn.TEXTSPLIT(_xlfn.TEXTJOIN(", ", TRUE, AD6:AD12), ", "), 0))))</f>
        <v>-11.381096282945009</v>
      </c>
      <c r="I39" s="39" cm="1">
        <f t="array" aca="1" ref="I39" ca="1">MIN(_xlfn._xlws.FILTER($U$5:$U$30, ISNUMBER(MATCH($M$5:$M$30, _xlfn.TEXTSPLIT(_xlfn.TEXTJOIN(", ", TRUE, AD6:AD12), ", "), 0))))</f>
        <v>-69.557375147005601</v>
      </c>
      <c r="J39" s="39" cm="1">
        <f t="array" aca="1" ref="J39" ca="1">MAX(_xlfn._xlws.FILTER($U$5:$U$30, ISNUMBER(MATCH($M$5:$M$30, _xlfn.TEXTSPLIT(_xlfn.TEXTJOIN(", ", TRUE, AD6:AD12), ", "), 0))))</f>
        <v>33.902988700528802</v>
      </c>
      <c r="K39" s="83"/>
      <c r="L39" s="5" t="s">
        <v>121</v>
      </c>
      <c r="M39" s="39">
        <f ca="1">AVERAGE(C39,H39)</f>
        <v>-12.58814745922845</v>
      </c>
      <c r="N39" s="39">
        <f ca="1">MIN(D39,I39)</f>
        <v>-69.683630227634922</v>
      </c>
      <c r="O39" s="39">
        <f ca="1">MAX(E39,J39)</f>
        <v>101.05267119561432</v>
      </c>
      <c r="S39" s="1"/>
    </row>
    <row r="41" spans="2:19" ht="21" x14ac:dyDescent="0.35">
      <c r="B41" s="111" t="s">
        <v>154</v>
      </c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3"/>
    </row>
    <row r="42" spans="2:19" ht="15.75" x14ac:dyDescent="0.25">
      <c r="B42" s="114" t="s">
        <v>211</v>
      </c>
      <c r="C42" s="115"/>
      <c r="D42" s="115"/>
      <c r="E42" s="116"/>
      <c r="F42" s="81"/>
      <c r="G42" s="114" t="s">
        <v>211</v>
      </c>
      <c r="H42" s="115"/>
      <c r="I42" s="115"/>
      <c r="J42" s="116"/>
      <c r="K42" s="81"/>
      <c r="L42" s="114" t="s">
        <v>211</v>
      </c>
      <c r="M42" s="115"/>
      <c r="N42" s="115"/>
      <c r="O42" s="116"/>
    </row>
    <row r="43" spans="2:19" x14ac:dyDescent="0.25">
      <c r="B43" s="108" t="s">
        <v>193</v>
      </c>
      <c r="C43" s="109"/>
      <c r="D43" s="109"/>
      <c r="E43" s="110"/>
      <c r="F43" s="82"/>
      <c r="G43" s="108" t="s">
        <v>118</v>
      </c>
      <c r="H43" s="109"/>
      <c r="I43" s="109"/>
      <c r="J43" s="110"/>
      <c r="K43" s="82"/>
      <c r="L43" s="108" t="s">
        <v>232</v>
      </c>
      <c r="M43" s="109"/>
      <c r="N43" s="109"/>
      <c r="O43" s="110"/>
    </row>
    <row r="44" spans="2:19" x14ac:dyDescent="0.25">
      <c r="B44" s="50" t="s">
        <v>155</v>
      </c>
      <c r="C44" s="108" t="s">
        <v>220</v>
      </c>
      <c r="D44" s="109"/>
      <c r="E44" s="15" t="s">
        <v>219</v>
      </c>
      <c r="F44" s="84"/>
      <c r="G44" s="50" t="s">
        <v>155</v>
      </c>
      <c r="H44" s="108" t="s">
        <v>220</v>
      </c>
      <c r="I44" s="109"/>
      <c r="J44" s="15" t="s">
        <v>219</v>
      </c>
      <c r="K44" s="82"/>
      <c r="L44" s="50" t="s">
        <v>155</v>
      </c>
      <c r="M44" s="108" t="s">
        <v>220</v>
      </c>
      <c r="N44" s="109"/>
      <c r="O44" s="15" t="s">
        <v>219</v>
      </c>
    </row>
    <row r="45" spans="2:19" x14ac:dyDescent="0.25">
      <c r="B45" s="5" t="s">
        <v>182</v>
      </c>
      <c r="C45" s="106" cm="1">
        <f t="array" aca="1" ref="C45" ca="1">COUNT(_xlfn._xlws.FILTER($J$5:$J$30, ISNUMBER(MATCH($B$5:$B$30, _xlfn.TEXTSPLIT(_xlfn.TEXTJOIN(", ", TRUE, AA6:AA8), ", "), 0))))</f>
        <v>20</v>
      </c>
      <c r="D45" s="107"/>
      <c r="E45" s="67">
        <f ca="1">C45/C$48</f>
        <v>0.76923076923076927</v>
      </c>
      <c r="F45" s="82"/>
      <c r="G45" s="5" t="s">
        <v>182</v>
      </c>
      <c r="H45" s="106" cm="1">
        <f t="array" aca="1" ref="H45" ca="1">COUNT(_xlfn._xlws.FILTER($U$5:$U$30, ISNUMBER(MATCH($M$5:$M$30, _xlfn.TEXTSPLIT(_xlfn.TEXTJOIN(", ", TRUE, AD6:AD8), ", "), 0))))</f>
        <v>15</v>
      </c>
      <c r="I45" s="107"/>
      <c r="J45" s="67">
        <f ca="1">H45/H$48</f>
        <v>0.57692307692307687</v>
      </c>
      <c r="K45" s="82"/>
      <c r="L45" s="5" t="s">
        <v>182</v>
      </c>
      <c r="M45" s="106">
        <f ca="1">SUM(C45,H45)</f>
        <v>35</v>
      </c>
      <c r="N45" s="107"/>
      <c r="O45" s="67">
        <f ca="1">M45/M$48</f>
        <v>0.67307692307692313</v>
      </c>
    </row>
    <row r="46" spans="2:19" x14ac:dyDescent="0.25">
      <c r="B46" s="5" t="s">
        <v>183</v>
      </c>
      <c r="C46" s="106" cm="1">
        <f t="array" aca="1" ref="C46" ca="1">COUNT(_xlfn._xlws.FILTER($J$5:$J$30, ISNUMBER(MATCH($B$5:$B$30, _xlfn.TEXTSPLIT(_xlfn.TEXTJOIN(", ", TRUE, AA9), ", "), 0))))</f>
        <v>2</v>
      </c>
      <c r="D46" s="107"/>
      <c r="E46" s="67">
        <f t="shared" ref="E46:E48" ca="1" si="1">C46/C$48</f>
        <v>7.6923076923076927E-2</v>
      </c>
      <c r="F46" s="82"/>
      <c r="G46" s="5" t="s">
        <v>183</v>
      </c>
      <c r="H46" s="106" cm="1">
        <f t="array" aca="1" ref="H46" ca="1">COUNT(_xlfn._xlws.FILTER($U$5:$U$30, ISNUMBER(MATCH($M$5:$M$30, _xlfn.TEXTSPLIT(_xlfn.TEXTJOIN(", ", TRUE, AD9), ", "), 0))))</f>
        <v>5</v>
      </c>
      <c r="I46" s="107"/>
      <c r="J46" s="67">
        <f t="shared" ref="J46:J48" ca="1" si="2">H46/H$48</f>
        <v>0.19230769230769232</v>
      </c>
      <c r="K46" s="82"/>
      <c r="L46" s="5" t="s">
        <v>183</v>
      </c>
      <c r="M46" s="106">
        <f t="shared" ref="M46:M47" ca="1" si="3">SUM(C46,H46)</f>
        <v>7</v>
      </c>
      <c r="N46" s="107"/>
      <c r="O46" s="67">
        <f t="shared" ref="O46:O48" ca="1" si="4">M46/M$48</f>
        <v>0.13461538461538461</v>
      </c>
    </row>
    <row r="47" spans="2:19" x14ac:dyDescent="0.25">
      <c r="B47" s="5" t="s">
        <v>184</v>
      </c>
      <c r="C47" s="106" cm="1">
        <f t="array" aca="1" ref="C47" ca="1">COUNT(_xlfn._xlws.FILTER($J$5:$J$30, ISNUMBER(MATCH($B$5:$B$30, _xlfn.TEXTSPLIT(_xlfn.TEXTJOIN(", ", TRUE, AA10:AA12), ", "), 0))))</f>
        <v>4</v>
      </c>
      <c r="D47" s="107"/>
      <c r="E47" s="67">
        <f t="shared" ca="1" si="1"/>
        <v>0.15384615384615385</v>
      </c>
      <c r="F47" s="82"/>
      <c r="G47" s="5" t="s">
        <v>184</v>
      </c>
      <c r="H47" s="106" cm="1">
        <f t="array" aca="1" ref="H47" ca="1">COUNT(_xlfn._xlws.FILTER($U$5:$U$30, ISNUMBER(MATCH($M$5:$M$30, _xlfn.TEXTSPLIT(_xlfn.TEXTJOIN(", ", TRUE, AD10:AD12), ", "), 0))))</f>
        <v>6</v>
      </c>
      <c r="I47" s="107"/>
      <c r="J47" s="67">
        <f t="shared" ca="1" si="2"/>
        <v>0.23076923076923078</v>
      </c>
      <c r="K47" s="82"/>
      <c r="L47" s="5" t="s">
        <v>184</v>
      </c>
      <c r="M47" s="106">
        <f t="shared" ca="1" si="3"/>
        <v>10</v>
      </c>
      <c r="N47" s="107"/>
      <c r="O47" s="67">
        <f t="shared" ca="1" si="4"/>
        <v>0.19230769230769232</v>
      </c>
    </row>
    <row r="48" spans="2:19" x14ac:dyDescent="0.25">
      <c r="B48" s="5" t="s">
        <v>121</v>
      </c>
      <c r="C48" s="106">
        <f ca="1">SUM(C45:D47)</f>
        <v>26</v>
      </c>
      <c r="D48" s="107"/>
      <c r="E48" s="67">
        <f t="shared" ca="1" si="1"/>
        <v>1</v>
      </c>
      <c r="F48" s="83"/>
      <c r="G48" s="5" t="s">
        <v>121</v>
      </c>
      <c r="H48" s="106">
        <f ca="1">SUM(H45:I47)</f>
        <v>26</v>
      </c>
      <c r="I48" s="107"/>
      <c r="J48" s="67">
        <f t="shared" ca="1" si="2"/>
        <v>1</v>
      </c>
      <c r="K48" s="83"/>
      <c r="L48" s="5" t="s">
        <v>121</v>
      </c>
      <c r="M48" s="106">
        <f ca="1">SUM(M45:N47)</f>
        <v>52</v>
      </c>
      <c r="N48" s="107"/>
      <c r="O48" s="67">
        <f t="shared" ca="1" si="4"/>
        <v>1</v>
      </c>
    </row>
  </sheetData>
  <mergeCells count="39">
    <mergeCell ref="B33:E33"/>
    <mergeCell ref="G33:J33"/>
    <mergeCell ref="L33:O33"/>
    <mergeCell ref="C2:L2"/>
    <mergeCell ref="N2:W2"/>
    <mergeCell ref="C3:G3"/>
    <mergeCell ref="H3:L3"/>
    <mergeCell ref="N3:R3"/>
    <mergeCell ref="S3:U3"/>
    <mergeCell ref="Z3:AA3"/>
    <mergeCell ref="AC3:AD3"/>
    <mergeCell ref="Z4:AA4"/>
    <mergeCell ref="AC4:AD4"/>
    <mergeCell ref="B32:O32"/>
    <mergeCell ref="B34:E34"/>
    <mergeCell ref="G34:J34"/>
    <mergeCell ref="L34:O34"/>
    <mergeCell ref="B41:O41"/>
    <mergeCell ref="B42:E42"/>
    <mergeCell ref="G42:J42"/>
    <mergeCell ref="L42:O42"/>
    <mergeCell ref="B43:E43"/>
    <mergeCell ref="G43:J43"/>
    <mergeCell ref="L43:O43"/>
    <mergeCell ref="C44:D44"/>
    <mergeCell ref="H44:I44"/>
    <mergeCell ref="M44:N44"/>
    <mergeCell ref="C45:D45"/>
    <mergeCell ref="H45:I45"/>
    <mergeCell ref="M45:N45"/>
    <mergeCell ref="C46:D46"/>
    <mergeCell ref="H46:I46"/>
    <mergeCell ref="M46:N46"/>
    <mergeCell ref="C47:D47"/>
    <mergeCell ref="H47:I47"/>
    <mergeCell ref="M47:N47"/>
    <mergeCell ref="C48:D48"/>
    <mergeCell ref="H48:I48"/>
    <mergeCell ref="M48:N48"/>
  </mergeCells>
  <conditionalFormatting sqref="E5:E30">
    <cfRule type="expression" dxfId="160" priority="18">
      <formula>E5 &lt;= -75</formula>
    </cfRule>
    <cfRule type="expression" dxfId="159" priority="19">
      <formula>AND(E5 &lt; 25, E5 &gt;= 3)</formula>
    </cfRule>
    <cfRule type="expression" dxfId="158" priority="15">
      <formula>AND(E5 &gt; -3, E5 &lt; 3)</formula>
    </cfRule>
    <cfRule type="expression" dxfId="157" priority="16">
      <formula>AND(E5 &gt; -25, E5 &lt;= -3)</formula>
    </cfRule>
    <cfRule type="expression" dxfId="156" priority="17">
      <formula>AND(E5 &gt; -75, E5 &lt;= -25)</formula>
    </cfRule>
    <cfRule type="expression" dxfId="155" priority="21">
      <formula>E5 &gt;= 75</formula>
    </cfRule>
    <cfRule type="expression" dxfId="154" priority="20">
      <formula>AND(E5 &lt; 75, E5 &gt;= 25)</formula>
    </cfRule>
  </conditionalFormatting>
  <conditionalFormatting sqref="J5:J30">
    <cfRule type="expression" dxfId="153" priority="32">
      <formula>J5 &lt;= -75</formula>
    </cfRule>
    <cfRule type="expression" dxfId="152" priority="33">
      <formula>AND(J5 &lt; 25, J5 &gt;= 3)</formula>
    </cfRule>
    <cfRule type="expression" dxfId="151" priority="34">
      <formula>AND(J5 &lt; 75, J5 &gt;= 25)</formula>
    </cfRule>
    <cfRule type="expression" dxfId="150" priority="35">
      <formula>J5 &gt;= 75</formula>
    </cfRule>
    <cfRule type="expression" dxfId="149" priority="29">
      <formula>AND(J5 &gt; -3, J5 &lt; 3)</formula>
    </cfRule>
    <cfRule type="expression" dxfId="148" priority="30">
      <formula>AND(J5 &gt; -25, J5 &lt;= -3)</formula>
    </cfRule>
    <cfRule type="expression" dxfId="147" priority="31">
      <formula>AND(J5 &gt; -75, J5 &lt;= -25)</formula>
    </cfRule>
  </conditionalFormatting>
  <conditionalFormatting sqref="P5:P30">
    <cfRule type="expression" dxfId="146" priority="8">
      <formula>AND(P5 &gt; -3, P5 &lt; 3)</formula>
    </cfRule>
    <cfRule type="expression" dxfId="145" priority="9">
      <formula>AND(P5 &gt; -25, P5 &lt;= -3)</formula>
    </cfRule>
    <cfRule type="expression" dxfId="144" priority="10">
      <formula>AND(P5 &gt; -75, P5 &lt;= -25)</formula>
    </cfRule>
    <cfRule type="expression" dxfId="143" priority="11">
      <formula>P5 &lt;= -75</formula>
    </cfRule>
    <cfRule type="expression" dxfId="142" priority="14">
      <formula>P5 &gt;= 75</formula>
    </cfRule>
    <cfRule type="expression" dxfId="141" priority="13">
      <formula>AND(P5 &lt; 75, P5 &gt;= 25)</formula>
    </cfRule>
    <cfRule type="expression" dxfId="140" priority="12">
      <formula>AND(P5 &lt; 25, P5 &gt;= 3)</formula>
    </cfRule>
  </conditionalFormatting>
  <conditionalFormatting sqref="U5:U30">
    <cfRule type="expression" dxfId="139" priority="25">
      <formula>U5 &lt;= -75</formula>
    </cfRule>
    <cfRule type="expression" dxfId="138" priority="26">
      <formula>AND(U5 &lt; 25, U5 &gt;= 3)</formula>
    </cfRule>
    <cfRule type="expression" dxfId="137" priority="27">
      <formula>AND(U5 &lt; 75, U5 &gt;= 25)</formula>
    </cfRule>
    <cfRule type="expression" dxfId="136" priority="28">
      <formula>U5 &gt;= 75</formula>
    </cfRule>
    <cfRule type="expression" dxfId="135" priority="22">
      <formula>AND(U5 &gt; -3, U5 &lt; 3)</formula>
    </cfRule>
    <cfRule type="expression" dxfId="134" priority="23">
      <formula>AND(U5 &gt; -25, U5 &lt;= -3)</formula>
    </cfRule>
    <cfRule type="expression" dxfId="133" priority="24">
      <formula>AND(U5 &gt; -75, U5 &lt;= -25)</formula>
    </cfRule>
  </conditionalFormatting>
  <conditionalFormatting sqref="X5:X30">
    <cfRule type="expression" dxfId="132" priority="2">
      <formula>AND(X5 &gt; -25, X5 &lt;= -3)</formula>
    </cfRule>
    <cfRule type="expression" dxfId="131" priority="3">
      <formula>AND(X5 &gt; -75, X5 &lt;= -25)</formula>
    </cfRule>
    <cfRule type="expression" dxfId="130" priority="4">
      <formula>X5 &lt;= -75</formula>
    </cfRule>
    <cfRule type="expression" dxfId="129" priority="5">
      <formula>AND(X5 &lt; 25, X5 &gt;= 3)</formula>
    </cfRule>
    <cfRule type="expression" dxfId="128" priority="6">
      <formula>AND(X5 &lt; 75, X5 &gt;= 25)</formula>
    </cfRule>
    <cfRule type="expression" dxfId="127" priority="7">
      <formula>X5 &gt;= 75</formula>
    </cfRule>
    <cfRule type="expression" dxfId="126" priority="1">
      <formula>AND(X5 &gt; -3, X5 &lt; 3)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FF1DE-C7BE-4116-9B5E-5CD406519A00}">
  <dimension ref="B2:AD48"/>
  <sheetViews>
    <sheetView zoomScale="85" zoomScaleNormal="85" workbookViewId="0">
      <selection activeCell="P39" sqref="P39"/>
    </sheetView>
  </sheetViews>
  <sheetFormatPr baseColWidth="10" defaultRowHeight="15" x14ac:dyDescent="0.25"/>
  <cols>
    <col min="3" max="4" width="20.42578125" bestFit="1" customWidth="1"/>
    <col min="6" max="6" width="7.7109375" bestFit="1" customWidth="1"/>
    <col min="7" max="7" width="33.5703125" bestFit="1" customWidth="1"/>
    <col min="8" max="9" width="20.42578125" bestFit="1" customWidth="1"/>
    <col min="12" max="12" width="33.5703125" bestFit="1" customWidth="1"/>
    <col min="14" max="15" width="20.42578125" bestFit="1" customWidth="1"/>
    <col min="17" max="17" width="7.7109375" bestFit="1" customWidth="1"/>
    <col min="18" max="18" width="33.5703125" bestFit="1" customWidth="1"/>
    <col min="19" max="20" width="20.42578125" bestFit="1" customWidth="1"/>
    <col min="22" max="22" width="7.7109375" bestFit="1" customWidth="1"/>
    <col min="23" max="23" width="33.5703125" bestFit="1" customWidth="1"/>
    <col min="24" max="24" width="18.28515625" bestFit="1" customWidth="1"/>
    <col min="26" max="26" width="12.5703125" bestFit="1" customWidth="1"/>
    <col min="27" max="27" width="44.5703125" bestFit="1" customWidth="1"/>
    <col min="29" max="29" width="12.5703125" bestFit="1" customWidth="1"/>
    <col min="30" max="30" width="41.28515625" bestFit="1" customWidth="1"/>
  </cols>
  <sheetData>
    <row r="2" spans="2:30" x14ac:dyDescent="0.25">
      <c r="B2" s="49"/>
      <c r="C2" s="105" t="s">
        <v>111</v>
      </c>
      <c r="D2" s="105"/>
      <c r="E2" s="105"/>
      <c r="F2" s="105"/>
      <c r="G2" s="105"/>
      <c r="H2" s="105"/>
      <c r="I2" s="105"/>
      <c r="J2" s="105"/>
      <c r="K2" s="105"/>
      <c r="L2" s="105"/>
      <c r="N2" s="108" t="s">
        <v>114</v>
      </c>
      <c r="O2" s="109"/>
      <c r="P2" s="109"/>
      <c r="Q2" s="109"/>
      <c r="R2" s="109"/>
      <c r="S2" s="109"/>
      <c r="T2" s="109"/>
      <c r="U2" s="109"/>
      <c r="V2" s="109"/>
      <c r="W2" s="110"/>
    </row>
    <row r="3" spans="2:30" ht="15.75" x14ac:dyDescent="0.25">
      <c r="B3" s="49"/>
      <c r="C3" s="108" t="s">
        <v>100</v>
      </c>
      <c r="D3" s="109"/>
      <c r="E3" s="109"/>
      <c r="F3" s="109"/>
      <c r="G3" s="110"/>
      <c r="H3" s="105" t="s">
        <v>211</v>
      </c>
      <c r="I3" s="105"/>
      <c r="J3" s="105"/>
      <c r="K3" s="105"/>
      <c r="L3" s="105"/>
      <c r="N3" s="108" t="s">
        <v>100</v>
      </c>
      <c r="O3" s="109"/>
      <c r="P3" s="109"/>
      <c r="Q3" s="109"/>
      <c r="R3" s="109"/>
      <c r="S3" s="109" t="s">
        <v>211</v>
      </c>
      <c r="T3" s="109"/>
      <c r="U3" s="109"/>
      <c r="V3" s="51"/>
      <c r="W3" s="52"/>
      <c r="Z3" s="117" t="s">
        <v>211</v>
      </c>
      <c r="AA3" s="118"/>
      <c r="AC3" s="117" t="s">
        <v>211</v>
      </c>
      <c r="AD3" s="118"/>
    </row>
    <row r="4" spans="2:30" x14ac:dyDescent="0.25">
      <c r="B4" s="50" t="s">
        <v>97</v>
      </c>
      <c r="C4" s="40" t="s">
        <v>223</v>
      </c>
      <c r="D4" s="40" t="s">
        <v>118</v>
      </c>
      <c r="E4" s="40" t="s">
        <v>153</v>
      </c>
      <c r="F4" s="15" t="s">
        <v>214</v>
      </c>
      <c r="G4" s="15" t="s">
        <v>177</v>
      </c>
      <c r="H4" s="40" t="s">
        <v>223</v>
      </c>
      <c r="I4" s="40" t="s">
        <v>118</v>
      </c>
      <c r="J4" s="40" t="s">
        <v>153</v>
      </c>
      <c r="K4" s="40" t="s">
        <v>214</v>
      </c>
      <c r="L4" s="40" t="s">
        <v>177</v>
      </c>
      <c r="M4" s="50" t="s">
        <v>97</v>
      </c>
      <c r="N4" s="40" t="s">
        <v>223</v>
      </c>
      <c r="O4" s="40" t="s">
        <v>118</v>
      </c>
      <c r="P4" s="40" t="s">
        <v>153</v>
      </c>
      <c r="Q4" s="15" t="s">
        <v>214</v>
      </c>
      <c r="R4" s="40" t="s">
        <v>177</v>
      </c>
      <c r="S4" s="40" t="s">
        <v>223</v>
      </c>
      <c r="T4" s="40" t="s">
        <v>118</v>
      </c>
      <c r="U4" s="40" t="s">
        <v>153</v>
      </c>
      <c r="V4" s="15" t="s">
        <v>214</v>
      </c>
      <c r="W4" s="40" t="s">
        <v>177</v>
      </c>
      <c r="X4" s="74" t="s">
        <v>178</v>
      </c>
      <c r="Z4" s="108" t="s">
        <v>111</v>
      </c>
      <c r="AA4" s="110"/>
      <c r="AB4" s="53"/>
      <c r="AC4" s="108" t="s">
        <v>114</v>
      </c>
      <c r="AD4" s="110"/>
    </row>
    <row r="5" spans="2:30" x14ac:dyDescent="0.25">
      <c r="B5" s="77" t="s">
        <v>156</v>
      </c>
      <c r="C5" s="75" cm="1">
        <f t="array" aca="1" ref="C5" ca="1">INDIRECT("'Python Impact of Optimization'!F" &amp; 3 + (ROW(A1)-1)*4)</f>
        <v>84.436999999999998</v>
      </c>
      <c r="D5" s="75" cm="1">
        <f t="array" aca="1" ref="D5" ca="1">INDIRECT("'Python Impact of Optimization'!F" &amp; 4 + (ROW(A1)-1)*4)</f>
        <v>135.87899999999999</v>
      </c>
      <c r="E5" s="75" cm="1">
        <f t="array" aca="1" ref="E5" ca="1">INDIRECT("'Python Impact of Optimization'!S" &amp; 3 + (ROW(A1)-1)*4)*100</f>
        <v>60.92352878477444</v>
      </c>
      <c r="F5" s="75">
        <v>2.8719490663203402E-11</v>
      </c>
      <c r="G5" s="78" t="s">
        <v>186</v>
      </c>
      <c r="H5" s="75" cm="1">
        <f t="array" aca="1" ref="H5" ca="1">INDIRECT("'Python Impact of Optimization'!R" &amp; 3 + (ROW(A1)-1)*4)</f>
        <v>5560.176449999999</v>
      </c>
      <c r="I5" s="75" cm="1">
        <f t="array" aca="1" ref="I5" ca="1">INDIRECT("'Python Impact of Optimization'!R" &amp; 4 + (ROW(A1)-1)*4)</f>
        <v>8650.057139999999</v>
      </c>
      <c r="J5" s="75" cm="1">
        <f t="array" aca="1" ref="J5" ca="1">INDIRECT("'Python Impact of Optimization'!V" &amp; 3 + (ROW(A1)-1)*4)*100</f>
        <v>55.571630105371938</v>
      </c>
      <c r="K5" s="75">
        <v>2.8719490663203402E-11</v>
      </c>
      <c r="L5" s="75" t="s">
        <v>186</v>
      </c>
      <c r="M5" s="79" t="s">
        <v>156</v>
      </c>
      <c r="N5" s="75" cm="1">
        <f t="array" aca="1" ref="N5" ca="1">INDIRECT("'Python Impact of Optimization'!F" &amp; 5 + (ROW(A1)-1)*4)</f>
        <v>46.953000000000003</v>
      </c>
      <c r="O5" s="75" cm="1">
        <f t="array" aca="1" ref="O5" ca="1">INDIRECT("'Python Impact of Optimization'!F" &amp; 6 + (ROW(A1)-1)*4)</f>
        <v>42.414999999999999</v>
      </c>
      <c r="P5" s="75" cm="1">
        <f t="array" aca="1" ref="P5" ca="1">INDIRECT("'Python Impact of Optimization'!S" &amp; 5 + (ROW(A1)-1)*4)*100</f>
        <v>-9.6649841330692468</v>
      </c>
      <c r="Q5" s="75">
        <v>2.8719490663203402E-11</v>
      </c>
      <c r="R5" s="75" t="s">
        <v>186</v>
      </c>
      <c r="S5" s="75" cm="1">
        <f t="array" aca="1" ref="S5" ca="1">INDIRECT("'Python Impact of Optimization'!R" &amp; 5 + (ROW(A1)-1)*4)</f>
        <v>3092.32458</v>
      </c>
      <c r="T5" s="75" cm="1">
        <f t="array" aca="1" ref="T5" ca="1">INDIRECT("'Python Impact of Optimization'!R" &amp; 6 + (ROW(A1)-1)*4)</f>
        <v>2656.8755999999998</v>
      </c>
      <c r="U5" s="75" cm="1">
        <f t="array" aca="1" ref="U5" ca="1">INDIRECT("'Python Impact of Optimization'!V" &amp; 5 + (ROW(A1)-1)*4)*100</f>
        <v>-14.08160653045031</v>
      </c>
      <c r="V5" s="75">
        <v>2.8719490663203402E-11</v>
      </c>
      <c r="W5" s="75" t="s">
        <v>186</v>
      </c>
      <c r="X5" s="75">
        <f ca="1">AVERAGE(J5,U5)</f>
        <v>20.745011787460815</v>
      </c>
      <c r="Z5" s="15" t="s">
        <v>155</v>
      </c>
      <c r="AA5" s="15" t="s">
        <v>154</v>
      </c>
      <c r="AB5" s="53"/>
      <c r="AC5" s="15" t="s">
        <v>155</v>
      </c>
      <c r="AD5" s="15" t="s">
        <v>154</v>
      </c>
    </row>
    <row r="6" spans="2:30" x14ac:dyDescent="0.25">
      <c r="B6" s="77" t="s">
        <v>157</v>
      </c>
      <c r="C6" s="75" cm="1">
        <f t="array" aca="1" ref="C6" ca="1">INDIRECT("'Python Impact of Optimization'!F" &amp; 3 + (ROW(A2)-1)*4)</f>
        <v>5.7590000000000003</v>
      </c>
      <c r="D6" s="75" cm="1">
        <f t="array" aca="1" ref="D6" ca="1">INDIRECT("'Python Impact of Optimization'!F" &amp; 4 + (ROW(A2)-1)*4)</f>
        <v>6.2830000000000004</v>
      </c>
      <c r="E6" s="75" cm="1">
        <f t="array" aca="1" ref="E6" ca="1">INDIRECT("'Python Impact of Optimization'!S" &amp; 3 + (ROW(A2)-1)*4)*100</f>
        <v>9.0988018753255773</v>
      </c>
      <c r="F6" s="75">
        <v>2.8719490663203402E-11</v>
      </c>
      <c r="G6" s="78" t="s">
        <v>186</v>
      </c>
      <c r="H6" s="75" cm="1">
        <f t="array" aca="1" ref="H6" ca="1">INDIRECT("'Python Impact of Optimization'!R" &amp; 3 + (ROW(A2)-1)*4)</f>
        <v>331775.99</v>
      </c>
      <c r="I6" s="75" cm="1">
        <f t="array" aca="1" ref="I6" ca="1">INDIRECT("'Python Impact of Optimization'!R" &amp; 4 + (ROW(A2)-1)*4)</f>
        <v>401232.38</v>
      </c>
      <c r="J6" s="75" cm="1">
        <f t="array" aca="1" ref="J6" ca="1">INDIRECT("'Python Impact of Optimization'!V" &amp; 3 + (ROW(A2)-1)*4)*100</f>
        <v>20.934724661661026</v>
      </c>
      <c r="K6" s="75">
        <v>2.8719490663203402E-11</v>
      </c>
      <c r="L6" s="75" t="s">
        <v>186</v>
      </c>
      <c r="M6" s="79" t="s">
        <v>157</v>
      </c>
      <c r="N6" s="75" cm="1">
        <f t="array" aca="1" ref="N6" ca="1">INDIRECT("'Python Impact of Optimization'!F" &amp; 5 + (ROW(A2)-1)*4)</f>
        <v>5.2510000000000003</v>
      </c>
      <c r="O6" s="75" cm="1">
        <f t="array" aca="1" ref="O6" ca="1">INDIRECT("'Python Impact of Optimization'!F" &amp; 6 + (ROW(A2)-1)*4)</f>
        <v>6.0629999999999997</v>
      </c>
      <c r="P6" s="75" cm="1">
        <f t="array" aca="1" ref="P6" ca="1">INDIRECT("'Python Impact of Optimization'!S" &amp; 5 + (ROW(A2)-1)*4)*100</f>
        <v>15.463721195962663</v>
      </c>
      <c r="Q6" s="75">
        <v>2.8719490663203402E-11</v>
      </c>
      <c r="R6" s="75" t="s">
        <v>186</v>
      </c>
      <c r="S6" s="75" cm="1">
        <f t="array" aca="1" ref="S6" ca="1">INDIRECT("'Python Impact of Optimization'!R" &amp; 5 + (ROW(A2)-1)*4)</f>
        <v>305870.75</v>
      </c>
      <c r="T6" s="75" cm="1">
        <f t="array" aca="1" ref="T6" ca="1">INDIRECT("'Python Impact of Optimization'!R" &amp; 6 + (ROW(A2)-1)*4)</f>
        <v>375117.81</v>
      </c>
      <c r="U6" s="75" cm="1">
        <f t="array" aca="1" ref="U6" ca="1">INDIRECT("'Python Impact of Optimization'!V" &amp; 5 + (ROW(A2)-1)*4)*100</f>
        <v>22.639320693462842</v>
      </c>
      <c r="V6" s="75">
        <v>2.8719490663203402E-11</v>
      </c>
      <c r="W6" s="75" t="s">
        <v>186</v>
      </c>
      <c r="X6" s="75">
        <f t="shared" ref="X6:X30" ca="1" si="0">AVERAGE(J6,U6)</f>
        <v>21.787022677561936</v>
      </c>
      <c r="Z6" s="54" t="s">
        <v>161</v>
      </c>
      <c r="AA6" s="29" t="str" cm="1">
        <f t="array" aca="1" ref="AA6" ca="1">_xlfn.TEXTJOIN(", ", TRUE, IF(J5:J30 &lt;= -75, B5:B30, ""))</f>
        <v/>
      </c>
      <c r="AC6" s="54" t="s">
        <v>161</v>
      </c>
      <c r="AD6" s="29" t="str" cm="1">
        <f t="array" aca="1" ref="AD6" ca="1">_xlfn.TEXTJOIN(", ", TRUE, IF(U5:U30 &lt;= -75, M5:M30, ""))</f>
        <v/>
      </c>
    </row>
    <row r="7" spans="2:30" x14ac:dyDescent="0.25">
      <c r="B7" s="77" t="s">
        <v>158</v>
      </c>
      <c r="C7" s="75" cm="1">
        <f t="array" aca="1" ref="C7" ca="1">INDIRECT("'Python Impact of Optimization'!F" &amp; 3 + (ROW(A3)-1)*4)</f>
        <v>22.041</v>
      </c>
      <c r="D7" s="75" cm="1">
        <f t="array" aca="1" ref="D7" ca="1">INDIRECT("'Python Impact of Optimization'!F" &amp; 4 + (ROW(A3)-1)*4)</f>
        <v>19.504999999999999</v>
      </c>
      <c r="E7" s="75" cm="1">
        <f t="array" aca="1" ref="E7" ca="1">INDIRECT("'Python Impact of Optimization'!S" &amp; 3 + (ROW(A3)-1)*4)*100</f>
        <v>-11.505830044008897</v>
      </c>
      <c r="F7" s="75">
        <v>2.8719490663203402E-11</v>
      </c>
      <c r="G7" s="78" t="s">
        <v>186</v>
      </c>
      <c r="H7" s="75" cm="1">
        <f t="array" aca="1" ref="H7" ca="1">INDIRECT("'Python Impact of Optimization'!R" &amp; 3 + (ROW(A3)-1)*4)</f>
        <v>1418.5587599999999</v>
      </c>
      <c r="I7" s="75" cm="1">
        <f t="array" aca="1" ref="I7" ca="1">INDIRECT("'Python Impact of Optimization'!R" &amp; 4 + (ROW(A3)-1)*4)</f>
        <v>1191.95055</v>
      </c>
      <c r="J7" s="75" cm="1">
        <f t="array" aca="1" ref="J7" ca="1">INDIRECT("'Python Impact of Optimization'!V" &amp; 3 + (ROW(A3)-1)*4)*100</f>
        <v>-15.974538129107877</v>
      </c>
      <c r="K7" s="75">
        <v>2.8719490663203402E-11</v>
      </c>
      <c r="L7" s="75" t="s">
        <v>186</v>
      </c>
      <c r="M7" s="79" t="s">
        <v>158</v>
      </c>
      <c r="N7" s="75" cm="1">
        <f t="array" aca="1" ref="N7" ca="1">INDIRECT("'Python Impact of Optimization'!F" &amp; 5 + (ROW(A3)-1)*4)</f>
        <v>15.282999999999999</v>
      </c>
      <c r="O7" s="75" cm="1">
        <f t="array" aca="1" ref="O7" ca="1">INDIRECT("'Python Impact of Optimization'!F" &amp; 6 + (ROW(A3)-1)*4)</f>
        <v>11.724</v>
      </c>
      <c r="P7" s="75" cm="1">
        <f t="array" aca="1" ref="P7" ca="1">INDIRECT("'Python Impact of Optimization'!S" &amp; 5 + (ROW(A3)-1)*4)*100</f>
        <v>-23.287312700386046</v>
      </c>
      <c r="Q7" s="75">
        <v>2.8719490663203402E-11</v>
      </c>
      <c r="R7" s="75" t="s">
        <v>186</v>
      </c>
      <c r="S7" s="75" cm="1">
        <f t="array" aca="1" ref="S7" ca="1">INDIRECT("'Python Impact of Optimization'!R" &amp; 5 + (ROW(A3)-1)*4)</f>
        <v>974.13842</v>
      </c>
      <c r="T7" s="75" cm="1">
        <f t="array" aca="1" ref="T7" ca="1">INDIRECT("'Python Impact of Optimization'!R" &amp; 6 + (ROW(A3)-1)*4)</f>
        <v>687.37812000000008</v>
      </c>
      <c r="U7" s="75" cm="1">
        <f t="array" aca="1" ref="U7" ca="1">INDIRECT("'Python Impact of Optimization'!V" &amp; 5 + (ROW(A3)-1)*4)*100</f>
        <v>-29.437325754998955</v>
      </c>
      <c r="V7" s="75">
        <v>2.8719490663203402E-11</v>
      </c>
      <c r="W7" s="75" t="s">
        <v>186</v>
      </c>
      <c r="X7" s="75">
        <f t="shared" ca="1" si="0"/>
        <v>-22.705931942053418</v>
      </c>
      <c r="Z7" s="55" t="s">
        <v>162</v>
      </c>
      <c r="AA7" s="29" t="str" cm="1">
        <f t="array" aca="1" ref="AA7" ca="1">_xlfn.TEXTJOIN(", ", TRUE, IF((J5:J30 &gt; -75) * (J5:J30 &lt;= -25), B5:B30, ""))</f>
        <v>T8, T9, T10, T11, T12, T13, T16, T17, T29, T32, T33, T36, T40, T44</v>
      </c>
      <c r="AC7" s="55" t="s">
        <v>162</v>
      </c>
      <c r="AD7" s="29" t="str" cm="1">
        <f t="array" aca="1" ref="AD7" ca="1">_xlfn.TEXTJOIN(", ", TRUE, IF((U5:U30 &gt; -75) * (U5:U30 &lt;= -25), M5:M30, ""))</f>
        <v>T7, T9, T10, T12, T13, T16, T17, T29, T32, T33, T36, T44</v>
      </c>
    </row>
    <row r="8" spans="2:30" x14ac:dyDescent="0.25">
      <c r="B8" s="77" t="s">
        <v>160</v>
      </c>
      <c r="C8" s="75" cm="1">
        <f t="array" aca="1" ref="C8" ca="1">INDIRECT("'Python Impact of Optimization'!F" &amp; 3 + (ROW(A4)-1)*4)</f>
        <v>24.632000000000001</v>
      </c>
      <c r="D8" s="75" cm="1">
        <f t="array" aca="1" ref="D8" ca="1">INDIRECT("'Python Impact of Optimization'!F" &amp; 4 + (ROW(A4)-1)*4)</f>
        <v>18.050999999999998</v>
      </c>
      <c r="E8" s="75" cm="1">
        <f t="array" aca="1" ref="E8" ca="1">INDIRECT("'Python Impact of Optimization'!S" &amp; 3 + (ROW(A4)-1)*4)*100</f>
        <v>-26.717278337122451</v>
      </c>
      <c r="F8" s="75">
        <v>2.8719490663203402E-11</v>
      </c>
      <c r="G8" s="78" t="s">
        <v>186</v>
      </c>
      <c r="H8" s="75" cm="1">
        <f t="array" aca="1" ref="H8" ca="1">INDIRECT("'Python Impact of Optimization'!R" &amp; 3 + (ROW(A4)-1)*4)</f>
        <v>1353.7747199999999</v>
      </c>
      <c r="I8" s="75" cm="1">
        <f t="array" aca="1" ref="I8" ca="1">INDIRECT("'Python Impact of Optimization'!R" &amp; 4 + (ROW(A4)-1)*4)</f>
        <v>990.27785999999992</v>
      </c>
      <c r="J8" s="75" cm="1">
        <f t="array" aca="1" ref="J8" ca="1">INDIRECT("'Python Impact of Optimization'!V" &amp; 3 + (ROW(A4)-1)*4)*100</f>
        <v>-26.850616622535245</v>
      </c>
      <c r="K8" s="75">
        <v>2.8719490663203402E-11</v>
      </c>
      <c r="L8" s="75" t="s">
        <v>186</v>
      </c>
      <c r="M8" s="79" t="s">
        <v>160</v>
      </c>
      <c r="N8" s="75" cm="1">
        <f t="array" aca="1" ref="N8" ca="1">INDIRECT("'Python Impact of Optimization'!F" &amp; 5 + (ROW(A4)-1)*4)</f>
        <v>7.2549999999999999</v>
      </c>
      <c r="O8" s="75" cm="1">
        <f t="array" aca="1" ref="O8" ca="1">INDIRECT("'Python Impact of Optimization'!F" &amp; 6 + (ROW(A4)-1)*4)</f>
        <v>8.3070000000000004</v>
      </c>
      <c r="P8" s="75" cm="1">
        <f t="array" aca="1" ref="P8" ca="1">INDIRECT("'Python Impact of Optimization'!S" &amp; 5 + (ROW(A4)-1)*4)*100</f>
        <v>14.500344589937979</v>
      </c>
      <c r="Q8" s="75">
        <v>3.3436436615067244E-9</v>
      </c>
      <c r="R8" s="75" t="s">
        <v>186</v>
      </c>
      <c r="S8" s="75" cm="1">
        <f t="array" aca="1" ref="S8" ca="1">INDIRECT("'Python Impact of Optimization'!R" &amp; 5 + (ROW(A4)-1)*4)</f>
        <v>410.41534999999999</v>
      </c>
      <c r="T8" s="75" cm="1">
        <f t="array" aca="1" ref="T8" ca="1">INDIRECT("'Python Impact of Optimization'!R" &amp; 6 + (ROW(A4)-1)*4)</f>
        <v>473.66514000000012</v>
      </c>
      <c r="U8" s="75" cm="1">
        <f t="array" aca="1" ref="U8" ca="1">INDIRECT("'Python Impact of Optimization'!V" &amp; 5 + (ROW(A4)-1)*4)*100</f>
        <v>15.411165786075042</v>
      </c>
      <c r="V8" s="75">
        <v>4.4029951679875587E-10</v>
      </c>
      <c r="W8" s="75" t="s">
        <v>186</v>
      </c>
      <c r="X8" s="75">
        <f t="shared" ca="1" si="0"/>
        <v>-5.7197254182301016</v>
      </c>
      <c r="Z8" s="56" t="s">
        <v>167</v>
      </c>
      <c r="AA8" s="29" t="str" cm="1">
        <f t="array" aca="1" ref="AA8" ca="1">_xlfn.TEXTJOIN(", ", TRUE, IF((J5:J30 &gt; -25) * (J5:J30 &lt;= -3), B5:B30, ""))</f>
        <v>T7, T19, T20, T25, T26, T28, T49, T50</v>
      </c>
      <c r="AC8" s="56" t="s">
        <v>167</v>
      </c>
      <c r="AD8" s="29" t="str" cm="1">
        <f t="array" aca="1" ref="AD8" ca="1">_xlfn.TEXTJOIN(", ", TRUE, IF((U5:U30 &gt; -25) * (U5:U30 &lt;= -3), M5:M30, ""))</f>
        <v>T4, T11, T19, T25, T28, T50</v>
      </c>
    </row>
    <row r="9" spans="2:30" x14ac:dyDescent="0.25">
      <c r="B9" s="77" t="s">
        <v>159</v>
      </c>
      <c r="C9" s="75" cm="1">
        <f t="array" aca="1" ref="C9" ca="1">INDIRECT("'Python Impact of Optimization'!F" &amp; 3 + (ROW(A5)-1)*4)</f>
        <v>5.9340000000000002</v>
      </c>
      <c r="D9" s="75" cm="1">
        <f t="array" aca="1" ref="D9" ca="1">INDIRECT("'Python Impact of Optimization'!F" &amp; 4 + (ROW(A5)-1)*4)</f>
        <v>2.7749999999999999</v>
      </c>
      <c r="E9" s="75" cm="1">
        <f t="array" aca="1" ref="E9" ca="1">INDIRECT("'Python Impact of Optimization'!S" &amp; 3 + (ROW(A5)-1)*4)*100</f>
        <v>-53.235591506572298</v>
      </c>
      <c r="F9" s="75">
        <v>2.8719490663203402E-11</v>
      </c>
      <c r="G9" s="78" t="s">
        <v>186</v>
      </c>
      <c r="H9" s="75" cm="1">
        <f t="array" aca="1" ref="H9" ca="1">INDIRECT("'Python Impact of Optimization'!R" &amp; 3 + (ROW(A5)-1)*4)</f>
        <v>373.48595999999998</v>
      </c>
      <c r="I9" s="75" cm="1">
        <f t="array" aca="1" ref="I9" ca="1">INDIRECT("'Python Impact of Optimization'!R" &amp; 4 + (ROW(A5)-1)*4)</f>
        <v>166.27799999999999</v>
      </c>
      <c r="J9" s="75" cm="1">
        <f t="array" aca="1" ref="J9" ca="1">INDIRECT("'Python Impact of Optimization'!V" &amp; 3 + (ROW(A5)-1)*4)*100</f>
        <v>-55.479450954461583</v>
      </c>
      <c r="K9" s="75">
        <v>2.8719490663203402E-11</v>
      </c>
      <c r="L9" s="75" t="s">
        <v>186</v>
      </c>
      <c r="M9" s="79" t="s">
        <v>159</v>
      </c>
      <c r="N9" s="75" cm="1">
        <f t="array" aca="1" ref="N9" ca="1">INDIRECT("'Python Impact of Optimization'!F" &amp; 5 + (ROW(A5)-1)*4)</f>
        <v>4.4550000000000001</v>
      </c>
      <c r="O9" s="75" cm="1">
        <f t="array" aca="1" ref="O9" ca="1">INDIRECT("'Python Impact of Optimization'!F" &amp; 6 + (ROW(A5)-1)*4)</f>
        <v>2.1030000000000002</v>
      </c>
      <c r="P9" s="75" cm="1">
        <f t="array" aca="1" ref="P9" ca="1">INDIRECT("'Python Impact of Optimization'!S" &amp; 5 + (ROW(A5)-1)*4)*100</f>
        <v>-52.794612794612796</v>
      </c>
      <c r="Q9" s="75">
        <v>2.8719490663203402E-11</v>
      </c>
      <c r="R9" s="75" t="s">
        <v>186</v>
      </c>
      <c r="S9" s="75" cm="1">
        <f t="array" aca="1" ref="S9" ca="1">INDIRECT("'Python Impact of Optimization'!R" &amp; 5 + (ROW(A5)-1)*4)</f>
        <v>271.62135000000001</v>
      </c>
      <c r="T9" s="75" cm="1">
        <f t="array" aca="1" ref="T9" ca="1">INDIRECT("'Python Impact of Optimization'!R" &amp; 6 + (ROW(A5)-1)*4)</f>
        <v>123.19374000000001</v>
      </c>
      <c r="U9" s="75" cm="1">
        <f t="array" aca="1" ref="U9" ca="1">INDIRECT("'Python Impact of Optimization'!V" &amp; 5 + (ROW(A5)-1)*4)*100</f>
        <v>-54.645045391314049</v>
      </c>
      <c r="V9" s="75">
        <v>2.8719490663203402E-11</v>
      </c>
      <c r="W9" s="75" t="s">
        <v>186</v>
      </c>
      <c r="X9" s="75">
        <f t="shared" ca="1" si="0"/>
        <v>-55.06224817288782</v>
      </c>
      <c r="Z9" s="57" t="s">
        <v>163</v>
      </c>
      <c r="AA9" s="29" t="str" cm="1">
        <f t="array" aca="1" ref="AA9" ca="1">_xlfn.TEXTJOIN(", ", TRUE, IF((J5:J30 &gt; -3) * (J5:J30 &lt; 3), B5:B30, ""))</f>
        <v/>
      </c>
      <c r="AC9" s="57" t="s">
        <v>163</v>
      </c>
      <c r="AD9" s="29" t="str" cm="1">
        <f t="array" aca="1" ref="AD9" ca="1">_xlfn.TEXTJOIN(", ", TRUE, IF((U5:U30 &gt; -3) * (U5:U30 &lt; 3), M5:M30, ""))</f>
        <v>T26, T49</v>
      </c>
    </row>
    <row r="10" spans="2:30" x14ac:dyDescent="0.25">
      <c r="B10" s="77" t="s">
        <v>19</v>
      </c>
      <c r="C10" s="75" cm="1">
        <f t="array" aca="1" ref="C10" ca="1">INDIRECT("'Python Impact of Optimization'!F" &amp; 3 + (ROW(A6)-1)*4)</f>
        <v>24.492000000000001</v>
      </c>
      <c r="D10" s="75" cm="1">
        <f t="array" aca="1" ref="D10" ca="1">INDIRECT("'Python Impact of Optimization'!F" &amp; 4 + (ROW(A6)-1)*4)</f>
        <v>13.214</v>
      </c>
      <c r="E10" s="75" cm="1">
        <f t="array" aca="1" ref="E10" ca="1">INDIRECT("'Python Impact of Optimization'!S" &amp; 3 + (ROW(A6)-1)*4)*100</f>
        <v>-46.047689041319614</v>
      </c>
      <c r="F10" s="75">
        <v>2.8719490663203402E-11</v>
      </c>
      <c r="G10" s="78" t="s">
        <v>186</v>
      </c>
      <c r="H10" s="75" cm="1">
        <f t="array" aca="1" ref="H10" ca="1">INDIRECT("'Python Impact of Optimization'!R" &amp; 3 + (ROW(A6)-1)*4)</f>
        <v>1701.70416</v>
      </c>
      <c r="I10" s="75" cm="1">
        <f t="array" aca="1" ref="I10" ca="1">INDIRECT("'Python Impact of Optimization'!R" &amp; 4 + (ROW(A6)-1)*4)</f>
        <v>905.95184000000006</v>
      </c>
      <c r="J10" s="75" cm="1">
        <f t="array" aca="1" ref="J10" ca="1">INDIRECT("'Python Impact of Optimization'!V" &amp; 3 + (ROW(A6)-1)*4)*100</f>
        <v>-46.76208348694405</v>
      </c>
      <c r="K10" s="75">
        <v>2.8719490663203402E-11</v>
      </c>
      <c r="L10" s="75" t="s">
        <v>186</v>
      </c>
      <c r="M10" s="79" t="s">
        <v>19</v>
      </c>
      <c r="N10" s="75" cm="1">
        <f t="array" aca="1" ref="N10" ca="1">INDIRECT("'Python Impact of Optimization'!F" &amp; 5 + (ROW(A6)-1)*4)</f>
        <v>12.337</v>
      </c>
      <c r="O10" s="75" cm="1">
        <f t="array" aca="1" ref="O10" ca="1">INDIRECT("'Python Impact of Optimization'!F" &amp; 6 + (ROW(A6)-1)*4)</f>
        <v>4.5919999999999996</v>
      </c>
      <c r="P10" s="75" cm="1">
        <f t="array" aca="1" ref="P10" ca="1">INDIRECT("'Python Impact of Optimization'!S" &amp; 5 + (ROW(A6)-1)*4)*100</f>
        <v>-62.778633379265628</v>
      </c>
      <c r="Q10" s="75">
        <v>2.8719490663203402E-11</v>
      </c>
      <c r="R10" s="75" t="s">
        <v>186</v>
      </c>
      <c r="S10" s="75" cm="1">
        <f t="array" aca="1" ref="S10" ca="1">INDIRECT("'Python Impact of Optimization'!R" &amp; 5 + (ROW(A6)-1)*4)</f>
        <v>813.74851999999987</v>
      </c>
      <c r="T10" s="75" cm="1">
        <f t="array" aca="1" ref="T10" ca="1">INDIRECT("'Python Impact of Optimization'!R" &amp; 6 + (ROW(A6)-1)*4)</f>
        <v>275.79552000000001</v>
      </c>
      <c r="U10" s="75" cm="1">
        <f t="array" aca="1" ref="U10" ca="1">INDIRECT("'Python Impact of Optimization'!V" &amp; 5 + (ROW(A6)-1)*4)*100</f>
        <v>-66.108015778633913</v>
      </c>
      <c r="V10" s="75">
        <v>2.8719490663203402E-11</v>
      </c>
      <c r="W10" s="75" t="s">
        <v>186</v>
      </c>
      <c r="X10" s="75">
        <f t="shared" ca="1" si="0"/>
        <v>-56.435049632788981</v>
      </c>
      <c r="Z10" s="58" t="s">
        <v>164</v>
      </c>
      <c r="AA10" s="29" t="str" cm="1">
        <f t="array" aca="1" ref="AA10" ca="1">_xlfn.TEXTJOIN(", ", TRUE, IF((J5:J30 &gt;= 3) * (J5:J30 &lt; 25), B5:B30, ""))</f>
        <v>T5</v>
      </c>
      <c r="AC10" s="58" t="s">
        <v>164</v>
      </c>
      <c r="AD10" s="29" t="str" cm="1">
        <f t="array" aca="1" ref="AD10" ca="1">_xlfn.TEXTJOIN(", ", TRUE, IF((U5:U30 &gt;= 3) * (U5:U30 &lt; 25), M5:M30, ""))</f>
        <v>T5, T8, T20, T40</v>
      </c>
    </row>
    <row r="11" spans="2:30" x14ac:dyDescent="0.25">
      <c r="B11" s="77" t="s">
        <v>21</v>
      </c>
      <c r="C11" s="75" cm="1">
        <f t="array" aca="1" ref="C11" ca="1">INDIRECT("'Python Impact of Optimization'!F" &amp; 3 + (ROW(A7)-1)*4)</f>
        <v>44.048999999999999</v>
      </c>
      <c r="D11" s="75" cm="1">
        <f t="array" aca="1" ref="D11" ca="1">INDIRECT("'Python Impact of Optimization'!F" &amp; 4 + (ROW(A7)-1)*4)</f>
        <v>29.234999999999999</v>
      </c>
      <c r="E11" s="75" cm="1">
        <f t="array" aca="1" ref="E11" ca="1">INDIRECT("'Python Impact of Optimization'!S" &amp; 3 + (ROW(A7)-1)*4)*100</f>
        <v>-33.630729414969693</v>
      </c>
      <c r="F11" s="75">
        <v>2.8719490663203402E-11</v>
      </c>
      <c r="G11" s="78" t="s">
        <v>186</v>
      </c>
      <c r="H11" s="75" cm="1">
        <f t="array" aca="1" ref="H11" ca="1">INDIRECT("'Python Impact of Optimization'!R" &amp; 3 + (ROW(A7)-1)*4)</f>
        <v>2844.2439300000001</v>
      </c>
      <c r="I11" s="75" cm="1">
        <f t="array" aca="1" ref="I11" ca="1">INDIRECT("'Python Impact of Optimization'!R" &amp; 4 + (ROW(A7)-1)*4)</f>
        <v>1765.5016499999999</v>
      </c>
      <c r="J11" s="75" cm="1">
        <f t="array" aca="1" ref="J11" ca="1">INDIRECT("'Python Impact of Optimization'!V" &amp; 3 + (ROW(A7)-1)*4)*100</f>
        <v>-37.927206897475919</v>
      </c>
      <c r="K11" s="75">
        <v>2.8719490663203402E-11</v>
      </c>
      <c r="L11" s="75" t="s">
        <v>186</v>
      </c>
      <c r="M11" s="79" t="s">
        <v>21</v>
      </c>
      <c r="N11" s="75" cm="1">
        <f t="array" aca="1" ref="N11" ca="1">INDIRECT("'Python Impact of Optimization'!F" &amp; 5 + (ROW(A7)-1)*4)</f>
        <v>28.974</v>
      </c>
      <c r="O11" s="75" cm="1">
        <f t="array" aca="1" ref="O11" ca="1">INDIRECT("'Python Impact of Optimization'!F" &amp; 6 + (ROW(A7)-1)*4)</f>
        <v>26.346</v>
      </c>
      <c r="P11" s="75" cm="1">
        <f t="array" aca="1" ref="P11" ca="1">INDIRECT("'Python Impact of Optimization'!S" &amp; 5 + (ROW(A7)-1)*4)*100</f>
        <v>-9.0702008697452889</v>
      </c>
      <c r="Q11" s="75">
        <v>2.8719490663203402E-11</v>
      </c>
      <c r="R11" s="75" t="s">
        <v>186</v>
      </c>
      <c r="S11" s="75" cm="1">
        <f t="array" aca="1" ref="S11" ca="1">INDIRECT("'Python Impact of Optimization'!R" &amp; 5 + (ROW(A7)-1)*4)</f>
        <v>1853.7565199999999</v>
      </c>
      <c r="T11" s="75" cm="1">
        <f t="array" aca="1" ref="T11" ca="1">INDIRECT("'Python Impact of Optimization'!R" &amp; 6 + (ROW(A7)-1)*4)</f>
        <v>1659.798</v>
      </c>
      <c r="U11" s="75" cm="1">
        <f t="array" aca="1" ref="U11" ca="1">INDIRECT("'Python Impact of Optimization'!V" &amp; 5 + (ROW(A7)-1)*4)*100</f>
        <v>-10.462998668239338</v>
      </c>
      <c r="V11" s="75">
        <v>2.8719490663203402E-11</v>
      </c>
      <c r="W11" s="75" t="s">
        <v>186</v>
      </c>
      <c r="X11" s="75">
        <f t="shared" ca="1" si="0"/>
        <v>-24.195102782857628</v>
      </c>
      <c r="Z11" s="59" t="s">
        <v>165</v>
      </c>
      <c r="AA11" s="29" t="str" cm="1">
        <f t="array" aca="1" ref="AA11" ca="1">_xlfn.TEXTJOIN(", ", TRUE, IF((J5:J30 &gt;= 25) * (J5:J30 &lt; 75), B5:B30, ""))</f>
        <v>T4, T51</v>
      </c>
      <c r="AC11" s="59" t="s">
        <v>165</v>
      </c>
      <c r="AD11" s="29" t="str" cm="1">
        <f t="array" aca="1" ref="AD11" ca="1">_xlfn.TEXTJOIN(", ", TRUE, IF((U5:U30 &gt;= 25) * (U5:U30 &lt; 75), M5:M30, ""))</f>
        <v>T31, T51</v>
      </c>
    </row>
    <row r="12" spans="2:30" x14ac:dyDescent="0.25">
      <c r="B12" s="77" t="s">
        <v>23</v>
      </c>
      <c r="C12" s="75" cm="1">
        <f t="array" aca="1" ref="C12" ca="1">INDIRECT("'Python Impact of Optimization'!F" &amp; 3 + (ROW(A8)-1)*4)</f>
        <v>10.035</v>
      </c>
      <c r="D12" s="75" cm="1">
        <f t="array" aca="1" ref="D12" ca="1">INDIRECT("'Python Impact of Optimization'!F" &amp; 4 + (ROW(A8)-1)*4)</f>
        <v>5.0970000000000004</v>
      </c>
      <c r="E12" s="75" cm="1">
        <f t="array" aca="1" ref="E12" ca="1">INDIRECT("'Python Impact of Optimization'!S" &amp; 3 + (ROW(A8)-1)*4)*100</f>
        <v>-49.207772795216734</v>
      </c>
      <c r="F12" s="75">
        <v>2.8719490663203402E-11</v>
      </c>
      <c r="G12" s="78" t="s">
        <v>186</v>
      </c>
      <c r="H12" s="75" cm="1">
        <f t="array" aca="1" ref="H12" ca="1">INDIRECT("'Python Impact of Optimization'!R" &amp; 3 + (ROW(A8)-1)*4)</f>
        <v>575.60760000000005</v>
      </c>
      <c r="I12" s="75" cm="1">
        <f t="array" aca="1" ref="I12" ca="1">INDIRECT("'Python Impact of Optimization'!R" &amp; 4 + (ROW(A8)-1)*4)</f>
        <v>292.66973999999999</v>
      </c>
      <c r="J12" s="75" cm="1">
        <f t="array" aca="1" ref="J12" ca="1">INDIRECT("'Python Impact of Optimization'!V" &amp; 3 + (ROW(A8)-1)*4)*100</f>
        <v>-49.154642850441874</v>
      </c>
      <c r="K12" s="75">
        <v>2.8719490663203402E-11</v>
      </c>
      <c r="L12" s="75" t="s">
        <v>186</v>
      </c>
      <c r="M12" s="79" t="s">
        <v>23</v>
      </c>
      <c r="N12" s="75" cm="1">
        <f t="array" aca="1" ref="N12" ca="1">INDIRECT("'Python Impact of Optimization'!F" &amp; 5 + (ROW(A8)-1)*4)</f>
        <v>8.2349999999999994</v>
      </c>
      <c r="O12" s="75" cm="1">
        <f t="array" aca="1" ref="O12" ca="1">INDIRECT("'Python Impact of Optimization'!F" &amp; 6 + (ROW(A8)-1)*4)</f>
        <v>4.2759999999999998</v>
      </c>
      <c r="P12" s="75" cm="1">
        <f t="array" aca="1" ref="P12" ca="1">INDIRECT("'Python Impact of Optimization'!S" &amp; 5 + (ROW(A8)-1)*4)*100</f>
        <v>-48.075288403157259</v>
      </c>
      <c r="Q12" s="75">
        <v>2.8719490663203402E-11</v>
      </c>
      <c r="R12" s="75" t="s">
        <v>186</v>
      </c>
      <c r="S12" s="75" cm="1">
        <f t="array" aca="1" ref="S12" ca="1">INDIRECT("'Python Impact of Optimization'!R" &amp; 5 + (ROW(A8)-1)*4)</f>
        <v>477.79469999999998</v>
      </c>
      <c r="T12" s="75" cm="1">
        <f t="array" aca="1" ref="T12" ca="1">INDIRECT("'Python Impact of Optimization'!R" &amp; 6 + (ROW(A8)-1)*4)</f>
        <v>244.54444000000001</v>
      </c>
      <c r="U12" s="75" cm="1">
        <f t="array" aca="1" ref="U12" ca="1">INDIRECT("'Python Impact of Optimization'!V" &amp; 5 + (ROW(A8)-1)*4)*100</f>
        <v>-48.818092791736703</v>
      </c>
      <c r="V12" s="75">
        <v>2.8719490663203402E-11</v>
      </c>
      <c r="W12" s="75" t="s">
        <v>186</v>
      </c>
      <c r="X12" s="75">
        <f t="shared" ca="1" si="0"/>
        <v>-48.986367821089289</v>
      </c>
      <c r="Z12" s="60" t="s">
        <v>166</v>
      </c>
      <c r="AA12" s="38" t="str" cm="1">
        <f t="array" aca="1" ref="AA12" ca="1">_xlfn.TEXTJOIN(", ", TRUE, IF(J5:J30 &gt;= 75, B5:B30, ""))</f>
        <v>T31</v>
      </c>
      <c r="AC12" s="60" t="s">
        <v>166</v>
      </c>
      <c r="AD12" s="38" t="str" cm="1">
        <f t="array" aca="1" ref="AD12" ca="1">_xlfn.TEXTJOIN(", ", TRUE, IF(U5:U30 &gt;= 75, M5:M30, ""))</f>
        <v/>
      </c>
    </row>
    <row r="13" spans="2:30" x14ac:dyDescent="0.25">
      <c r="B13" s="77" t="s">
        <v>25</v>
      </c>
      <c r="C13" s="75" cm="1">
        <f t="array" aca="1" ref="C13" ca="1">INDIRECT("'Python Impact of Optimization'!F" &amp; 3 + (ROW(A9)-1)*4)</f>
        <v>234.32</v>
      </c>
      <c r="D13" s="75" cm="1">
        <f t="array" aca="1" ref="D13" ca="1">INDIRECT("'Python Impact of Optimization'!F" &amp; 4 + (ROW(A9)-1)*4)</f>
        <v>99.337999999999994</v>
      </c>
      <c r="E13" s="75" cm="1">
        <f t="array" aca="1" ref="E13" ca="1">INDIRECT("'Python Impact of Optimization'!S" &amp; 3 + (ROW(A9)-1)*4)*100</f>
        <v>-57.605838170023901</v>
      </c>
      <c r="F13" s="75">
        <v>2.8719490663203402E-11</v>
      </c>
      <c r="G13" s="78" t="s">
        <v>186</v>
      </c>
      <c r="H13" s="75" cm="1">
        <f t="array" aca="1" ref="H13" ca="1">INDIRECT("'Python Impact of Optimization'!R" &amp; 3 + (ROW(A9)-1)*4)</f>
        <v>15146.444799999999</v>
      </c>
      <c r="I13" s="75" cm="1">
        <f t="array" aca="1" ref="I13" ca="1">INDIRECT("'Python Impact of Optimization'!R" &amp; 4 + (ROW(A9)-1)*4)</f>
        <v>5965.2468999999992</v>
      </c>
      <c r="J13" s="75" cm="1">
        <f t="array" aca="1" ref="J13" ca="1">INDIRECT("'Python Impact of Optimization'!V" &amp; 3 + (ROW(A9)-1)*4)*100</f>
        <v>-60.616190936106662</v>
      </c>
      <c r="K13" s="75">
        <v>2.8719490663203402E-11</v>
      </c>
      <c r="L13" s="75" t="s">
        <v>186</v>
      </c>
      <c r="M13" s="79" t="s">
        <v>25</v>
      </c>
      <c r="N13" s="75" cm="1">
        <f t="array" aca="1" ref="N13" ca="1">INDIRECT("'Python Impact of Optimization'!F" &amp; 5 + (ROW(A9)-1)*4)</f>
        <v>192.81399999999999</v>
      </c>
      <c r="O13" s="75" cm="1">
        <f t="array" aca="1" ref="O13" ca="1">INDIRECT("'Python Impact of Optimization'!F" &amp; 6 + (ROW(A9)-1)*4)</f>
        <v>103.092</v>
      </c>
      <c r="P13" s="75" cm="1">
        <f t="array" aca="1" ref="P13" ca="1">INDIRECT("'Python Impact of Optimization'!S" &amp; 5 + (ROW(A9)-1)*4)*100</f>
        <v>-46.532928106880206</v>
      </c>
      <c r="Q13" s="75">
        <v>2.8719490663203402E-11</v>
      </c>
      <c r="R13" s="75" t="s">
        <v>186</v>
      </c>
      <c r="S13" s="75" cm="1">
        <f t="array" aca="1" ref="S13" ca="1">INDIRECT("'Python Impact of Optimization'!R" &amp; 5 + (ROW(A9)-1)*4)</f>
        <v>12054.73128</v>
      </c>
      <c r="T13" s="75" cm="1">
        <f t="array" aca="1" ref="T13" ca="1">INDIRECT("'Python Impact of Optimization'!R" &amp; 6 + (ROW(A9)-1)*4)</f>
        <v>6035.0056800000002</v>
      </c>
      <c r="U13" s="75" cm="1">
        <f t="array" aca="1" ref="U13" ca="1">INDIRECT("'Python Impact of Optimization'!V" &amp; 5 + (ROW(A9)-1)*4)*100</f>
        <v>-49.936622062968119</v>
      </c>
      <c r="V13" s="75">
        <v>2.8719490663203402E-11</v>
      </c>
      <c r="W13" s="75" t="s">
        <v>186</v>
      </c>
      <c r="X13" s="75">
        <f t="shared" ca="1" si="0"/>
        <v>-55.276406499537387</v>
      </c>
    </row>
    <row r="14" spans="2:30" x14ac:dyDescent="0.25">
      <c r="B14" s="77" t="s">
        <v>31</v>
      </c>
      <c r="C14" s="75" cm="1">
        <f t="array" aca="1" ref="C14" ca="1">INDIRECT("'Python Impact of Optimization'!F" &amp; 3 + (ROW(A10)-1)*4)</f>
        <v>8.7789999999999999</v>
      </c>
      <c r="D14" s="75" cm="1">
        <f t="array" aca="1" ref="D14" ca="1">INDIRECT("'Python Impact of Optimization'!F" &amp; 4 + (ROW(A10)-1)*4)</f>
        <v>4.3979999999999997</v>
      </c>
      <c r="E14" s="75" cm="1">
        <f t="array" aca="1" ref="E14" ca="1">INDIRECT("'Python Impact of Optimization'!S" &amp; 3 + (ROW(A10)-1)*4)*100</f>
        <v>-49.903178038500975</v>
      </c>
      <c r="F14" s="75">
        <v>2.8719490663203402E-11</v>
      </c>
      <c r="G14" s="78" t="s">
        <v>186</v>
      </c>
      <c r="H14" s="75" cm="1">
        <f t="array" aca="1" ref="H14" ca="1">INDIRECT("'Python Impact of Optimization'!R" &amp; 3 + (ROW(A10)-1)*4)</f>
        <v>497.50592999999998</v>
      </c>
      <c r="I14" s="75" cm="1">
        <f t="array" aca="1" ref="I14" ca="1">INDIRECT("'Python Impact of Optimization'!R" &amp; 4 + (ROW(A10)-1)*4)</f>
        <v>249.93834000000001</v>
      </c>
      <c r="J14" s="75" cm="1">
        <f t="array" aca="1" ref="J14" ca="1">INDIRECT("'Python Impact of Optimization'!V" &amp; 3 + (ROW(A10)-1)*4)*100</f>
        <v>-49.761736508346736</v>
      </c>
      <c r="K14" s="75">
        <v>2.8719490663203402E-11</v>
      </c>
      <c r="L14" s="75" t="s">
        <v>186</v>
      </c>
      <c r="M14" s="79" t="s">
        <v>31</v>
      </c>
      <c r="N14" s="75" cm="1">
        <f t="array" aca="1" ref="N14" ca="1">INDIRECT("'Python Impact of Optimization'!F" &amp; 5 + (ROW(A10)-1)*4)</f>
        <v>8.0570000000000004</v>
      </c>
      <c r="O14" s="75" cm="1">
        <f t="array" aca="1" ref="O14" ca="1">INDIRECT("'Python Impact of Optimization'!F" &amp; 6 + (ROW(A10)-1)*4)</f>
        <v>4.0830000000000002</v>
      </c>
      <c r="P14" s="75" cm="1">
        <f t="array" aca="1" ref="P14" ca="1">INDIRECT("'Python Impact of Optimization'!S" &amp; 5 + (ROW(A10)-1)*4)*100</f>
        <v>-49.323569566836291</v>
      </c>
      <c r="Q14" s="75">
        <v>2.8719490663203402E-11</v>
      </c>
      <c r="R14" s="75" t="s">
        <v>186</v>
      </c>
      <c r="S14" s="75" cm="1">
        <f t="array" aca="1" ref="S14" ca="1">INDIRECT("'Python Impact of Optimization'!R" &amp; 5 + (ROW(A10)-1)*4)</f>
        <v>480.11662999999999</v>
      </c>
      <c r="T14" s="75" cm="1">
        <f t="array" aca="1" ref="T14" ca="1">INDIRECT("'Python Impact of Optimization'!R" &amp; 6 + (ROW(A10)-1)*4)</f>
        <v>236.07906</v>
      </c>
      <c r="U14" s="75" cm="1">
        <f t="array" aca="1" ref="U14" ca="1">INDIRECT("'Python Impact of Optimization'!V" &amp; 5 + (ROW(A10)-1)*4)*100</f>
        <v>-50.828810074752042</v>
      </c>
      <c r="V14" s="75">
        <v>2.8719490663203402E-11</v>
      </c>
      <c r="W14" s="75" t="s">
        <v>186</v>
      </c>
      <c r="X14" s="75">
        <f t="shared" ca="1" si="0"/>
        <v>-50.295273291549393</v>
      </c>
    </row>
    <row r="15" spans="2:30" x14ac:dyDescent="0.25">
      <c r="B15" s="77" t="s">
        <v>33</v>
      </c>
      <c r="C15" s="75" cm="1">
        <f t="array" aca="1" ref="C15" ca="1">INDIRECT("'Python Impact of Optimization'!F" &amp; 3 + (ROW(A11)-1)*4)</f>
        <v>8.4120000000000008</v>
      </c>
      <c r="D15" s="75" cm="1">
        <f t="array" aca="1" ref="D15" ca="1">INDIRECT("'Python Impact of Optimization'!F" &amp; 4 + (ROW(A11)-1)*4)</f>
        <v>4.3099999999999996</v>
      </c>
      <c r="E15" s="75" cm="1">
        <f t="array" aca="1" ref="E15" ca="1">INDIRECT("'Python Impact of Optimization'!S" &amp; 3 + (ROW(A11)-1)*4)*100</f>
        <v>-48.763670946267247</v>
      </c>
      <c r="F15" s="75">
        <v>2.8719490663203402E-11</v>
      </c>
      <c r="G15" s="78" t="s">
        <v>186</v>
      </c>
      <c r="H15" s="75" cm="1">
        <f t="array" aca="1" ref="H15" ca="1">INDIRECT("'Python Impact of Optimization'!R" &amp; 3 + (ROW(A11)-1)*4)</f>
        <v>487.05480000000011</v>
      </c>
      <c r="I15" s="75" cm="1">
        <f t="array" aca="1" ref="I15" ca="1">INDIRECT("'Python Impact of Optimization'!R" &amp; 4 + (ROW(A11)-1)*4)</f>
        <v>244.37700000000001</v>
      </c>
      <c r="J15" s="75" cm="1">
        <f t="array" aca="1" ref="J15" ca="1">INDIRECT("'Python Impact of Optimization'!V" &amp; 3 + (ROW(A11)-1)*4)*100</f>
        <v>-49.825563776396429</v>
      </c>
      <c r="K15" s="75">
        <v>2.8719490663203402E-11</v>
      </c>
      <c r="L15" s="75" t="s">
        <v>186</v>
      </c>
      <c r="M15" s="79" t="s">
        <v>33</v>
      </c>
      <c r="N15" s="75" cm="1">
        <f t="array" aca="1" ref="N15" ca="1">INDIRECT("'Python Impact of Optimization'!F" &amp; 5 + (ROW(A11)-1)*4)</f>
        <v>8.6690000000000005</v>
      </c>
      <c r="O15" s="75" cm="1">
        <f t="array" aca="1" ref="O15" ca="1">INDIRECT("'Python Impact of Optimization'!F" &amp; 6 + (ROW(A11)-1)*4)</f>
        <v>5.0819999999999999</v>
      </c>
      <c r="P15" s="75" cm="1">
        <f t="array" aca="1" ref="P15" ca="1">INDIRECT("'Python Impact of Optimization'!S" &amp; 5 + (ROW(A11)-1)*4)*100</f>
        <v>-41.377321490367983</v>
      </c>
      <c r="Q15" s="75">
        <v>2.8719490663203402E-11</v>
      </c>
      <c r="R15" s="75" t="s">
        <v>186</v>
      </c>
      <c r="S15" s="75" cm="1">
        <f t="array" aca="1" ref="S15" ca="1">INDIRECT("'Python Impact of Optimization'!R" &amp; 5 + (ROW(A11)-1)*4)</f>
        <v>510.77748000000003</v>
      </c>
      <c r="T15" s="75" cm="1">
        <f t="array" aca="1" ref="T15" ca="1">INDIRECT("'Python Impact of Optimization'!R" &amp; 6 + (ROW(A11)-1)*4)</f>
        <v>291.65598</v>
      </c>
      <c r="U15" s="75" cm="1">
        <f t="array" aca="1" ref="U15" ca="1">INDIRECT("'Python Impact of Optimization'!V" &amp; 5 + (ROW(A11)-1)*4)*100</f>
        <v>-42.899600820302418</v>
      </c>
      <c r="V15" s="75">
        <v>2.8719490663203402E-11</v>
      </c>
      <c r="W15" s="75" t="s">
        <v>186</v>
      </c>
      <c r="X15" s="75">
        <f t="shared" ca="1" si="0"/>
        <v>-46.362582298349423</v>
      </c>
    </row>
    <row r="16" spans="2:30" x14ac:dyDescent="0.25">
      <c r="B16" s="77" t="s">
        <v>37</v>
      </c>
      <c r="C16" s="75" cm="1">
        <f t="array" aca="1" ref="C16" ca="1">INDIRECT("'Python Impact of Optimization'!F" &amp; 3 + (ROW(A12)-1)*4)</f>
        <v>129.93700000000001</v>
      </c>
      <c r="D16" s="75" cm="1">
        <f t="array" aca="1" ref="D16" ca="1">INDIRECT("'Python Impact of Optimization'!F" &amp; 4 + (ROW(A12)-1)*4)</f>
        <v>124.295</v>
      </c>
      <c r="E16" s="75" cm="1">
        <f t="array" aca="1" ref="E16" ca="1">INDIRECT("'Python Impact of Optimization'!S" &amp; 3 + (ROW(A12)-1)*4)*100</f>
        <v>-4.3421042505214142</v>
      </c>
      <c r="F16" s="75">
        <v>2.4878739798152346E-10</v>
      </c>
      <c r="G16" s="78" t="s">
        <v>186</v>
      </c>
      <c r="H16" s="75" cm="1">
        <f t="array" aca="1" ref="H16" ca="1">INDIRECT("'Python Impact of Optimization'!R" &amp; 3 + (ROW(A12)-1)*4)</f>
        <v>7536.3459999999995</v>
      </c>
      <c r="I16" s="75" cm="1">
        <f t="array" aca="1" ref="I16" ca="1">INDIRECT("'Python Impact of Optimization'!R" &amp; 4 + (ROW(A12)-1)*4)</f>
        <v>7307.3030500000004</v>
      </c>
      <c r="J16" s="75" cm="1">
        <f t="array" aca="1" ref="J16" ca="1">INDIRECT("'Python Impact of Optimization'!V" &amp; 3 + (ROW(A12)-1)*4)*100</f>
        <v>-3.0391777394509107</v>
      </c>
      <c r="K16" s="75">
        <v>1.2857816253298126E-4</v>
      </c>
      <c r="L16" s="75" t="s">
        <v>215</v>
      </c>
      <c r="M16" s="79" t="s">
        <v>37</v>
      </c>
      <c r="N16" s="75" cm="1">
        <f t="array" aca="1" ref="N16" ca="1">INDIRECT("'Python Impact of Optimization'!F" &amp; 5 + (ROW(A12)-1)*4)</f>
        <v>133.52199999999999</v>
      </c>
      <c r="O16" s="75" cm="1">
        <f t="array" aca="1" ref="O16" ca="1">INDIRECT("'Python Impact of Optimization'!F" &amp; 6 + (ROW(A12)-1)*4)</f>
        <v>126.38500000000001</v>
      </c>
      <c r="P16" s="75" cm="1">
        <f t="array" aca="1" ref="P16" ca="1">INDIRECT("'Python Impact of Optimization'!S" &amp; 5 + (ROW(A12)-1)*4)*100</f>
        <v>-5.3451865610161517</v>
      </c>
      <c r="Q16" s="75">
        <v>5.8405694749894022E-10</v>
      </c>
      <c r="R16" s="75" t="s">
        <v>186</v>
      </c>
      <c r="S16" s="75" cm="1">
        <f t="array" aca="1" ref="S16" ca="1">INDIRECT("'Python Impact of Optimization'!R" &amp; 5 + (ROW(A12)-1)*4)</f>
        <v>7597.4017999999996</v>
      </c>
      <c r="T16" s="75" cm="1">
        <f t="array" aca="1" ref="T16" ca="1">INDIRECT("'Python Impact of Optimization'!R" &amp; 6 + (ROW(A12)-1)*4)</f>
        <v>7130.6417000000001</v>
      </c>
      <c r="U16" s="75" cm="1">
        <f t="array" aca="1" ref="U16" ca="1">INDIRECT("'Python Impact of Optimization'!V" &amp; 5 + (ROW(A12)-1)*4)*100</f>
        <v>-6.1436805935418546</v>
      </c>
      <c r="V16" s="75">
        <v>1.2555706904068767E-8</v>
      </c>
      <c r="W16" s="75" t="s">
        <v>186</v>
      </c>
      <c r="X16" s="75">
        <f t="shared" ca="1" si="0"/>
        <v>-4.5914291664963827</v>
      </c>
    </row>
    <row r="17" spans="2:24" x14ac:dyDescent="0.25">
      <c r="B17" s="77" t="s">
        <v>39</v>
      </c>
      <c r="C17" s="75" cm="1">
        <f t="array" aca="1" ref="C17" ca="1">INDIRECT("'Python Impact of Optimization'!F" &amp; 3 + (ROW(A13)-1)*4)</f>
        <v>69.477000000000004</v>
      </c>
      <c r="D17" s="75" cm="1">
        <f t="array" aca="1" ref="D17" ca="1">INDIRECT("'Python Impact of Optimization'!F" &amp; 4 + (ROW(A13)-1)*4)</f>
        <v>64.256</v>
      </c>
      <c r="E17" s="75" cm="1">
        <f t="array" aca="1" ref="E17" ca="1">INDIRECT("'Python Impact of Optimization'!S" &amp; 3 + (ROW(A13)-1)*4)*100</f>
        <v>-7.5147171006232334</v>
      </c>
      <c r="F17" s="75">
        <v>1.0415508881509587E-10</v>
      </c>
      <c r="G17" s="78" t="s">
        <v>186</v>
      </c>
      <c r="H17" s="75" cm="1">
        <f t="array" aca="1" ref="H17" ca="1">INDIRECT("'Python Impact of Optimization'!R" &amp; 3 + (ROW(A13)-1)*4)</f>
        <v>4629.2525100000003</v>
      </c>
      <c r="I17" s="75" cm="1">
        <f t="array" aca="1" ref="I17" ca="1">INDIRECT("'Python Impact of Optimization'!R" &amp; 4 + (ROW(A13)-1)*4)</f>
        <v>4117.52448</v>
      </c>
      <c r="J17" s="75" cm="1">
        <f t="array" aca="1" ref="J17" ca="1">INDIRECT("'Python Impact of Optimization'!V" &amp; 3 + (ROW(A13)-1)*4)*100</f>
        <v>-11.054225901364802</v>
      </c>
      <c r="K17" s="75">
        <v>3.1752172486680018E-11</v>
      </c>
      <c r="L17" s="75" t="s">
        <v>186</v>
      </c>
      <c r="M17" s="79" t="s">
        <v>39</v>
      </c>
      <c r="N17" s="75" cm="1">
        <f t="array" aca="1" ref="N17" ca="1">INDIRECT("'Python Impact of Optimization'!F" &amp; 5 + (ROW(A13)-1)*4)</f>
        <v>61.158999999999999</v>
      </c>
      <c r="O17" s="75" cm="1">
        <f t="array" aca="1" ref="O17" ca="1">INDIRECT("'Python Impact of Optimization'!F" &amp; 6 + (ROW(A13)-1)*4)</f>
        <v>68.841999999999999</v>
      </c>
      <c r="P17" s="75" cm="1">
        <f t="array" aca="1" ref="P17" ca="1">INDIRECT("'Python Impact of Optimization'!S" &amp; 5 + (ROW(A13)-1)*4)*100</f>
        <v>12.562337513693814</v>
      </c>
      <c r="Q17" s="75">
        <v>2.8719490663203402E-11</v>
      </c>
      <c r="R17" s="75" t="s">
        <v>186</v>
      </c>
      <c r="S17" s="75" cm="1">
        <f t="array" aca="1" ref="S17" ca="1">INDIRECT("'Python Impact of Optimization'!R" &amp; 5 + (ROW(A13)-1)*4)</f>
        <v>4196.7305800000004</v>
      </c>
      <c r="T17" s="75" cm="1">
        <f t="array" aca="1" ref="T17" ca="1">INDIRECT("'Python Impact of Optimization'!R" &amp; 6 + (ROW(A13)-1)*4)</f>
        <v>4723.2496199999996</v>
      </c>
      <c r="U17" s="75" cm="1">
        <f t="array" aca="1" ref="U17" ca="1">INDIRECT("'Python Impact of Optimization'!V" &amp; 5 + (ROW(A13)-1)*4)*100</f>
        <v>12.545933792109171</v>
      </c>
      <c r="V17" s="75">
        <v>2.8719490663203402E-11</v>
      </c>
      <c r="W17" s="75" t="s">
        <v>186</v>
      </c>
      <c r="X17" s="75">
        <f t="shared" ca="1" si="0"/>
        <v>0.74585394537218441</v>
      </c>
    </row>
    <row r="18" spans="2:24" x14ac:dyDescent="0.25">
      <c r="B18" s="77" t="s">
        <v>49</v>
      </c>
      <c r="C18" s="75" cm="1">
        <f t="array" aca="1" ref="C18" ca="1">INDIRECT("'Python Impact of Optimization'!F" &amp; 3 + (ROW(A14)-1)*4)</f>
        <v>180.571</v>
      </c>
      <c r="D18" s="75" cm="1">
        <f t="array" aca="1" ref="D18" ca="1">INDIRECT("'Python Impact of Optimization'!F" &amp; 4 + (ROW(A14)-1)*4)</f>
        <v>158.15899999999999</v>
      </c>
      <c r="E18" s="75" cm="1">
        <f t="array" aca="1" ref="E18" ca="1">INDIRECT("'Python Impact of Optimization'!S" &amp; 3 + (ROW(A14)-1)*4)*100</f>
        <v>-12.411738318999179</v>
      </c>
      <c r="F18" s="75">
        <v>2.8719490663203402E-11</v>
      </c>
      <c r="G18" s="78" t="s">
        <v>186</v>
      </c>
      <c r="H18" s="75" cm="1">
        <f t="array" aca="1" ref="H18" ca="1">INDIRECT("'Python Impact of Optimization'!R" &amp; 3 + (ROW(A14)-1)*4)</f>
        <v>10698.831749999999</v>
      </c>
      <c r="I18" s="75" cm="1">
        <f t="array" aca="1" ref="I18" ca="1">INDIRECT("'Python Impact of Optimization'!R" &amp; 4 + (ROW(A14)-1)*4)</f>
        <v>9532.2429300000003</v>
      </c>
      <c r="J18" s="75" cm="1">
        <f t="array" aca="1" ref="J18" ca="1">INDIRECT("'Python Impact of Optimization'!V" &amp; 3 + (ROW(A14)-1)*4)*100</f>
        <v>-10.903889763478139</v>
      </c>
      <c r="K18" s="75">
        <v>2.8719490663203402E-11</v>
      </c>
      <c r="L18" s="75" t="s">
        <v>186</v>
      </c>
      <c r="M18" s="79" t="s">
        <v>49</v>
      </c>
      <c r="N18" s="75" cm="1">
        <f t="array" aca="1" ref="N18" ca="1">INDIRECT("'Python Impact of Optimization'!F" &amp; 5 + (ROW(A14)-1)*4)</f>
        <v>169.465</v>
      </c>
      <c r="O18" s="75" cm="1">
        <f t="array" aca="1" ref="O18" ca="1">INDIRECT("'Python Impact of Optimization'!F" &amp; 6 + (ROW(A14)-1)*4)</f>
        <v>147.53299999999999</v>
      </c>
      <c r="P18" s="75" cm="1">
        <f t="array" aca="1" ref="P18" ca="1">INDIRECT("'Python Impact of Optimization'!S" &amp; 5 + (ROW(A14)-1)*4)*100</f>
        <v>-12.941905408196391</v>
      </c>
      <c r="Q18" s="75">
        <v>2.8719490663203402E-11</v>
      </c>
      <c r="R18" s="75" t="s">
        <v>186</v>
      </c>
      <c r="S18" s="75" cm="1">
        <f t="array" aca="1" ref="S18" ca="1">INDIRECT("'Python Impact of Optimization'!R" &amp; 5 + (ROW(A14)-1)*4)</f>
        <v>9962.84735</v>
      </c>
      <c r="T18" s="75" cm="1">
        <f t="array" aca="1" ref="T18" ca="1">INDIRECT("'Python Impact of Optimization'!R" &amp; 6 + (ROW(A14)-1)*4)</f>
        <v>8548.0620199999994</v>
      </c>
      <c r="U18" s="75" cm="1">
        <f t="array" aca="1" ref="U18" ca="1">INDIRECT("'Python Impact of Optimization'!V" &amp; 5 + (ROW(A14)-1)*4)*100</f>
        <v>-14.200612337997939</v>
      </c>
      <c r="V18" s="75">
        <v>2.8719490663203402E-11</v>
      </c>
      <c r="W18" s="75" t="s">
        <v>186</v>
      </c>
      <c r="X18" s="75">
        <f t="shared" ca="1" si="0"/>
        <v>-12.55225105073804</v>
      </c>
    </row>
    <row r="19" spans="2:24" x14ac:dyDescent="0.25">
      <c r="B19" s="77" t="s">
        <v>51</v>
      </c>
      <c r="C19" s="75" cm="1">
        <f t="array" aca="1" ref="C19" ca="1">INDIRECT("'Python Impact of Optimization'!F" &amp; 3 + (ROW(A15)-1)*4)</f>
        <v>175.72200000000001</v>
      </c>
      <c r="D19" s="75" cm="1">
        <f t="array" aca="1" ref="D19" ca="1">INDIRECT("'Python Impact of Optimization'!F" &amp; 4 + (ROW(A15)-1)*4)</f>
        <v>153.12299999999999</v>
      </c>
      <c r="E19" s="75" cm="1">
        <f t="array" aca="1" ref="E19" ca="1">INDIRECT("'Python Impact of Optimization'!S" &amp; 3 + (ROW(A15)-1)*4)*100</f>
        <v>-12.860654898077655</v>
      </c>
      <c r="F19" s="75">
        <v>2.8719490663203402E-11</v>
      </c>
      <c r="G19" s="78" t="s">
        <v>186</v>
      </c>
      <c r="H19" s="75" cm="1">
        <f t="array" aca="1" ref="H19" ca="1">INDIRECT("'Python Impact of Optimization'!R" &amp; 3 + (ROW(A15)-1)*4)</f>
        <v>10378.141320000001</v>
      </c>
      <c r="I19" s="75" cm="1">
        <f t="array" aca="1" ref="I19" ca="1">INDIRECT("'Python Impact of Optimization'!R" &amp; 4 + (ROW(A15)-1)*4)</f>
        <v>9116.9434199999996</v>
      </c>
      <c r="J19" s="75" cm="1">
        <f t="array" aca="1" ref="J19" ca="1">INDIRECT("'Python Impact of Optimization'!V" &amp; 3 + (ROW(A15)-1)*4)*100</f>
        <v>-12.152444846453497</v>
      </c>
      <c r="K19" s="75">
        <v>2.8719490663203402E-11</v>
      </c>
      <c r="L19" s="75" t="s">
        <v>186</v>
      </c>
      <c r="M19" s="79" t="s">
        <v>51</v>
      </c>
      <c r="N19" s="75" cm="1">
        <f t="array" aca="1" ref="N19" ca="1">INDIRECT("'Python Impact of Optimization'!F" &amp; 5 + (ROW(A15)-1)*4)</f>
        <v>130.21100000000001</v>
      </c>
      <c r="O19" s="75" cm="1">
        <f t="array" aca="1" ref="O19" ca="1">INDIRECT("'Python Impact of Optimization'!F" &amp; 6 + (ROW(A15)-1)*4)</f>
        <v>131.38800000000001</v>
      </c>
      <c r="P19" s="75" cm="1">
        <f t="array" aca="1" ref="P19" ca="1">INDIRECT("'Python Impact of Optimization'!S" &amp; 5 + (ROW(A15)-1)*4)*100</f>
        <v>0.9039174877698446</v>
      </c>
      <c r="Q19" s="75">
        <v>2.2339876316665428E-6</v>
      </c>
      <c r="R19" s="75" t="s">
        <v>186</v>
      </c>
      <c r="S19" s="75" cm="1">
        <f t="array" aca="1" ref="S19" ca="1">INDIRECT("'Python Impact of Optimization'!R" &amp; 5 + (ROW(A15)-1)*4)</f>
        <v>7867.3486200000007</v>
      </c>
      <c r="T19" s="75" cm="1">
        <f t="array" aca="1" ref="T19" ca="1">INDIRECT("'Python Impact of Optimization'!R" &amp; 6 + (ROW(A15)-1)*4)</f>
        <v>7704.5923200000007</v>
      </c>
      <c r="U19" s="75" cm="1">
        <f t="array" aca="1" ref="U19" ca="1">INDIRECT("'Python Impact of Optimization'!V" &amp; 5 + (ROW(A15)-1)*4)*100</f>
        <v>-2.0687566785365106</v>
      </c>
      <c r="V19" s="75">
        <v>4.3254941229904764E-3</v>
      </c>
      <c r="W19" s="75" t="s">
        <v>215</v>
      </c>
      <c r="X19" s="75">
        <f t="shared" ca="1" si="0"/>
        <v>-7.1106007624950038</v>
      </c>
    </row>
    <row r="20" spans="2:24" x14ac:dyDescent="0.25">
      <c r="B20" s="77" t="s">
        <v>55</v>
      </c>
      <c r="C20" s="75" cm="1">
        <f t="array" aca="1" ref="C20" ca="1">INDIRECT("'Python Impact of Optimization'!F" &amp; 3 + (ROW(A16)-1)*4)</f>
        <v>201.018</v>
      </c>
      <c r="D20" s="75" cm="1">
        <f t="array" aca="1" ref="D20" ca="1">INDIRECT("'Python Impact of Optimization'!F" &amp; 4 + (ROW(A16)-1)*4)</f>
        <v>190.18899999999999</v>
      </c>
      <c r="E20" s="75" cm="1">
        <f t="array" aca="1" ref="E20" ca="1">INDIRECT("'Python Impact of Optimization'!S" &amp; 3 + (ROW(A16)-1)*4)*100</f>
        <v>-5.3870797640012373</v>
      </c>
      <c r="F20" s="75">
        <v>2.8719490663203402E-11</v>
      </c>
      <c r="G20" s="78" t="s">
        <v>186</v>
      </c>
      <c r="H20" s="75" cm="1">
        <f t="array" aca="1" ref="H20" ca="1">INDIRECT("'Python Impact of Optimization'!R" &amp; 3 + (ROW(A16)-1)*4)</f>
        <v>12107.31414</v>
      </c>
      <c r="I20" s="75" cm="1">
        <f t="array" aca="1" ref="I20" ca="1">INDIRECT("'Python Impact of Optimization'!R" &amp; 4 + (ROW(A16)-1)*4)</f>
        <v>11325.75495</v>
      </c>
      <c r="J20" s="75" cm="1">
        <f t="array" aca="1" ref="J20" ca="1">INDIRECT("'Python Impact of Optimization'!V" &amp; 3 + (ROW(A16)-1)*4)*100</f>
        <v>-6.4552648173048883</v>
      </c>
      <c r="K20" s="75">
        <v>8.5629939049008916E-11</v>
      </c>
      <c r="L20" s="75" t="s">
        <v>186</v>
      </c>
      <c r="M20" s="79" t="s">
        <v>55</v>
      </c>
      <c r="N20" s="75" cm="1">
        <f t="array" aca="1" ref="N20" ca="1">INDIRECT("'Python Impact of Optimization'!F" &amp; 5 + (ROW(A16)-1)*4)</f>
        <v>239.393</v>
      </c>
      <c r="O20" s="75" cm="1">
        <f t="array" aca="1" ref="O20" ca="1">INDIRECT("'Python Impact of Optimization'!F" &amp; 6 + (ROW(A16)-1)*4)</f>
        <v>230.501</v>
      </c>
      <c r="P20" s="75" cm="1">
        <f t="array" aca="1" ref="P20" ca="1">INDIRECT("'Python Impact of Optimization'!S" &amp; 5 + (ROW(A16)-1)*4)*100</f>
        <v>-3.7143943223068328</v>
      </c>
      <c r="Q20" s="75">
        <v>2.8719490663203402E-11</v>
      </c>
      <c r="R20" s="75" t="s">
        <v>186</v>
      </c>
      <c r="S20" s="75" cm="1">
        <f t="array" aca="1" ref="S20" ca="1">INDIRECT("'Python Impact of Optimization'!R" &amp; 5 + (ROW(A16)-1)*4)</f>
        <v>14339.6407</v>
      </c>
      <c r="T20" s="75" cm="1">
        <f t="array" aca="1" ref="T20" ca="1">INDIRECT("'Python Impact of Optimization'!R" &amp; 6 + (ROW(A16)-1)*4)</f>
        <v>13657.18425</v>
      </c>
      <c r="U20" s="75" cm="1">
        <f t="array" aca="1" ref="U20" ca="1">INDIRECT("'Python Impact of Optimization'!V" &amp; 5 + (ROW(A16)-1)*4)*100</f>
        <v>-4.7592297762383939</v>
      </c>
      <c r="V20" s="75">
        <v>7.0339455248019497E-11</v>
      </c>
      <c r="W20" s="75" t="s">
        <v>186</v>
      </c>
      <c r="X20" s="75">
        <f t="shared" ca="1" si="0"/>
        <v>-5.6072472967716411</v>
      </c>
    </row>
    <row r="21" spans="2:24" x14ac:dyDescent="0.25">
      <c r="B21" s="77" t="s">
        <v>57</v>
      </c>
      <c r="C21" s="75" cm="1">
        <f t="array" aca="1" ref="C21" ca="1">INDIRECT("'Python Impact of Optimization'!F" &amp; 3 + (ROW(A17)-1)*4)</f>
        <v>5.8109999999999999</v>
      </c>
      <c r="D21" s="75" cm="1">
        <f t="array" aca="1" ref="D21" ca="1">INDIRECT("'Python Impact of Optimization'!F" &amp; 4 + (ROW(A17)-1)*4)</f>
        <v>2.984</v>
      </c>
      <c r="E21" s="75" cm="1">
        <f t="array" aca="1" ref="E21" ca="1">INDIRECT("'Python Impact of Optimization'!S" &amp; 3 + (ROW(A17)-1)*4)*100</f>
        <v>-48.649113749784888</v>
      </c>
      <c r="F21" s="75">
        <v>2.8719490663203402E-11</v>
      </c>
      <c r="G21" s="78" t="s">
        <v>186</v>
      </c>
      <c r="H21" s="75" cm="1">
        <f t="array" aca="1" ref="H21" ca="1">INDIRECT("'Python Impact of Optimization'!R" &amp; 3 + (ROW(A17)-1)*4)</f>
        <v>339.94349999999997</v>
      </c>
      <c r="I21" s="75" cm="1">
        <f t="array" aca="1" ref="I21" ca="1">INDIRECT("'Python Impact of Optimization'!R" &amp; 4 + (ROW(A17)-1)*4)</f>
        <v>173.84783999999999</v>
      </c>
      <c r="J21" s="75" cm="1">
        <f t="array" aca="1" ref="J21" ca="1">INDIRECT("'Python Impact of Optimization'!V" &amp; 3 + (ROW(A17)-1)*4)*100</f>
        <v>-48.859784052349873</v>
      </c>
      <c r="K21" s="75">
        <v>2.8719490663203402E-11</v>
      </c>
      <c r="L21" s="75" t="s">
        <v>186</v>
      </c>
      <c r="M21" s="79" t="s">
        <v>57</v>
      </c>
      <c r="N21" s="75" cm="1">
        <f t="array" aca="1" ref="N21" ca="1">INDIRECT("'Python Impact of Optimization'!F" &amp; 5 + (ROW(A17)-1)*4)</f>
        <v>5.891</v>
      </c>
      <c r="O21" s="75" cm="1">
        <f t="array" aca="1" ref="O21" ca="1">INDIRECT("'Python Impact of Optimization'!F" &amp; 6 + (ROW(A17)-1)*4)</f>
        <v>3.3639999999999999</v>
      </c>
      <c r="P21" s="75" cm="1">
        <f t="array" aca="1" ref="P21" ca="1">INDIRECT("'Python Impact of Optimization'!S" &amp; 5 + (ROW(A17)-1)*4)*100</f>
        <v>-42.895942963843154</v>
      </c>
      <c r="Q21" s="75">
        <v>2.8719490663203402E-11</v>
      </c>
      <c r="R21" s="75" t="s">
        <v>186</v>
      </c>
      <c r="S21" s="75" cm="1">
        <f t="array" aca="1" ref="S21" ca="1">INDIRECT("'Python Impact of Optimization'!R" &amp; 5 + (ROW(A17)-1)*4)</f>
        <v>351.22142000000002</v>
      </c>
      <c r="T21" s="75" cm="1">
        <f t="array" aca="1" ref="T21" ca="1">INDIRECT("'Python Impact of Optimization'!R" &amp; 6 + (ROW(A17)-1)*4)</f>
        <v>202.44551999999999</v>
      </c>
      <c r="U21" s="75" cm="1">
        <f t="array" aca="1" ref="U21" ca="1">INDIRECT("'Python Impact of Optimization'!V" &amp; 5 + (ROW(A17)-1)*4)*100</f>
        <v>-42.359574766254298</v>
      </c>
      <c r="V21" s="75">
        <v>2.8719490663203402E-11</v>
      </c>
      <c r="W21" s="75" t="s">
        <v>186</v>
      </c>
      <c r="X21" s="75">
        <f t="shared" ca="1" si="0"/>
        <v>-45.609679409302089</v>
      </c>
    </row>
    <row r="22" spans="2:24" x14ac:dyDescent="0.25">
      <c r="B22" s="77" t="s">
        <v>61</v>
      </c>
      <c r="C22" s="75" cm="1">
        <f t="array" aca="1" ref="C22" ca="1">INDIRECT("'Python Impact of Optimization'!F" &amp; 3 + (ROW(A18)-1)*4)</f>
        <v>159.39599999999999</v>
      </c>
      <c r="D22" s="75" cm="1">
        <f t="array" aca="1" ref="D22" ca="1">INDIRECT("'Python Impact of Optimization'!F" &amp; 4 + (ROW(A18)-1)*4)</f>
        <v>413.02800000000002</v>
      </c>
      <c r="E22" s="75" cm="1">
        <f t="array" aca="1" ref="E22" ca="1">INDIRECT("'Python Impact of Optimization'!S" &amp; 3 + (ROW(A18)-1)*4)*100</f>
        <v>159.12068056914856</v>
      </c>
      <c r="F22" s="75">
        <v>2.8719490663203402E-11</v>
      </c>
      <c r="G22" s="78" t="s">
        <v>186</v>
      </c>
      <c r="H22" s="75" cm="1">
        <f t="array" aca="1" ref="H22" ca="1">INDIRECT("'Python Impact of Optimization'!R" &amp; 3 + (ROW(A18)-1)*4)</f>
        <v>9576.5116799999996</v>
      </c>
      <c r="I22" s="75" cm="1">
        <f t="array" aca="1" ref="I22" ca="1">INDIRECT("'Python Impact of Optimization'!R" &amp; 4 + (ROW(A18)-1)*4)</f>
        <v>25942.288680000001</v>
      </c>
      <c r="J22" s="75" cm="1">
        <f t="array" aca="1" ref="J22" ca="1">INDIRECT("'Python Impact of Optimization'!V" &amp; 3 + (ROW(A18)-1)*4)*100</f>
        <v>170.89497247916481</v>
      </c>
      <c r="K22" s="75">
        <v>2.8719490663203402E-11</v>
      </c>
      <c r="L22" s="75" t="s">
        <v>186</v>
      </c>
      <c r="M22" s="79" t="s">
        <v>61</v>
      </c>
      <c r="N22" s="75" cm="1">
        <f t="array" aca="1" ref="N22" ca="1">INDIRECT("'Python Impact of Optimization'!F" &amp; 5 + (ROW(A18)-1)*4)</f>
        <v>311.702</v>
      </c>
      <c r="O22" s="75" cm="1">
        <f t="array" aca="1" ref="O22" ca="1">INDIRECT("'Python Impact of Optimization'!F" &amp; 6 + (ROW(A18)-1)*4)</f>
        <v>432.84</v>
      </c>
      <c r="P22" s="75" cm="1">
        <f t="array" aca="1" ref="P22" ca="1">INDIRECT("'Python Impact of Optimization'!S" &amp; 5 + (ROW(A18)-1)*4)*100</f>
        <v>38.863401582280503</v>
      </c>
      <c r="Q22" s="75">
        <v>2.8719490663203402E-11</v>
      </c>
      <c r="R22" s="75" t="s">
        <v>186</v>
      </c>
      <c r="S22" s="75" cm="1">
        <f t="array" aca="1" ref="S22" ca="1">INDIRECT("'Python Impact of Optimization'!R" &amp; 5 + (ROW(A18)-1)*4)</f>
        <v>19253.832539999999</v>
      </c>
      <c r="T22" s="75" cm="1">
        <f t="array" aca="1" ref="T22" ca="1">INDIRECT("'Python Impact of Optimization'!R" &amp; 6 + (ROW(A18)-1)*4)</f>
        <v>27000.5592</v>
      </c>
      <c r="U22" s="75" cm="1">
        <f t="array" aca="1" ref="U22" ca="1">INDIRECT("'Python Impact of Optimization'!V" &amp; 5 + (ROW(A18)-1)*4)*100</f>
        <v>40.234725444433515</v>
      </c>
      <c r="V22" s="75">
        <v>2.8719490663203402E-11</v>
      </c>
      <c r="W22" s="75" t="s">
        <v>186</v>
      </c>
      <c r="X22" s="75">
        <f t="shared" ca="1" si="0"/>
        <v>105.56484896179916</v>
      </c>
    </row>
    <row r="23" spans="2:24" x14ac:dyDescent="0.25">
      <c r="B23" s="77" t="s">
        <v>63</v>
      </c>
      <c r="C23" s="75" cm="1">
        <f t="array" aca="1" ref="C23" ca="1">INDIRECT("'Python Impact of Optimization'!F" &amp; 3 + (ROW(A19)-1)*4)</f>
        <v>10.210000000000001</v>
      </c>
      <c r="D23" s="75" cm="1">
        <f t="array" aca="1" ref="D23" ca="1">INDIRECT("'Python Impact of Optimization'!F" &amp; 4 + (ROW(A19)-1)*4)</f>
        <v>4.0830000000000002</v>
      </c>
      <c r="E23" s="75" cm="1">
        <f t="array" aca="1" ref="E23" ca="1">INDIRECT("'Python Impact of Optimization'!S" &amp; 3 + (ROW(A19)-1)*4)*100</f>
        <v>-60.009794319294805</v>
      </c>
      <c r="F23" s="75">
        <v>2.8719490663203402E-11</v>
      </c>
      <c r="G23" s="78" t="s">
        <v>186</v>
      </c>
      <c r="H23" s="75" cm="1">
        <f t="array" aca="1" ref="H23" ca="1">INDIRECT("'Python Impact of Optimization'!R" &amp; 3 + (ROW(A19)-1)*4)</f>
        <v>577.47760000000005</v>
      </c>
      <c r="I23" s="75" cm="1">
        <f t="array" aca="1" ref="I23" ca="1">INDIRECT("'Python Impact of Optimization'!R" &amp; 4 + (ROW(A19)-1)*4)</f>
        <v>229.50542999999999</v>
      </c>
      <c r="J23" s="75" cm="1">
        <f t="array" aca="1" ref="J23" ca="1">INDIRECT("'Python Impact of Optimization'!V" &amp; 3 + (ROW(A19)-1)*4)*100</f>
        <v>-60.257258463358589</v>
      </c>
      <c r="K23" s="75">
        <v>2.8719490663203402E-11</v>
      </c>
      <c r="L23" s="75" t="s">
        <v>186</v>
      </c>
      <c r="M23" s="79" t="s">
        <v>63</v>
      </c>
      <c r="N23" s="75" cm="1">
        <f t="array" aca="1" ref="N23" ca="1">INDIRECT("'Python Impact of Optimization'!F" &amp; 5 + (ROW(A19)-1)*4)</f>
        <v>8.9879999999999995</v>
      </c>
      <c r="O23" s="75" cm="1">
        <f t="array" aca="1" ref="O23" ca="1">INDIRECT("'Python Impact of Optimization'!F" &amp; 6 + (ROW(A19)-1)*4)</f>
        <v>5.327</v>
      </c>
      <c r="P23" s="75" cm="1">
        <f t="array" aca="1" ref="P23" ca="1">INDIRECT("'Python Impact of Optimization'!S" &amp; 5 + (ROW(A19)-1)*4)*100</f>
        <v>-40.732087227414326</v>
      </c>
      <c r="Q23" s="75">
        <v>2.8719490663203402E-11</v>
      </c>
      <c r="R23" s="75" t="s">
        <v>186</v>
      </c>
      <c r="S23" s="75" cm="1">
        <f t="array" aca="1" ref="S23" ca="1">INDIRECT("'Python Impact of Optimization'!R" &amp; 5 + (ROW(A19)-1)*4)</f>
        <v>517.52904000000001</v>
      </c>
      <c r="T23" s="75" cm="1">
        <f t="array" aca="1" ref="T23" ca="1">INDIRECT("'Python Impact of Optimization'!R" &amp; 6 + (ROW(A19)-1)*4)</f>
        <v>307.31463000000002</v>
      </c>
      <c r="U23" s="75" cm="1">
        <f t="array" aca="1" ref="U23" ca="1">INDIRECT("'Python Impact of Optimization'!V" &amp; 5 + (ROW(A19)-1)*4)*100</f>
        <v>-40.618862663243007</v>
      </c>
      <c r="V23" s="75">
        <v>2.8719490663203402E-11</v>
      </c>
      <c r="W23" s="75" t="s">
        <v>186</v>
      </c>
      <c r="X23" s="75">
        <f t="shared" ca="1" si="0"/>
        <v>-50.438060563300795</v>
      </c>
    </row>
    <row r="24" spans="2:24" x14ac:dyDescent="0.25">
      <c r="B24" s="77" t="s">
        <v>65</v>
      </c>
      <c r="C24" s="75" cm="1">
        <f t="array" aca="1" ref="C24" ca="1">INDIRECT("'Python Impact of Optimization'!F" &amp; 3 + (ROW(A20)-1)*4)</f>
        <v>10.664</v>
      </c>
      <c r="D24" s="75" cm="1">
        <f t="array" aca="1" ref="D24" ca="1">INDIRECT("'Python Impact of Optimization'!F" &amp; 4 + (ROW(A20)-1)*4)</f>
        <v>5.7990000000000004</v>
      </c>
      <c r="E24" s="75" cm="1">
        <f t="array" aca="1" ref="E24" ca="1">INDIRECT("'Python Impact of Optimization'!S" &amp; 3 + (ROW(A20)-1)*4)*100</f>
        <v>-45.620780195048752</v>
      </c>
      <c r="F24" s="75">
        <v>2.8719490663203402E-11</v>
      </c>
      <c r="G24" s="78" t="s">
        <v>186</v>
      </c>
      <c r="H24" s="75" cm="1">
        <f t="array" aca="1" ref="H24" ca="1">INDIRECT("'Python Impact of Optimization'!R" &amp; 3 + (ROW(A20)-1)*4)</f>
        <v>697.9588</v>
      </c>
      <c r="I24" s="75" cm="1">
        <f t="array" aca="1" ref="I24" ca="1">INDIRECT("'Python Impact of Optimization'!R" &amp; 4 + (ROW(A20)-1)*4)</f>
        <v>360.63981000000001</v>
      </c>
      <c r="J24" s="75" cm="1">
        <f t="array" aca="1" ref="J24" ca="1">INDIRECT("'Python Impact of Optimization'!V" &amp; 3 + (ROW(A20)-1)*4)*100</f>
        <v>-48.329355543622341</v>
      </c>
      <c r="K24" s="75">
        <v>2.8719490663203402E-11</v>
      </c>
      <c r="L24" s="75" t="s">
        <v>186</v>
      </c>
      <c r="M24" s="79" t="s">
        <v>65</v>
      </c>
      <c r="N24" s="75" cm="1">
        <f t="array" aca="1" ref="N24" ca="1">INDIRECT("'Python Impact of Optimization'!F" &amp; 5 + (ROW(A20)-1)*4)</f>
        <v>10.337999999999999</v>
      </c>
      <c r="O24" s="75" cm="1">
        <f t="array" aca="1" ref="O24" ca="1">INDIRECT("'Python Impact of Optimization'!F" &amp; 6 + (ROW(A20)-1)*4)</f>
        <v>5.87</v>
      </c>
      <c r="P24" s="75" cm="1">
        <f t="array" aca="1" ref="P24" ca="1">INDIRECT("'Python Impact of Optimization'!S" &amp; 5 + (ROW(A20)-1)*4)*100</f>
        <v>-43.219191332946409</v>
      </c>
      <c r="Q24" s="75">
        <v>2.8719490663203402E-11</v>
      </c>
      <c r="R24" s="75" t="s">
        <v>186</v>
      </c>
      <c r="S24" s="75" cm="1">
        <f t="array" aca="1" ref="S24" ca="1">INDIRECT("'Python Impact of Optimization'!R" &amp; 5 + (ROW(A20)-1)*4)</f>
        <v>669.07535999999993</v>
      </c>
      <c r="T24" s="75" cm="1">
        <f t="array" aca="1" ref="T24" ca="1">INDIRECT("'Python Impact of Optimization'!R" &amp; 6 + (ROW(A20)-1)*4)</f>
        <v>359.53750000000002</v>
      </c>
      <c r="U24" s="75" cm="1">
        <f t="array" aca="1" ref="U24" ca="1">INDIRECT("'Python Impact of Optimization'!V" &amp; 5 + (ROW(A20)-1)*4)*100</f>
        <v>-46.263527026312836</v>
      </c>
      <c r="V24" s="75">
        <v>2.8719490663203402E-11</v>
      </c>
      <c r="W24" s="75" t="s">
        <v>186</v>
      </c>
      <c r="X24" s="75">
        <f t="shared" ca="1" si="0"/>
        <v>-47.296441284967585</v>
      </c>
    </row>
    <row r="25" spans="2:24" x14ac:dyDescent="0.25">
      <c r="B25" s="77" t="s">
        <v>71</v>
      </c>
      <c r="C25" s="75" cm="1">
        <f t="array" aca="1" ref="C25" ca="1">INDIRECT("'Python Impact of Optimization'!F" &amp; 3 + (ROW(A21)-1)*4)</f>
        <v>71.462999999999994</v>
      </c>
      <c r="D25" s="75" cm="1">
        <f t="array" aca="1" ref="D25" ca="1">INDIRECT("'Python Impact of Optimization'!F" &amp; 4 + (ROW(A21)-1)*4)</f>
        <v>53.167999999999999</v>
      </c>
      <c r="E25" s="75" cm="1">
        <f t="array" aca="1" ref="E25" ca="1">INDIRECT("'Python Impact of Optimization'!S" &amp; 3 + (ROW(A21)-1)*4)*100</f>
        <v>-25.600660481647843</v>
      </c>
      <c r="F25" s="75">
        <v>2.8719490663203402E-11</v>
      </c>
      <c r="G25" s="78" t="s">
        <v>186</v>
      </c>
      <c r="H25" s="75" cm="1">
        <f t="array" aca="1" ref="H25" ca="1">INDIRECT("'Python Impact of Optimization'!R" &amp; 3 + (ROW(A21)-1)*4)</f>
        <v>4262.05332</v>
      </c>
      <c r="I25" s="75" cm="1">
        <f t="array" aca="1" ref="I25" ca="1">INDIRECT("'Python Impact of Optimization'!R" &amp; 4 + (ROW(A21)-1)*4)</f>
        <v>3128.4051199999999</v>
      </c>
      <c r="J25" s="75" cm="1">
        <f t="array" aca="1" ref="J25" ca="1">INDIRECT("'Python Impact of Optimization'!V" &amp; 3 + (ROW(A21)-1)*4)*100</f>
        <v>-26.598639549633791</v>
      </c>
      <c r="K25" s="75">
        <v>2.8719490663203402E-11</v>
      </c>
      <c r="L25" s="75" t="s">
        <v>186</v>
      </c>
      <c r="M25" s="79" t="s">
        <v>71</v>
      </c>
      <c r="N25" s="75" cm="1">
        <f t="array" aca="1" ref="N25" ca="1">INDIRECT("'Python Impact of Optimization'!F" &amp; 5 + (ROW(A21)-1)*4)</f>
        <v>62.521999999999998</v>
      </c>
      <c r="O25" s="75" cm="1">
        <f t="array" aca="1" ref="O25" ca="1">INDIRECT("'Python Impact of Optimization'!F" &amp; 6 + (ROW(A21)-1)*4)</f>
        <v>46.725000000000001</v>
      </c>
      <c r="P25" s="75" cm="1">
        <f t="array" aca="1" ref="P25" ca="1">INDIRECT("'Python Impact of Optimization'!S" &amp; 5 + (ROW(A21)-1)*4)*100</f>
        <v>-25.266306260196409</v>
      </c>
      <c r="Q25" s="75">
        <v>2.8719490663203402E-11</v>
      </c>
      <c r="R25" s="75" t="s">
        <v>186</v>
      </c>
      <c r="S25" s="75" cm="1">
        <f t="array" aca="1" ref="S25" ca="1">INDIRECT("'Python Impact of Optimization'!R" &amp; 5 + (ROW(A21)-1)*4)</f>
        <v>3696.9258599999998</v>
      </c>
      <c r="T25" s="75" cm="1">
        <f t="array" aca="1" ref="T25" ca="1">INDIRECT("'Python Impact of Optimization'!R" &amp; 6 + (ROW(A21)-1)*4)</f>
        <v>2752.1025</v>
      </c>
      <c r="U25" s="75" cm="1">
        <f t="array" aca="1" ref="U25" ca="1">INDIRECT("'Python Impact of Optimization'!V" &amp; 5 + (ROW(A21)-1)*4)*100</f>
        <v>-25.557000485803627</v>
      </c>
      <c r="V25" s="75">
        <v>2.8719490663203402E-11</v>
      </c>
      <c r="W25" s="75" t="s">
        <v>186</v>
      </c>
      <c r="X25" s="75">
        <f t="shared" ca="1" si="0"/>
        <v>-26.077820017718707</v>
      </c>
    </row>
    <row r="26" spans="2:24" x14ac:dyDescent="0.25">
      <c r="B26" s="77" t="s">
        <v>79</v>
      </c>
      <c r="C26" s="75" cm="1">
        <f t="array" aca="1" ref="C26" ca="1">INDIRECT("'Python Impact of Optimization'!F" &amp; 3 + (ROW(A22)-1)*4)</f>
        <v>204.03899999999999</v>
      </c>
      <c r="D26" s="75" cm="1">
        <f t="array" aca="1" ref="D26" ca="1">INDIRECT("'Python Impact of Optimization'!F" &amp; 4 + (ROW(A22)-1)*4)</f>
        <v>157.25899999999999</v>
      </c>
      <c r="E26" s="75" cm="1">
        <f t="array" aca="1" ref="E26" ca="1">INDIRECT("'Python Impact of Optimization'!S" &amp; 3 + (ROW(A22)-1)*4)*100</f>
        <v>-22.926989448095707</v>
      </c>
      <c r="F26" s="75">
        <v>2.8719490663203402E-11</v>
      </c>
      <c r="G26" s="78" t="s">
        <v>186</v>
      </c>
      <c r="H26" s="75" cm="1">
        <f t="array" aca="1" ref="H26" ca="1">INDIRECT("'Python Impact of Optimization'!R" &amp; 3 + (ROW(A22)-1)*4)</f>
        <v>12391.28847</v>
      </c>
      <c r="I26" s="75" cm="1">
        <f t="array" aca="1" ref="I26" ca="1">INDIRECT("'Python Impact of Optimization'!R" &amp; 4 + (ROW(A22)-1)*4)</f>
        <v>9220.0951699999987</v>
      </c>
      <c r="J26" s="75" cm="1">
        <f t="array" aca="1" ref="J26" ca="1">INDIRECT("'Python Impact of Optimization'!V" &amp; 3 + (ROW(A22)-1)*4)*100</f>
        <v>-25.592119073634972</v>
      </c>
      <c r="K26" s="75">
        <v>2.8719490663203402E-11</v>
      </c>
      <c r="L26" s="75" t="s">
        <v>186</v>
      </c>
      <c r="M26" s="79" t="s">
        <v>79</v>
      </c>
      <c r="N26" s="75" cm="1">
        <f t="array" aca="1" ref="N26" ca="1">INDIRECT("'Python Impact of Optimization'!F" &amp; 5 + (ROW(A22)-1)*4)</f>
        <v>131.649</v>
      </c>
      <c r="O26" s="75" cm="1">
        <f t="array" aca="1" ref="O26" ca="1">INDIRECT("'Python Impact of Optimization'!F" &amp; 6 + (ROW(A22)-1)*4)</f>
        <v>154.732</v>
      </c>
      <c r="P26" s="75" cm="1">
        <f t="array" aca="1" ref="P26" ca="1">INDIRECT("'Python Impact of Optimization'!S" &amp; 5 + (ROW(A22)-1)*4)*100</f>
        <v>17.53374503414382</v>
      </c>
      <c r="Q26" s="75">
        <v>2.8719490663203402E-11</v>
      </c>
      <c r="R26" s="75" t="s">
        <v>186</v>
      </c>
      <c r="S26" s="75" cm="1">
        <f t="array" aca="1" ref="S26" ca="1">INDIRECT("'Python Impact of Optimization'!R" &amp; 5 + (ROW(A22)-1)*4)</f>
        <v>7735.69524</v>
      </c>
      <c r="T26" s="75" cm="1">
        <f t="array" aca="1" ref="T26" ca="1">INDIRECT("'Python Impact of Optimization'!R" &amp; 6 + (ROW(A22)-1)*4)</f>
        <v>9266.89948</v>
      </c>
      <c r="U26" s="75" cm="1">
        <f t="array" aca="1" ref="U26" ca="1">INDIRECT("'Python Impact of Optimization'!V" &amp; 5 + (ROW(A22)-1)*4)*100</f>
        <v>19.794009361723511</v>
      </c>
      <c r="V26" s="75">
        <v>2.8719490663203402E-11</v>
      </c>
      <c r="W26" s="75" t="s">
        <v>186</v>
      </c>
      <c r="X26" s="75">
        <f t="shared" ca="1" si="0"/>
        <v>-2.8990548559557308</v>
      </c>
    </row>
    <row r="27" spans="2:24" x14ac:dyDescent="0.25">
      <c r="B27" s="77" t="s">
        <v>87</v>
      </c>
      <c r="C27" s="75" cm="1">
        <f t="array" aca="1" ref="C27" ca="1">INDIRECT("'Python Impact of Optimization'!F" &amp; 3 + (ROW(A23)-1)*4)</f>
        <v>6.492</v>
      </c>
      <c r="D27" s="75" cm="1">
        <f t="array" aca="1" ref="D27" ca="1">INDIRECT("'Python Impact of Optimization'!F" &amp; 4 + (ROW(A23)-1)*4)</f>
        <v>2.5310000000000001</v>
      </c>
      <c r="E27" s="75" cm="1">
        <f t="array" aca="1" ref="E27" ca="1">INDIRECT("'Python Impact of Optimization'!S" &amp; 3 + (ROW(A23)-1)*4)*100</f>
        <v>-61.013555144793585</v>
      </c>
      <c r="F27" s="75">
        <v>2.8719490663203402E-11</v>
      </c>
      <c r="G27" s="78" t="s">
        <v>186</v>
      </c>
      <c r="H27" s="75" cm="1">
        <f t="array" aca="1" ref="H27" ca="1">INDIRECT("'Python Impact of Optimization'!R" &amp; 3 + (ROW(A23)-1)*4)</f>
        <v>419.90256000000011</v>
      </c>
      <c r="I27" s="75" cm="1">
        <f t="array" aca="1" ref="I27" ca="1">INDIRECT("'Python Impact of Optimization'!R" &amp; 4 + (ROW(A23)-1)*4)</f>
        <v>150.29078000000001</v>
      </c>
      <c r="J27" s="75" cm="1">
        <f t="array" aca="1" ref="J27" ca="1">INDIRECT("'Python Impact of Optimization'!V" &amp; 3 + (ROW(A23)-1)*4)*100</f>
        <v>-64.208177249502839</v>
      </c>
      <c r="K27" s="75">
        <v>2.8719490663203402E-11</v>
      </c>
      <c r="L27" s="75" t="s">
        <v>186</v>
      </c>
      <c r="M27" s="79" t="s">
        <v>87</v>
      </c>
      <c r="N27" s="75" cm="1">
        <f t="array" aca="1" ref="N27" ca="1">INDIRECT("'Python Impact of Optimization'!F" &amp; 5 + (ROW(A23)-1)*4)</f>
        <v>6.2240000000000002</v>
      </c>
      <c r="O27" s="75" cm="1">
        <f t="array" aca="1" ref="O27" ca="1">INDIRECT("'Python Impact of Optimization'!F" &amp; 6 + (ROW(A23)-1)*4)</f>
        <v>2.4710000000000001</v>
      </c>
      <c r="P27" s="75" cm="1">
        <f t="array" aca="1" ref="P27" ca="1">INDIRECT("'Python Impact of Optimization'!S" &amp; 5 + (ROW(A23)-1)*4)*100</f>
        <v>-60.298843187660665</v>
      </c>
      <c r="Q27" s="75">
        <v>2.8719490663203402E-11</v>
      </c>
      <c r="R27" s="75" t="s">
        <v>186</v>
      </c>
      <c r="S27" s="75" cm="1">
        <f t="array" aca="1" ref="S27" ca="1">INDIRECT("'Python Impact of Optimization'!R" &amp; 5 + (ROW(A23)-1)*4)</f>
        <v>415.32751999999999</v>
      </c>
      <c r="T27" s="75" cm="1">
        <f t="array" aca="1" ref="T27" ca="1">INDIRECT("'Python Impact of Optimization'!R" &amp; 6 + (ROW(A23)-1)*4)</f>
        <v>152.23831000000001</v>
      </c>
      <c r="U27" s="75" cm="1">
        <f t="array" aca="1" ref="U27" ca="1">INDIRECT("'Python Impact of Optimization'!V" &amp; 5 + (ROW(A23)-1)*4)*100</f>
        <v>-63.344998183602186</v>
      </c>
      <c r="V27" s="75">
        <v>2.8719490663203402E-11</v>
      </c>
      <c r="W27" s="75" t="s">
        <v>186</v>
      </c>
      <c r="X27" s="75">
        <f t="shared" ca="1" si="0"/>
        <v>-63.776587716552513</v>
      </c>
    </row>
    <row r="28" spans="2:24" x14ac:dyDescent="0.25">
      <c r="B28" s="77" t="s">
        <v>91</v>
      </c>
      <c r="C28" s="75" cm="1">
        <f t="array" aca="1" ref="C28" ca="1">INDIRECT("'Python Impact of Optimization'!F" &amp; 3 + (ROW(A24)-1)*4)</f>
        <v>100.944</v>
      </c>
      <c r="D28" s="75" cm="1">
        <f t="array" aca="1" ref="D28" ca="1">INDIRECT("'Python Impact of Optimization'!F" &amp; 4 + (ROW(A24)-1)*4)</f>
        <v>83.373000000000005</v>
      </c>
      <c r="E28" s="75" cm="1">
        <f t="array" aca="1" ref="E28" ca="1">INDIRECT("'Python Impact of Optimization'!S" &amp; 3 + (ROW(A24)-1)*4)*100</f>
        <v>-17.406680932001901</v>
      </c>
      <c r="F28" s="75">
        <v>2.8719490663203402E-11</v>
      </c>
      <c r="G28" s="78" t="s">
        <v>186</v>
      </c>
      <c r="H28" s="75" cm="1">
        <f t="array" aca="1" ref="H28" ca="1">INDIRECT("'Python Impact of Optimization'!R" &amp; 3 + (ROW(A24)-1)*4)</f>
        <v>5721.5059200000014</v>
      </c>
      <c r="I28" s="75" cm="1">
        <f t="array" aca="1" ref="I28" ca="1">INDIRECT("'Python Impact of Optimization'!R" &amp; 4 + (ROW(A24)-1)*4)</f>
        <v>4920.6744600000002</v>
      </c>
      <c r="J28" s="75" cm="1">
        <f t="array" aca="1" ref="J28" ca="1">INDIRECT("'Python Impact of Optimization'!V" &amp; 3 + (ROW(A24)-1)*4)*100</f>
        <v>-13.996865007176309</v>
      </c>
      <c r="K28" s="75">
        <v>2.8719490663203402E-11</v>
      </c>
      <c r="L28" s="75" t="s">
        <v>186</v>
      </c>
      <c r="M28" s="79" t="s">
        <v>91</v>
      </c>
      <c r="N28" s="75" cm="1">
        <f t="array" aca="1" ref="N28" ca="1">INDIRECT("'Python Impact of Optimization'!F" &amp; 5 + (ROW(A24)-1)*4)</f>
        <v>54.872</v>
      </c>
      <c r="O28" s="75" cm="1">
        <f t="array" aca="1" ref="O28" ca="1">INDIRECT("'Python Impact of Optimization'!F" &amp; 6 + (ROW(A24)-1)*4)</f>
        <v>52.628</v>
      </c>
      <c r="P28" s="75" cm="1">
        <f t="array" aca="1" ref="P28" ca="1">INDIRECT("'Python Impact of Optimization'!S" &amp; 5 + (ROW(A24)-1)*4)*100</f>
        <v>-4.0895174223647759</v>
      </c>
      <c r="Q28" s="75">
        <v>2.8719490663203402E-11</v>
      </c>
      <c r="R28" s="75" t="s">
        <v>186</v>
      </c>
      <c r="S28" s="75" cm="1">
        <f t="array" aca="1" ref="S28" ca="1">INDIRECT("'Python Impact of Optimization'!R" &amp; 5 + (ROW(A24)-1)*4)</f>
        <v>3172.1503200000002</v>
      </c>
      <c r="T28" s="75" cm="1">
        <f t="array" aca="1" ref="T28" ca="1">INDIRECT("'Python Impact of Optimization'!R" &amp; 6 + (ROW(A24)-1)*4)</f>
        <v>3233.9906000000001</v>
      </c>
      <c r="U28" s="75" cm="1">
        <f t="array" aca="1" ref="U28" ca="1">INDIRECT("'Python Impact of Optimization'!V" &amp; 5 + (ROW(A24)-1)*4)*100</f>
        <v>1.9494750803612577</v>
      </c>
      <c r="V28" s="75">
        <v>4.5848230421562201E-4</v>
      </c>
      <c r="W28" s="75" t="s">
        <v>215</v>
      </c>
      <c r="X28" s="75">
        <f t="shared" ca="1" si="0"/>
        <v>-6.0236949634075252</v>
      </c>
    </row>
    <row r="29" spans="2:24" x14ac:dyDescent="0.25">
      <c r="B29" s="77" t="s">
        <v>93</v>
      </c>
      <c r="C29" s="75" cm="1">
        <f t="array" aca="1" ref="C29" ca="1">INDIRECT("'Python Impact of Optimization'!F" &amp; 3 + (ROW(A25)-1)*4)</f>
        <v>7.3639999999999999</v>
      </c>
      <c r="D29" s="75" cm="1">
        <f t="array" aca="1" ref="D29" ca="1">INDIRECT("'Python Impact of Optimization'!F" &amp; 4 + (ROW(A25)-1)*4)</f>
        <v>6.2990000000000004</v>
      </c>
      <c r="E29" s="75" cm="1">
        <f t="array" aca="1" ref="E29" ca="1">INDIRECT("'Python Impact of Optimization'!S" &amp; 3 + (ROW(A25)-1)*4)*100</f>
        <v>-14.462248777838123</v>
      </c>
      <c r="F29" s="75">
        <v>2.8719490663203402E-11</v>
      </c>
      <c r="G29" s="78" t="s">
        <v>186</v>
      </c>
      <c r="H29" s="75" cm="1">
        <f t="array" aca="1" ref="H29" ca="1">INDIRECT("'Python Impact of Optimization'!R" &amp; 3 + (ROW(A25)-1)*4)</f>
        <v>414151.36</v>
      </c>
      <c r="I29" s="75" cm="1">
        <f t="array" aca="1" ref="I29" ca="1">INDIRECT("'Python Impact of Optimization'!R" &amp; 4 + (ROW(A25)-1)*4)</f>
        <v>375357.41000000003</v>
      </c>
      <c r="J29" s="75" cm="1">
        <f t="array" aca="1" ref="J29" ca="1">INDIRECT("'Python Impact of Optimization'!V" &amp; 3 + (ROW(A25)-1)*4)*100</f>
        <v>-9.3670946776560022</v>
      </c>
      <c r="K29" s="75">
        <v>3.1752172486680018E-11</v>
      </c>
      <c r="L29" s="75" t="s">
        <v>186</v>
      </c>
      <c r="M29" s="79" t="s">
        <v>93</v>
      </c>
      <c r="N29" s="75" cm="1">
        <f t="array" aca="1" ref="N29" ca="1">INDIRECT("'Python Impact of Optimization'!F" &amp; 5 + (ROW(A25)-1)*4)</f>
        <v>5.7969999999999997</v>
      </c>
      <c r="O29" s="75" cm="1">
        <f t="array" aca="1" ref="O29" ca="1">INDIRECT("'Python Impact of Optimization'!F" &amp; 6 + (ROW(A25)-1)*4)</f>
        <v>4.3280000000000003</v>
      </c>
      <c r="P29" s="75" cm="1">
        <f t="array" aca="1" ref="P29" ca="1">INDIRECT("'Python Impact of Optimization'!S" &amp; 5 + (ROW(A25)-1)*4)*100</f>
        <v>-25.340693462135576</v>
      </c>
      <c r="Q29" s="75">
        <v>2.8719490663203402E-11</v>
      </c>
      <c r="R29" s="75" t="s">
        <v>186</v>
      </c>
      <c r="S29" s="75" cm="1">
        <f t="array" aca="1" ref="S29" ca="1">INDIRECT("'Python Impact of Optimization'!R" &amp; 5 + (ROW(A25)-1)*4)</f>
        <v>320574.09999999998</v>
      </c>
      <c r="T29" s="75" cm="1">
        <f t="array" aca="1" ref="T29" ca="1">INDIRECT("'Python Impact of Optimization'!R" &amp; 6 + (ROW(A25)-1)*4)</f>
        <v>256260.87999999998</v>
      </c>
      <c r="U29" s="75" cm="1">
        <f t="array" aca="1" ref="U29" ca="1">INDIRECT("'Python Impact of Optimization'!V" &amp; 5 + (ROW(A25)-1)*4)*100</f>
        <v>-20.061888967324563</v>
      </c>
      <c r="V29" s="75">
        <v>2.8719490663203402E-11</v>
      </c>
      <c r="W29" s="75" t="s">
        <v>186</v>
      </c>
      <c r="X29" s="75">
        <f t="shared" ca="1" si="0"/>
        <v>-14.714491822490283</v>
      </c>
    </row>
    <row r="30" spans="2:24" x14ac:dyDescent="0.25">
      <c r="B30" s="27" t="s">
        <v>95</v>
      </c>
      <c r="C30" s="75" cm="1">
        <f t="array" aca="1" ref="C30" ca="1">INDIRECT("'Python Impact of Optimization'!F" &amp; 3 + (ROW(A26)-1)*4)</f>
        <v>10.768000000000001</v>
      </c>
      <c r="D30" s="75" cm="1">
        <f t="array" aca="1" ref="D30" ca="1">INDIRECT("'Python Impact of Optimization'!F" &amp; 4 + (ROW(A26)-1)*4)</f>
        <v>14.17</v>
      </c>
      <c r="E30" s="75" cm="1">
        <f t="array" aca="1" ref="E30" ca="1">INDIRECT("'Python Impact of Optimization'!S" &amp; 3 + (ROW(A26)-1)*4)*100</f>
        <v>31.59361069836552</v>
      </c>
      <c r="F30" s="75">
        <v>2.8719490663203402E-11</v>
      </c>
      <c r="G30" s="78" t="s">
        <v>186</v>
      </c>
      <c r="H30" s="75" cm="1">
        <f t="array" aca="1" ref="H30" ca="1">INDIRECT("'Python Impact of Optimization'!R" &amp; 3 + (ROW(A26)-1)*4)</f>
        <v>674507.52</v>
      </c>
      <c r="I30" s="75" cm="1">
        <f t="array" aca="1" ref="I30" ca="1">INDIRECT("'Python Impact of Optimization'!R" &amp; 4 + (ROW(A26)-1)*4)</f>
        <v>938479.1</v>
      </c>
      <c r="J30" s="75" cm="1">
        <f t="array" aca="1" ref="J30" ca="1">INDIRECT("'Python Impact of Optimization'!V" &amp; 3 + (ROW(A26)-1)*4)*100</f>
        <v>39.135453967955755</v>
      </c>
      <c r="K30" s="75">
        <v>2.8719490663203402E-11</v>
      </c>
      <c r="L30" s="75" t="s">
        <v>186</v>
      </c>
      <c r="M30" s="80" t="s">
        <v>95</v>
      </c>
      <c r="N30" s="75" cm="1">
        <f t="array" aca="1" ref="N30" ca="1">INDIRECT("'Python Impact of Optimization'!F" &amp; 5 + (ROW(A26)-1)*4)</f>
        <v>10.48</v>
      </c>
      <c r="O30" s="75" cm="1">
        <f t="array" aca="1" ref="O30" ca="1">INDIRECT("'Python Impact of Optimization'!F" &amp; 6 + (ROW(A26)-1)*4)</f>
        <v>13.564</v>
      </c>
      <c r="P30" s="75" cm="1">
        <f t="array" aca="1" ref="P30" ca="1">INDIRECT("'Python Impact of Optimization'!S" &amp; 5 + (ROW(A26)-1)*4)*100</f>
        <v>29.427480916030529</v>
      </c>
      <c r="Q30" s="75">
        <v>2.8719490663203402E-11</v>
      </c>
      <c r="R30" s="75" t="s">
        <v>186</v>
      </c>
      <c r="S30" s="75" cm="1">
        <f t="array" aca="1" ref="S30" ca="1">INDIRECT("'Python Impact of Optimization'!R" &amp; 5 + (ROW(A26)-1)*4)</f>
        <v>642319.20000000007</v>
      </c>
      <c r="T30" s="75" cm="1">
        <f t="array" aca="1" ref="T30" ca="1">INDIRECT("'Python Impact of Optimization'!R" &amp; 6 + (ROW(A26)-1)*4)</f>
        <v>866739.6</v>
      </c>
      <c r="U30" s="75" cm="1">
        <f t="array" aca="1" ref="U30" ca="1">INDIRECT("'Python Impact of Optimization'!V" &amp; 5 + (ROW(A26)-1)*4)*100</f>
        <v>34.939077019650021</v>
      </c>
      <c r="V30" s="75">
        <v>2.8719490663203402E-11</v>
      </c>
      <c r="W30" s="75" t="s">
        <v>186</v>
      </c>
      <c r="X30" s="75">
        <f t="shared" ca="1" si="0"/>
        <v>37.037265493802892</v>
      </c>
    </row>
    <row r="31" spans="2:24" x14ac:dyDescent="0.25">
      <c r="X31" s="1"/>
    </row>
    <row r="32" spans="2:24" ht="18.75" x14ac:dyDescent="0.3">
      <c r="B32" s="119" t="s">
        <v>155</v>
      </c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1"/>
    </row>
    <row r="33" spans="2:15" ht="15.75" x14ac:dyDescent="0.25">
      <c r="B33" s="114" t="s">
        <v>211</v>
      </c>
      <c r="C33" s="115"/>
      <c r="D33" s="115"/>
      <c r="E33" s="116"/>
      <c r="F33" s="81"/>
      <c r="G33" s="114" t="s">
        <v>211</v>
      </c>
      <c r="H33" s="115"/>
      <c r="I33" s="115"/>
      <c r="J33" s="116"/>
      <c r="K33" s="81"/>
      <c r="L33" s="114" t="s">
        <v>211</v>
      </c>
      <c r="M33" s="115"/>
      <c r="N33" s="115"/>
      <c r="O33" s="116"/>
    </row>
    <row r="34" spans="2:15" x14ac:dyDescent="0.25">
      <c r="B34" s="108" t="s">
        <v>111</v>
      </c>
      <c r="C34" s="109"/>
      <c r="D34" s="109"/>
      <c r="E34" s="110"/>
      <c r="F34" s="82"/>
      <c r="G34" s="108" t="s">
        <v>114</v>
      </c>
      <c r="H34" s="109"/>
      <c r="I34" s="109"/>
      <c r="J34" s="110"/>
      <c r="K34" s="82"/>
      <c r="L34" s="108" t="s">
        <v>221</v>
      </c>
      <c r="M34" s="109"/>
      <c r="N34" s="109"/>
      <c r="O34" s="110"/>
    </row>
    <row r="35" spans="2:15" x14ac:dyDescent="0.25">
      <c r="B35" s="50" t="s">
        <v>155</v>
      </c>
      <c r="C35" s="51" t="s">
        <v>179</v>
      </c>
      <c r="D35" s="51" t="s">
        <v>180</v>
      </c>
      <c r="E35" s="52" t="s">
        <v>181</v>
      </c>
      <c r="F35" s="82"/>
      <c r="G35" s="50" t="s">
        <v>155</v>
      </c>
      <c r="H35" s="51" t="s">
        <v>179</v>
      </c>
      <c r="I35" s="51" t="s">
        <v>180</v>
      </c>
      <c r="J35" s="52" t="s">
        <v>181</v>
      </c>
      <c r="K35" s="82"/>
      <c r="L35" s="50" t="s">
        <v>155</v>
      </c>
      <c r="M35" s="51" t="s">
        <v>179</v>
      </c>
      <c r="N35" s="51" t="s">
        <v>180</v>
      </c>
      <c r="O35" s="52" t="s">
        <v>181</v>
      </c>
    </row>
    <row r="36" spans="2:15" x14ac:dyDescent="0.25">
      <c r="B36" s="5" t="s">
        <v>182</v>
      </c>
      <c r="C36" s="39" cm="1">
        <f t="array" aca="1" ref="C36" ca="1">AVERAGE(_xlfn._xlws.FILTER($J$5:$J$30, ISNUMBER(MATCH($B$5:$B$30, _xlfn.TEXTSPLIT(_xlfn.TEXTJOIN(", ", TRUE, AA6:AA8), ", "), 0))))</f>
        <v>-33.325742129400162</v>
      </c>
      <c r="D36" s="39" cm="1">
        <f t="array" aca="1" ref="D36" ca="1">MIN(_xlfn._xlws.FILTER($J$5:$J$30, ISNUMBER(MATCH($B$5:$B$30, _xlfn.TEXTSPLIT(_xlfn.TEXTJOIN(", ", TRUE, AA6:AA8), ", "), 0))))</f>
        <v>-64.208177249502839</v>
      </c>
      <c r="E36" s="39" cm="1">
        <f t="array" aca="1" ref="E36" ca="1">MAX(_xlfn._xlws.FILTER($J$5:$J$30, ISNUMBER(MATCH($B$5:$B$30, _xlfn.TEXTSPLIT(_xlfn.TEXTJOIN(", ", TRUE, AA6:AA8), ", "), 0))))</f>
        <v>-3.0391777394509107</v>
      </c>
      <c r="F36" s="82"/>
      <c r="G36" s="5" t="s">
        <v>182</v>
      </c>
      <c r="H36" s="39" cm="1">
        <f t="array" aca="1" ref="H36" ca="1">AVERAGE(_xlfn._xlws.FILTER($U$5:$U$30, ISNUMBER(MATCH($M$5:$M$30, _xlfn.TEXTSPLIT(_xlfn.TEXTJOIN(", ", TRUE, AD6:AD8), ", "), 0))))</f>
        <v>-35.029305148539699</v>
      </c>
      <c r="I36" s="39" cm="1">
        <f t="array" aca="1" ref="I36" ca="1">MIN(_xlfn._xlws.FILTER($U$5:$U$30, ISNUMBER(MATCH($M$5:$M$30, _xlfn.TEXTSPLIT(_xlfn.TEXTJOIN(", ", TRUE, AD6:AD8), ", "), 0))))</f>
        <v>-66.108015778633913</v>
      </c>
      <c r="J36" s="39" cm="1">
        <f t="array" aca="1" ref="J36" ca="1">MAX(_xlfn._xlws.FILTER($U$5:$U$30, ISNUMBER(MATCH($M$5:$M$30, _xlfn.TEXTSPLIT(_xlfn.TEXTJOIN(", ", TRUE, AD6:AD8), ", "), 0))))</f>
        <v>-4.7592297762383939</v>
      </c>
      <c r="K36" s="82"/>
      <c r="L36" s="5" t="s">
        <v>182</v>
      </c>
      <c r="M36" s="39">
        <f ca="1">AVERAGE(C36,H36)</f>
        <v>-34.17752363896993</v>
      </c>
      <c r="N36" s="39">
        <f ca="1">MIN(D36,I36)</f>
        <v>-66.108015778633913</v>
      </c>
      <c r="O36" s="39">
        <f ca="1">MAX(E36,J36)</f>
        <v>-3.0391777394509107</v>
      </c>
    </row>
    <row r="37" spans="2:15" x14ac:dyDescent="0.25">
      <c r="B37" s="5" t="s">
        <v>183</v>
      </c>
      <c r="C37" s="39" t="e" cm="1" vm="1">
        <f t="array" aca="1" ref="C37" ca="1">AVERAGE(_xlfn._xlws.FILTER($J$5:$J$30, ISNUMBER(MATCH($B$5:$B$30, _xlfn.TEXTSPLIT(_xlfn.TEXTJOIN(", ", TRUE, AA9), ", "), 0))))</f>
        <v>#VALUE!</v>
      </c>
      <c r="D37" s="39" t="e" cm="1" vm="1">
        <f t="array" aca="1" ref="D37" ca="1">MIN(_xlfn._xlws.FILTER($J$5:$J$30, ISNUMBER(MATCH($B$5:$B$30, _xlfn.TEXTSPLIT(_xlfn.TEXTJOIN(", ", TRUE, AA9), ", "), 0))))</f>
        <v>#VALUE!</v>
      </c>
      <c r="E37" s="39" t="e" cm="1" vm="1">
        <f t="array" aca="1" ref="E37" ca="1">MAX(_xlfn._xlws.FILTER($J$5:$J$30, ISNUMBER(MATCH($B$5:$B$30, _xlfn.TEXTSPLIT(_xlfn.TEXTJOIN(", ", TRUE, AA9), ", "), 0))))</f>
        <v>#VALUE!</v>
      </c>
      <c r="F37" s="82"/>
      <c r="G37" s="5" t="s">
        <v>183</v>
      </c>
      <c r="H37" s="39" cm="1">
        <f t="array" aca="1" ref="H37" ca="1">AVERAGE(_xlfn._xlws.FILTER($U$5:$U$30, ISNUMBER(MATCH($M$5:$M$30, _xlfn.TEXTSPLIT(_xlfn.TEXTJOIN(", ", TRUE, AD9), ", "), 0))))</f>
        <v>-5.9640799087626428E-2</v>
      </c>
      <c r="I37" s="39" cm="1">
        <f t="array" aca="1" ref="I37" ca="1">MIN(_xlfn._xlws.FILTER($U$5:$U$30, ISNUMBER(MATCH($M$5:$M$30, _xlfn.TEXTSPLIT(_xlfn.TEXTJOIN(", ", TRUE, AD9), ", "), 0))))</f>
        <v>-2.0687566785365106</v>
      </c>
      <c r="J37" s="39" cm="1">
        <f t="array" aca="1" ref="J37" ca="1">MAX(_xlfn._xlws.FILTER($U$5:$U$30, ISNUMBER(MATCH($M$5:$M$30, _xlfn.TEXTSPLIT(_xlfn.TEXTJOIN(", ", TRUE, AD9), ", "), 0))))</f>
        <v>1.9494750803612577</v>
      </c>
      <c r="K37" s="82"/>
      <c r="L37" s="5" t="s">
        <v>183</v>
      </c>
      <c r="M37" s="39" t="e" vm="2">
        <f ca="1">AVERAGE(C37,H37)</f>
        <v>#VALUE!</v>
      </c>
      <c r="N37" s="39" t="e" vm="2">
        <f ca="1">MIN(D37,I37)</f>
        <v>#VALUE!</v>
      </c>
      <c r="O37" s="39" t="e" vm="2">
        <f ca="1">MAX(E37,J37)</f>
        <v>#VALUE!</v>
      </c>
    </row>
    <row r="38" spans="2:15" x14ac:dyDescent="0.25">
      <c r="B38" s="5" t="s">
        <v>184</v>
      </c>
      <c r="C38" s="39" cm="1">
        <f t="array" aca="1" ref="C38" ca="1">AVERAGE(_xlfn._xlws.FILTER($J$5:$J$30, ISNUMBER(MATCH($B$5:$B$30, _xlfn.TEXTSPLIT(_xlfn.TEXTJOIN(", ", TRUE, AA10:AA12), ", "), 0))))</f>
        <v>71.634195303538377</v>
      </c>
      <c r="D38" s="39" cm="1">
        <f t="array" aca="1" ref="D38" ca="1">MIN(_xlfn._xlws.FILTER($J$5:$J$30, ISNUMBER(MATCH($B$5:$B$30, _xlfn.TEXTSPLIT(_xlfn.TEXTJOIN(", ", TRUE, AA10:AA12), ", "), 0))))</f>
        <v>20.934724661661026</v>
      </c>
      <c r="E38" s="39" cm="1">
        <f t="array" aca="1" ref="E38" ca="1">MAX(_xlfn._xlws.FILTER($J$5:$J$30, ISNUMBER(MATCH($B$5:$B$30, _xlfn.TEXTSPLIT(_xlfn.TEXTJOIN(", ", TRUE, AA10:AA12), ", "), 0))))</f>
        <v>170.89497247916481</v>
      </c>
      <c r="F38" s="82"/>
      <c r="G38" s="5" t="s">
        <v>184</v>
      </c>
      <c r="H38" s="39" cm="1">
        <f t="array" aca="1" ref="H38" ca="1">AVERAGE(_xlfn._xlws.FILTER($U$5:$U$30, ISNUMBER(MATCH($M$5:$M$30, _xlfn.TEXTSPLIT(_xlfn.TEXTJOIN(", ", TRUE, AD10:AD12), ", "), 0))))</f>
        <v>24.260705349575684</v>
      </c>
      <c r="I38" s="39" cm="1">
        <f t="array" aca="1" ref="I38" ca="1">MIN(_xlfn._xlws.FILTER($U$5:$U$30, ISNUMBER(MATCH($M$5:$M$30, _xlfn.TEXTSPLIT(_xlfn.TEXTJOIN(", ", TRUE, AD10:AD12), ", "), 0))))</f>
        <v>12.545933792109171</v>
      </c>
      <c r="J38" s="39" cm="1">
        <f t="array" aca="1" ref="J38" ca="1">MAX(_xlfn._xlws.FILTER($U$5:$U$30, ISNUMBER(MATCH($M$5:$M$30, _xlfn.TEXTSPLIT(_xlfn.TEXTJOIN(", ", TRUE, AD10:AD12), ", "), 0))))</f>
        <v>40.234725444433515</v>
      </c>
      <c r="K38" s="82"/>
      <c r="L38" s="5" t="s">
        <v>184</v>
      </c>
      <c r="M38" s="39">
        <f ca="1">AVERAGE(C38,H38)</f>
        <v>47.947450326557032</v>
      </c>
      <c r="N38" s="39">
        <f ca="1">MIN(D38,I38)</f>
        <v>12.545933792109171</v>
      </c>
      <c r="O38" s="39">
        <f ca="1">MAX(E38,J38)</f>
        <v>170.89497247916481</v>
      </c>
    </row>
    <row r="39" spans="2:15" x14ac:dyDescent="0.25">
      <c r="B39" s="5" t="s">
        <v>121</v>
      </c>
      <c r="C39" s="39" cm="1">
        <f t="array" aca="1" ref="C39" ca="1">AVERAGE(_xlfn._xlws.FILTER($J$5:$J$30, ISNUMBER(MATCH($B$5:$B$30, _xlfn.TEXTSPLIT(_xlfn.TEXTJOIN(", ", TRUE, AA6:AA12), ", "), 0))))</f>
        <v>-17.178059447409609</v>
      </c>
      <c r="D39" s="39" cm="1">
        <f t="array" aca="1" ref="D39" ca="1">MIN(_xlfn._xlws.FILTER($J$5:$J$30, ISNUMBER(MATCH($B$5:$B$30, _xlfn.TEXTSPLIT(_xlfn.TEXTJOIN(", ", TRUE, AA6:AA12), ", "), 0))))</f>
        <v>-64.208177249502839</v>
      </c>
      <c r="E39" s="39" cm="1">
        <f t="array" aca="1" ref="E39" ca="1">MAX(_xlfn._xlws.FILTER($J$5:$J$30, ISNUMBER(MATCH($B$5:$B$30, _xlfn.TEXTSPLIT(_xlfn.TEXTJOIN(", ", TRUE, AA6:AA12), ", "), 0))))</f>
        <v>170.89497247916481</v>
      </c>
      <c r="F39" s="83"/>
      <c r="G39" s="5" t="s">
        <v>121</v>
      </c>
      <c r="H39" s="39" cm="1">
        <f t="array" aca="1" ref="H39" ca="1">AVERAGE(_xlfn._xlws.FILTER($U$5:$U$30, ISNUMBER(MATCH($M$5:$M$30, _xlfn.TEXTSPLIT(_xlfn.TEXTJOIN(", ", TRUE, AD6:AD12), ", "), 0))))</f>
        <v>-18.65702085286291</v>
      </c>
      <c r="I39" s="39" cm="1">
        <f t="array" aca="1" ref="I39" ca="1">MIN(_xlfn._xlws.FILTER($U$5:$U$30, ISNUMBER(MATCH($M$5:$M$30, _xlfn.TEXTSPLIT(_xlfn.TEXTJOIN(", ", TRUE, AD6:AD12), ", "), 0))))</f>
        <v>-66.108015778633913</v>
      </c>
      <c r="J39" s="39" cm="1">
        <f t="array" aca="1" ref="J39" ca="1">MAX(_xlfn._xlws.FILTER($U$5:$U$30, ISNUMBER(MATCH($M$5:$M$30, _xlfn.TEXTSPLIT(_xlfn.TEXTJOIN(", ", TRUE, AD6:AD12), ", "), 0))))</f>
        <v>40.234725444433515</v>
      </c>
      <c r="K39" s="83"/>
      <c r="L39" s="5" t="s">
        <v>121</v>
      </c>
      <c r="M39" s="39">
        <f ca="1">AVERAGE(C39,H39)</f>
        <v>-17.917540150136261</v>
      </c>
      <c r="N39" s="39">
        <f ca="1">MIN(D39,I39)</f>
        <v>-66.108015778633913</v>
      </c>
      <c r="O39" s="39">
        <f ca="1">MAX(E39,J39)</f>
        <v>170.89497247916481</v>
      </c>
    </row>
    <row r="41" spans="2:15" ht="21" x14ac:dyDescent="0.35">
      <c r="B41" s="111" t="s">
        <v>154</v>
      </c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3"/>
    </row>
    <row r="42" spans="2:15" ht="15.75" x14ac:dyDescent="0.25">
      <c r="B42" s="114" t="s">
        <v>211</v>
      </c>
      <c r="C42" s="115"/>
      <c r="D42" s="115"/>
      <c r="E42" s="116"/>
      <c r="F42" s="81"/>
      <c r="G42" s="114" t="s">
        <v>211</v>
      </c>
      <c r="H42" s="115"/>
      <c r="I42" s="115"/>
      <c r="J42" s="116"/>
      <c r="K42" s="81"/>
      <c r="L42" s="114" t="s">
        <v>211</v>
      </c>
      <c r="M42" s="115"/>
      <c r="N42" s="115"/>
      <c r="O42" s="116"/>
    </row>
    <row r="43" spans="2:15" x14ac:dyDescent="0.25">
      <c r="B43" s="108" t="s">
        <v>111</v>
      </c>
      <c r="C43" s="109"/>
      <c r="D43" s="109"/>
      <c r="E43" s="110"/>
      <c r="F43" s="82"/>
      <c r="G43" s="108" t="s">
        <v>114</v>
      </c>
      <c r="H43" s="109"/>
      <c r="I43" s="109"/>
      <c r="J43" s="110"/>
      <c r="K43" s="82"/>
      <c r="L43" s="108" t="s">
        <v>221</v>
      </c>
      <c r="M43" s="109"/>
      <c r="N43" s="109"/>
      <c r="O43" s="110"/>
    </row>
    <row r="44" spans="2:15" x14ac:dyDescent="0.25">
      <c r="B44" s="50" t="s">
        <v>155</v>
      </c>
      <c r="C44" s="108" t="s">
        <v>220</v>
      </c>
      <c r="D44" s="109"/>
      <c r="E44" s="15" t="s">
        <v>219</v>
      </c>
      <c r="F44" s="84"/>
      <c r="G44" s="50" t="s">
        <v>155</v>
      </c>
      <c r="H44" s="108" t="s">
        <v>220</v>
      </c>
      <c r="I44" s="109"/>
      <c r="J44" s="15" t="s">
        <v>219</v>
      </c>
      <c r="K44" s="82"/>
      <c r="L44" s="50" t="s">
        <v>155</v>
      </c>
      <c r="M44" s="108" t="s">
        <v>220</v>
      </c>
      <c r="N44" s="109"/>
      <c r="O44" s="15" t="s">
        <v>219</v>
      </c>
    </row>
    <row r="45" spans="2:15" x14ac:dyDescent="0.25">
      <c r="B45" s="5" t="s">
        <v>182</v>
      </c>
      <c r="C45" s="106" cm="1">
        <f t="array" aca="1" ref="C45" ca="1">COUNT(_xlfn._xlws.FILTER($J$5:$J$30, ISNUMBER(MATCH($B$5:$B$30, _xlfn.TEXTSPLIT(_xlfn.TEXTJOIN(", ", TRUE, AA6:AA8), ", "), 0))))</f>
        <v>22</v>
      </c>
      <c r="D45" s="107"/>
      <c r="E45" s="67">
        <f ca="1">C45/C$48</f>
        <v>0.84615384615384615</v>
      </c>
      <c r="F45" s="82"/>
      <c r="G45" s="5" t="s">
        <v>182</v>
      </c>
      <c r="H45" s="106" cm="1">
        <f t="array" aca="1" ref="H45" ca="1">COUNT(_xlfn._xlws.FILTER($U$5:$U$30, ISNUMBER(MATCH($M$5:$M$30, _xlfn.TEXTSPLIT(_xlfn.TEXTJOIN(", ", TRUE, AD6:AD8), ", "), 0))))</f>
        <v>18</v>
      </c>
      <c r="I45" s="107"/>
      <c r="J45" s="67">
        <f ca="1">H45/H$48</f>
        <v>0.69230769230769229</v>
      </c>
      <c r="K45" s="82"/>
      <c r="L45" s="5" t="s">
        <v>182</v>
      </c>
      <c r="M45" s="106">
        <f ca="1">SUM(C45,H45)</f>
        <v>40</v>
      </c>
      <c r="N45" s="107"/>
      <c r="O45" s="67">
        <f ca="1">M45/M$48</f>
        <v>0.76923076923076927</v>
      </c>
    </row>
    <row r="46" spans="2:15" x14ac:dyDescent="0.25">
      <c r="B46" s="5" t="s">
        <v>183</v>
      </c>
      <c r="C46" s="106" cm="1">
        <f t="array" aca="1" ref="C46" ca="1">COUNT(_xlfn._xlws.FILTER($J$5:$J$30, ISNUMBER(MATCH($B$5:$B$30, _xlfn.TEXTSPLIT(_xlfn.TEXTJOIN(", ", TRUE, AA9), ", "), 0))))</f>
        <v>0</v>
      </c>
      <c r="D46" s="107"/>
      <c r="E46" s="67">
        <f t="shared" ref="E46:E48" ca="1" si="1">C46/C$48</f>
        <v>0</v>
      </c>
      <c r="F46" s="82"/>
      <c r="G46" s="5" t="s">
        <v>183</v>
      </c>
      <c r="H46" s="106" cm="1">
        <f t="array" aca="1" ref="H46" ca="1">COUNT(_xlfn._xlws.FILTER($U$5:$U$30, ISNUMBER(MATCH($M$5:$M$30, _xlfn.TEXTSPLIT(_xlfn.TEXTJOIN(", ", TRUE, AD9), ", "), 0))))</f>
        <v>2</v>
      </c>
      <c r="I46" s="107"/>
      <c r="J46" s="67">
        <f t="shared" ref="J46:J48" ca="1" si="2">H46/H$48</f>
        <v>7.6923076923076927E-2</v>
      </c>
      <c r="K46" s="82"/>
      <c r="L46" s="5" t="s">
        <v>183</v>
      </c>
      <c r="M46" s="106">
        <f t="shared" ref="M46:M47" ca="1" si="3">SUM(C46,H46)</f>
        <v>2</v>
      </c>
      <c r="N46" s="107"/>
      <c r="O46" s="67">
        <f t="shared" ref="O46:O48" ca="1" si="4">M46/M$48</f>
        <v>3.8461538461538464E-2</v>
      </c>
    </row>
    <row r="47" spans="2:15" x14ac:dyDescent="0.25">
      <c r="B47" s="5" t="s">
        <v>184</v>
      </c>
      <c r="C47" s="106" cm="1">
        <f t="array" aca="1" ref="C47" ca="1">COUNT(_xlfn._xlws.FILTER($J$5:$J$30, ISNUMBER(MATCH($B$5:$B$30, _xlfn.TEXTSPLIT(_xlfn.TEXTJOIN(", ", TRUE, AA10:AA12), ", "), 0))))</f>
        <v>4</v>
      </c>
      <c r="D47" s="107"/>
      <c r="E47" s="67">
        <f t="shared" ca="1" si="1"/>
        <v>0.15384615384615385</v>
      </c>
      <c r="F47" s="82"/>
      <c r="G47" s="5" t="s">
        <v>184</v>
      </c>
      <c r="H47" s="106" cm="1">
        <f t="array" aca="1" ref="H47" ca="1">COUNT(_xlfn._xlws.FILTER($U$5:$U$30, ISNUMBER(MATCH($M$5:$M$30, _xlfn.TEXTSPLIT(_xlfn.TEXTJOIN(", ", TRUE, AD10:AD12), ", "), 0))))</f>
        <v>6</v>
      </c>
      <c r="I47" s="107"/>
      <c r="J47" s="67">
        <f t="shared" ca="1" si="2"/>
        <v>0.23076923076923078</v>
      </c>
      <c r="K47" s="82"/>
      <c r="L47" s="5" t="s">
        <v>184</v>
      </c>
      <c r="M47" s="106">
        <f t="shared" ca="1" si="3"/>
        <v>10</v>
      </c>
      <c r="N47" s="107"/>
      <c r="O47" s="67">
        <f t="shared" ca="1" si="4"/>
        <v>0.19230769230769232</v>
      </c>
    </row>
    <row r="48" spans="2:15" x14ac:dyDescent="0.25">
      <c r="B48" s="5" t="s">
        <v>121</v>
      </c>
      <c r="C48" s="106">
        <f ca="1">SUM(C45:D47)</f>
        <v>26</v>
      </c>
      <c r="D48" s="107"/>
      <c r="E48" s="67">
        <f t="shared" ca="1" si="1"/>
        <v>1</v>
      </c>
      <c r="F48" s="83"/>
      <c r="G48" s="5" t="s">
        <v>121</v>
      </c>
      <c r="H48" s="106">
        <f ca="1">SUM(H45:I47)</f>
        <v>26</v>
      </c>
      <c r="I48" s="107"/>
      <c r="J48" s="67">
        <f t="shared" ca="1" si="2"/>
        <v>1</v>
      </c>
      <c r="K48" s="83"/>
      <c r="L48" s="5" t="s">
        <v>121</v>
      </c>
      <c r="M48" s="106">
        <f ca="1">SUM(M45:N47)</f>
        <v>52</v>
      </c>
      <c r="N48" s="107"/>
      <c r="O48" s="67">
        <f t="shared" ca="1" si="4"/>
        <v>1</v>
      </c>
    </row>
  </sheetData>
  <mergeCells count="39">
    <mergeCell ref="B33:E33"/>
    <mergeCell ref="G33:J33"/>
    <mergeCell ref="L33:O33"/>
    <mergeCell ref="C2:L2"/>
    <mergeCell ref="N2:W2"/>
    <mergeCell ref="C3:G3"/>
    <mergeCell ref="H3:L3"/>
    <mergeCell ref="N3:R3"/>
    <mergeCell ref="S3:U3"/>
    <mergeCell ref="Z3:AA3"/>
    <mergeCell ref="AC3:AD3"/>
    <mergeCell ref="Z4:AA4"/>
    <mergeCell ref="AC4:AD4"/>
    <mergeCell ref="B32:O32"/>
    <mergeCell ref="B34:E34"/>
    <mergeCell ref="G34:J34"/>
    <mergeCell ref="L34:O34"/>
    <mergeCell ref="B41:O41"/>
    <mergeCell ref="B42:E42"/>
    <mergeCell ref="G42:J42"/>
    <mergeCell ref="L42:O42"/>
    <mergeCell ref="B43:E43"/>
    <mergeCell ref="G43:J43"/>
    <mergeCell ref="L43:O43"/>
    <mergeCell ref="C44:D44"/>
    <mergeCell ref="H44:I44"/>
    <mergeCell ref="M44:N44"/>
    <mergeCell ref="C45:D45"/>
    <mergeCell ref="H45:I45"/>
    <mergeCell ref="M45:N45"/>
    <mergeCell ref="C46:D46"/>
    <mergeCell ref="H46:I46"/>
    <mergeCell ref="M46:N46"/>
    <mergeCell ref="C47:D47"/>
    <mergeCell ref="H47:I47"/>
    <mergeCell ref="M47:N47"/>
    <mergeCell ref="C48:D48"/>
    <mergeCell ref="H48:I48"/>
    <mergeCell ref="M48:N48"/>
  </mergeCells>
  <conditionalFormatting sqref="E5:E30">
    <cfRule type="expression" dxfId="125" priority="18">
      <formula>E5 &lt;= -75</formula>
    </cfRule>
    <cfRule type="expression" dxfId="124" priority="19">
      <formula>AND(E5 &lt; 25, E5 &gt;= 3)</formula>
    </cfRule>
    <cfRule type="expression" dxfId="123" priority="15">
      <formula>AND(E5 &gt; -3, E5 &lt; 3)</formula>
    </cfRule>
    <cfRule type="expression" dxfId="122" priority="16">
      <formula>AND(E5 &gt; -25, E5 &lt;= -3)</formula>
    </cfRule>
    <cfRule type="expression" dxfId="121" priority="17">
      <formula>AND(E5 &gt; -75, E5 &lt;= -25)</formula>
    </cfRule>
    <cfRule type="expression" dxfId="120" priority="21">
      <formula>E5 &gt;= 75</formula>
    </cfRule>
    <cfRule type="expression" dxfId="119" priority="20">
      <formula>AND(E5 &lt; 75, E5 &gt;= 25)</formula>
    </cfRule>
  </conditionalFormatting>
  <conditionalFormatting sqref="J5:J30">
    <cfRule type="expression" dxfId="118" priority="32">
      <formula>J5 &lt;= -75</formula>
    </cfRule>
    <cfRule type="expression" dxfId="117" priority="33">
      <formula>AND(J5 &lt; 25, J5 &gt;= 3)</formula>
    </cfRule>
    <cfRule type="expression" dxfId="116" priority="34">
      <formula>AND(J5 &lt; 75, J5 &gt;= 25)</formula>
    </cfRule>
    <cfRule type="expression" dxfId="115" priority="35">
      <formula>J5 &gt;= 75</formula>
    </cfRule>
    <cfRule type="expression" dxfId="114" priority="29">
      <formula>AND(J5 &gt; -3, J5 &lt; 3)</formula>
    </cfRule>
    <cfRule type="expression" dxfId="113" priority="30">
      <formula>AND(J5 &gt; -25, J5 &lt;= -3)</formula>
    </cfRule>
    <cfRule type="expression" dxfId="112" priority="31">
      <formula>AND(J5 &gt; -75, J5 &lt;= -25)</formula>
    </cfRule>
  </conditionalFormatting>
  <conditionalFormatting sqref="P5:P30">
    <cfRule type="expression" dxfId="111" priority="8">
      <formula>AND(P5 &gt; -3, P5 &lt; 3)</formula>
    </cfRule>
    <cfRule type="expression" dxfId="110" priority="9">
      <formula>AND(P5 &gt; -25, P5 &lt;= -3)</formula>
    </cfRule>
    <cfRule type="expression" dxfId="109" priority="10">
      <formula>AND(P5 &gt; -75, P5 &lt;= -25)</formula>
    </cfRule>
    <cfRule type="expression" dxfId="108" priority="11">
      <formula>P5 &lt;= -75</formula>
    </cfRule>
    <cfRule type="expression" dxfId="107" priority="14">
      <formula>P5 &gt;= 75</formula>
    </cfRule>
    <cfRule type="expression" dxfId="106" priority="13">
      <formula>AND(P5 &lt; 75, P5 &gt;= 25)</formula>
    </cfRule>
    <cfRule type="expression" dxfId="105" priority="12">
      <formula>AND(P5 &lt; 25, P5 &gt;= 3)</formula>
    </cfRule>
  </conditionalFormatting>
  <conditionalFormatting sqref="U5:U30">
    <cfRule type="expression" dxfId="104" priority="25">
      <formula>U5 &lt;= -75</formula>
    </cfRule>
    <cfRule type="expression" dxfId="103" priority="26">
      <formula>AND(U5 &lt; 25, U5 &gt;= 3)</formula>
    </cfRule>
    <cfRule type="expression" dxfId="102" priority="27">
      <formula>AND(U5 &lt; 75, U5 &gt;= 25)</formula>
    </cfRule>
    <cfRule type="expression" dxfId="101" priority="28">
      <formula>U5 &gt;= 75</formula>
    </cfRule>
    <cfRule type="expression" dxfId="100" priority="22">
      <formula>AND(U5 &gt; -3, U5 &lt; 3)</formula>
    </cfRule>
    <cfRule type="expression" dxfId="99" priority="23">
      <formula>AND(U5 &gt; -25, U5 &lt;= -3)</formula>
    </cfRule>
    <cfRule type="expression" dxfId="98" priority="24">
      <formula>AND(U5 &gt; -75, U5 &lt;= -25)</formula>
    </cfRule>
  </conditionalFormatting>
  <conditionalFormatting sqref="X5:X30">
    <cfRule type="expression" dxfId="97" priority="2">
      <formula>AND(X5 &gt; -25, X5 &lt;= -3)</formula>
    </cfRule>
    <cfRule type="expression" dxfId="96" priority="3">
      <formula>AND(X5 &gt; -75, X5 &lt;= -25)</formula>
    </cfRule>
    <cfRule type="expression" dxfId="95" priority="4">
      <formula>X5 &lt;= -75</formula>
    </cfRule>
    <cfRule type="expression" dxfId="94" priority="5">
      <formula>AND(X5 &lt; 25, X5 &gt;= 3)</formula>
    </cfRule>
    <cfRule type="expression" dxfId="93" priority="6">
      <formula>AND(X5 &lt; 75, X5 &gt;= 25)</formula>
    </cfRule>
    <cfRule type="expression" dxfId="92" priority="7">
      <formula>X5 &gt;= 75</formula>
    </cfRule>
    <cfRule type="expression" dxfId="91" priority="1">
      <formula>AND(X5 &gt; -3, X5 &lt; 3)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7D482-61E0-4C3F-9781-9C557B543674}">
  <dimension ref="A1:W106"/>
  <sheetViews>
    <sheetView topLeftCell="H1" workbookViewId="0">
      <selection activeCell="Y37" sqref="Y37"/>
    </sheetView>
  </sheetViews>
  <sheetFormatPr baseColWidth="10" defaultRowHeight="15" x14ac:dyDescent="0.25"/>
  <cols>
    <col min="2" max="2" width="12" bestFit="1" customWidth="1"/>
    <col min="7" max="7" width="18.85546875" bestFit="1" customWidth="1"/>
    <col min="20" max="20" width="8.140625" bestFit="1" customWidth="1"/>
    <col min="21" max="23" width="14.85546875" bestFit="1" customWidth="1"/>
  </cols>
  <sheetData>
    <row r="1" spans="1:23" x14ac:dyDescent="0.25">
      <c r="A1" s="105" t="s">
        <v>115</v>
      </c>
      <c r="B1" s="122" t="s">
        <v>171</v>
      </c>
      <c r="C1" s="122" t="s">
        <v>172</v>
      </c>
      <c r="D1" s="105" t="s">
        <v>99</v>
      </c>
      <c r="E1" s="105" t="s">
        <v>98</v>
      </c>
      <c r="F1" s="105" t="s">
        <v>100</v>
      </c>
      <c r="G1" s="105" t="s">
        <v>173</v>
      </c>
      <c r="H1" s="104" t="s">
        <v>101</v>
      </c>
      <c r="I1" s="104"/>
      <c r="J1" s="104"/>
      <c r="K1" s="104" t="s">
        <v>102</v>
      </c>
      <c r="L1" s="104"/>
      <c r="M1" s="104"/>
      <c r="N1" s="104" t="s">
        <v>103</v>
      </c>
      <c r="O1" s="104"/>
      <c r="P1" s="104"/>
      <c r="Q1" s="104" t="s">
        <v>174</v>
      </c>
      <c r="R1" s="104"/>
      <c r="S1" s="104"/>
      <c r="T1" s="104" t="s">
        <v>116</v>
      </c>
      <c r="U1" s="104"/>
      <c r="V1" s="104"/>
      <c r="W1" s="104"/>
    </row>
    <row r="2" spans="1:23" x14ac:dyDescent="0.25">
      <c r="A2" s="105"/>
      <c r="B2" s="123"/>
      <c r="C2" s="127"/>
      <c r="D2" s="105"/>
      <c r="E2" s="105"/>
      <c r="F2" s="131"/>
      <c r="G2" s="105"/>
      <c r="H2" s="47" t="s">
        <v>105</v>
      </c>
      <c r="I2" s="47" t="s">
        <v>106</v>
      </c>
      <c r="J2" s="47" t="s">
        <v>107</v>
      </c>
      <c r="K2" s="47" t="s">
        <v>108</v>
      </c>
      <c r="L2" s="47" t="s">
        <v>109</v>
      </c>
      <c r="M2" s="47" t="s">
        <v>110</v>
      </c>
      <c r="N2" s="47" t="s">
        <v>108</v>
      </c>
      <c r="O2" s="47" t="s">
        <v>109</v>
      </c>
      <c r="P2" s="47" t="s">
        <v>110</v>
      </c>
      <c r="Q2" s="47" t="s">
        <v>108</v>
      </c>
      <c r="R2" s="47" t="s">
        <v>109</v>
      </c>
      <c r="S2" s="47" t="s">
        <v>110</v>
      </c>
      <c r="T2" s="13" t="s">
        <v>100</v>
      </c>
      <c r="U2" s="13" t="s">
        <v>108</v>
      </c>
      <c r="V2" s="13" t="s">
        <v>109</v>
      </c>
      <c r="W2" s="13" t="s">
        <v>110</v>
      </c>
    </row>
    <row r="3" spans="1:23" x14ac:dyDescent="0.25">
      <c r="A3" s="133" t="s">
        <v>156</v>
      </c>
      <c r="B3" s="45">
        <v>10000000000</v>
      </c>
      <c r="C3" s="46">
        <f>100000000/B3</f>
        <v>0.01</v>
      </c>
      <c r="D3" s="124" t="s">
        <v>175</v>
      </c>
      <c r="E3" s="48" t="s">
        <v>111</v>
      </c>
      <c r="F3" s="37">
        <v>42.225999999999999</v>
      </c>
      <c r="G3" s="41">
        <v>0.42086000000000001</v>
      </c>
      <c r="H3">
        <v>4.4000000000000004</v>
      </c>
      <c r="I3">
        <v>24.4</v>
      </c>
      <c r="J3">
        <v>140.44999999999999</v>
      </c>
      <c r="K3">
        <v>185.7944</v>
      </c>
      <c r="L3">
        <v>1030.3144</v>
      </c>
      <c r="M3">
        <v>5930.6416999999992</v>
      </c>
      <c r="N3">
        <v>146.94648000000001</v>
      </c>
      <c r="O3">
        <v>1005.82332</v>
      </c>
      <c r="P3">
        <v>1939.8624400000001</v>
      </c>
      <c r="Q3" s="42">
        <f>N3*C3</f>
        <v>1.4694648000000001</v>
      </c>
      <c r="R3" s="43">
        <f>O3*C3</f>
        <v>10.0582332</v>
      </c>
      <c r="S3" s="44">
        <f>P3*C3</f>
        <v>19.398624400000003</v>
      </c>
      <c r="T3" s="99">
        <f>(F4-F3)/F3</f>
        <v>-4.618007862454419E-3</v>
      </c>
      <c r="U3" s="99">
        <f>(Q4-Q3)/Q3</f>
        <v>1.2543750622675622E-2</v>
      </c>
      <c r="V3" s="99">
        <f>(R4-R3)/R3</f>
        <v>-0.16215747513191492</v>
      </c>
      <c r="W3" s="100">
        <f>(S4-S3)/S3</f>
        <v>4.6988022511533804E-3</v>
      </c>
    </row>
    <row r="4" spans="1:23" x14ac:dyDescent="0.25">
      <c r="A4" s="133"/>
      <c r="B4" s="45">
        <v>10000000000</v>
      </c>
      <c r="C4" s="46">
        <f t="shared" ref="C4:C67" si="0">100000000/B4</f>
        <v>0.01</v>
      </c>
      <c r="D4" s="97"/>
      <c r="E4" s="48" t="s">
        <v>114</v>
      </c>
      <c r="F4" s="37">
        <v>42.030999999999999</v>
      </c>
      <c r="G4" s="41">
        <v>0.41907</v>
      </c>
      <c r="H4">
        <v>4.46</v>
      </c>
      <c r="I4">
        <v>20.63</v>
      </c>
      <c r="J4">
        <v>140.88</v>
      </c>
      <c r="K4">
        <v>187.45826</v>
      </c>
      <c r="L4">
        <v>867.09952999999996</v>
      </c>
      <c r="M4">
        <v>5921.3272800000004</v>
      </c>
      <c r="N4">
        <v>148.78973999999999</v>
      </c>
      <c r="O4">
        <v>842.72154999999998</v>
      </c>
      <c r="P4">
        <v>1948.97747</v>
      </c>
      <c r="Q4" s="42">
        <f t="shared" ref="Q4:Q67" si="1">N4*C4</f>
        <v>1.4878974</v>
      </c>
      <c r="R4" s="43">
        <f t="shared" ref="R4:R67" si="2">O4*C4</f>
        <v>8.4272154999999991</v>
      </c>
      <c r="S4" s="44">
        <f t="shared" ref="S4:S67" si="3">P4*C4</f>
        <v>19.489774700000002</v>
      </c>
      <c r="T4" s="99"/>
      <c r="U4" s="99"/>
      <c r="V4" s="99"/>
      <c r="W4" s="100"/>
    </row>
    <row r="5" spans="1:23" x14ac:dyDescent="0.25">
      <c r="A5" s="133"/>
      <c r="B5" s="45">
        <v>100000000</v>
      </c>
      <c r="C5" s="46">
        <f t="shared" si="0"/>
        <v>1</v>
      </c>
      <c r="D5" s="97" t="s">
        <v>176</v>
      </c>
      <c r="E5" s="48" t="s">
        <v>111</v>
      </c>
      <c r="F5" s="37">
        <v>91.346000000000004</v>
      </c>
      <c r="G5" s="41">
        <v>93.046999999999997</v>
      </c>
      <c r="H5">
        <v>5.48</v>
      </c>
      <c r="I5">
        <v>22.29</v>
      </c>
      <c r="J5">
        <v>133.41</v>
      </c>
      <c r="K5">
        <v>500.57607999999999</v>
      </c>
      <c r="L5">
        <v>2036.1023399999999</v>
      </c>
      <c r="M5">
        <v>12186.469859999999</v>
      </c>
      <c r="N5">
        <v>369.9513</v>
      </c>
      <c r="O5">
        <v>1930.1409799999999</v>
      </c>
      <c r="P5">
        <v>4075.8585200000002</v>
      </c>
      <c r="Q5" s="42">
        <f t="shared" si="1"/>
        <v>369.9513</v>
      </c>
      <c r="R5" s="43">
        <f t="shared" si="2"/>
        <v>1930.1409799999999</v>
      </c>
      <c r="S5" s="44">
        <f t="shared" si="3"/>
        <v>4075.8585200000002</v>
      </c>
      <c r="T5" s="99">
        <f>(F6-F5)/F5</f>
        <v>-0.78641648238565454</v>
      </c>
      <c r="U5" s="99">
        <f>(Q6-Q5)/Q5</f>
        <v>-0.78536174896533673</v>
      </c>
      <c r="V5" s="99">
        <f>(R6-R5)/R5</f>
        <v>-0.76033766196705477</v>
      </c>
      <c r="W5" s="100">
        <f>(S6-S5)/S5</f>
        <v>-0.75707387900206113</v>
      </c>
    </row>
    <row r="6" spans="1:23" x14ac:dyDescent="0.25">
      <c r="A6" s="133"/>
      <c r="B6" s="45">
        <v>100000000</v>
      </c>
      <c r="C6" s="46">
        <f t="shared" si="0"/>
        <v>1</v>
      </c>
      <c r="D6" s="97"/>
      <c r="E6" s="48" t="s">
        <v>114</v>
      </c>
      <c r="F6" s="37">
        <v>19.510000000000002</v>
      </c>
      <c r="G6" s="41">
        <v>19.581</v>
      </c>
      <c r="H6">
        <v>5.5</v>
      </c>
      <c r="I6">
        <v>24.87</v>
      </c>
      <c r="J6">
        <v>139.54</v>
      </c>
      <c r="K6">
        <v>107.30500000000001</v>
      </c>
      <c r="L6">
        <v>485.21370000000007</v>
      </c>
      <c r="M6">
        <v>2722.4254000000001</v>
      </c>
      <c r="N6">
        <v>79.40570000000001</v>
      </c>
      <c r="O6">
        <v>462.58210000000003</v>
      </c>
      <c r="P6">
        <v>990.13250000000005</v>
      </c>
      <c r="Q6" s="42">
        <f t="shared" si="1"/>
        <v>79.40570000000001</v>
      </c>
      <c r="R6" s="43">
        <f t="shared" si="2"/>
        <v>462.58210000000003</v>
      </c>
      <c r="S6" s="44">
        <f t="shared" si="3"/>
        <v>990.13250000000005</v>
      </c>
      <c r="T6" s="99"/>
      <c r="U6" s="99"/>
      <c r="V6" s="99"/>
      <c r="W6" s="100"/>
    </row>
    <row r="7" spans="1:23" x14ac:dyDescent="0.25">
      <c r="A7" s="133" t="s">
        <v>157</v>
      </c>
      <c r="B7" s="45">
        <v>100000000</v>
      </c>
      <c r="C7" s="46">
        <f t="shared" si="0"/>
        <v>1</v>
      </c>
      <c r="D7" s="124" t="s">
        <v>175</v>
      </c>
      <c r="E7" s="48" t="s">
        <v>111</v>
      </c>
      <c r="F7">
        <v>134.08600000000001</v>
      </c>
      <c r="G7" s="42">
        <f t="shared" ref="G7:G70" si="4">F7*C7</f>
        <v>134.08600000000001</v>
      </c>
      <c r="H7">
        <v>5.46</v>
      </c>
      <c r="I7">
        <v>25.17</v>
      </c>
      <c r="J7">
        <v>141.69999999999999</v>
      </c>
      <c r="K7">
        <v>732.1095600000001</v>
      </c>
      <c r="L7">
        <v>3374.9446200000011</v>
      </c>
      <c r="M7">
        <v>18999.986199999999</v>
      </c>
      <c r="N7">
        <v>506.84508</v>
      </c>
      <c r="O7">
        <v>3297.1747399999999</v>
      </c>
      <c r="P7">
        <v>7300.9827000000014</v>
      </c>
      <c r="Q7" s="42">
        <f t="shared" si="1"/>
        <v>506.84508</v>
      </c>
      <c r="R7" s="43">
        <f t="shared" si="2"/>
        <v>3297.1747399999999</v>
      </c>
      <c r="S7" s="44">
        <f t="shared" si="3"/>
        <v>7300.9827000000014</v>
      </c>
      <c r="T7" s="99">
        <f>(F8-F7)/F7</f>
        <v>-0.69009441701594498</v>
      </c>
      <c r="U7" s="99">
        <f>(Q8-Q7)/Q7</f>
        <v>-0.68927456097630457</v>
      </c>
      <c r="V7" s="99">
        <f>(R8-R7)/R7</f>
        <v>-0.69765616365240024</v>
      </c>
      <c r="W7" s="100">
        <f>(S8-S7)/S7</f>
        <v>-0.70489247974796598</v>
      </c>
    </row>
    <row r="8" spans="1:23" x14ac:dyDescent="0.25">
      <c r="A8" s="133"/>
      <c r="B8" s="45">
        <v>100000000</v>
      </c>
      <c r="C8" s="46">
        <f t="shared" si="0"/>
        <v>1</v>
      </c>
      <c r="D8" s="97"/>
      <c r="E8" s="48" t="s">
        <v>114</v>
      </c>
      <c r="F8">
        <v>41.554000000000002</v>
      </c>
      <c r="G8" s="42">
        <f t="shared" si="4"/>
        <v>41.554000000000002</v>
      </c>
      <c r="H8">
        <v>5.47</v>
      </c>
      <c r="I8">
        <v>24.57</v>
      </c>
      <c r="J8">
        <v>139.1</v>
      </c>
      <c r="K8">
        <v>227.30037999999999</v>
      </c>
      <c r="L8">
        <v>1020.98178</v>
      </c>
      <c r="M8">
        <v>5780.1614</v>
      </c>
      <c r="N8">
        <v>157.48965999999999</v>
      </c>
      <c r="O8">
        <v>996.88045999999997</v>
      </c>
      <c r="P8">
        <v>2154.5749000000001</v>
      </c>
      <c r="Q8" s="42">
        <f t="shared" si="1"/>
        <v>157.48965999999999</v>
      </c>
      <c r="R8" s="43">
        <f t="shared" si="2"/>
        <v>996.88045999999997</v>
      </c>
      <c r="S8" s="44">
        <f t="shared" si="3"/>
        <v>2154.5749000000001</v>
      </c>
      <c r="T8" s="99"/>
      <c r="U8" s="99"/>
      <c r="V8" s="99"/>
      <c r="W8" s="100"/>
    </row>
    <row r="9" spans="1:23" x14ac:dyDescent="0.25">
      <c r="A9" s="133"/>
      <c r="B9" s="45">
        <v>10000000</v>
      </c>
      <c r="C9" s="46">
        <f t="shared" si="0"/>
        <v>10</v>
      </c>
      <c r="D9" s="97" t="s">
        <v>176</v>
      </c>
      <c r="E9" s="48" t="s">
        <v>111</v>
      </c>
      <c r="F9">
        <v>263.96800000000002</v>
      </c>
      <c r="G9" s="42">
        <f t="shared" si="4"/>
        <v>2639.6800000000003</v>
      </c>
      <c r="H9">
        <v>10.43</v>
      </c>
      <c r="I9">
        <v>32.979999999999997</v>
      </c>
      <c r="J9">
        <v>147.44</v>
      </c>
      <c r="K9">
        <v>2753.18624</v>
      </c>
      <c r="L9">
        <v>8705.6646399999991</v>
      </c>
      <c r="M9">
        <v>38919.441919999997</v>
      </c>
      <c r="N9">
        <v>1583.808</v>
      </c>
      <c r="O9">
        <v>8497.1299199999994</v>
      </c>
      <c r="P9">
        <v>14747.892159999999</v>
      </c>
      <c r="Q9" s="42">
        <f t="shared" si="1"/>
        <v>15838.08</v>
      </c>
      <c r="R9" s="43">
        <f t="shared" si="2"/>
        <v>84971.299199999994</v>
      </c>
      <c r="S9" s="44">
        <f t="shared" si="3"/>
        <v>147478.9216</v>
      </c>
      <c r="T9" s="99">
        <f>(F10-F9)/F9</f>
        <v>-4.902109346587475E-2</v>
      </c>
      <c r="U9" s="99">
        <f>(Q10-Q9)/Q9</f>
        <v>-0.32638994120499465</v>
      </c>
      <c r="V9" s="99">
        <f>(R10-R9)/R9</f>
        <v>-0.10899273622027886</v>
      </c>
      <c r="W9" s="100">
        <f>(S10-S9)/S9</f>
        <v>-5.446790302540426E-2</v>
      </c>
    </row>
    <row r="10" spans="1:23" x14ac:dyDescent="0.25">
      <c r="A10" s="133"/>
      <c r="B10" s="45">
        <v>10000000</v>
      </c>
      <c r="C10" s="46">
        <f t="shared" si="0"/>
        <v>10</v>
      </c>
      <c r="D10" s="97"/>
      <c r="E10" s="48" t="s">
        <v>114</v>
      </c>
      <c r="F10">
        <v>251.02799999999999</v>
      </c>
      <c r="G10" s="42">
        <f t="shared" si="4"/>
        <v>2510.2799999999997</v>
      </c>
      <c r="H10">
        <v>8.68</v>
      </c>
      <c r="I10">
        <v>30.95</v>
      </c>
      <c r="J10">
        <v>147.13</v>
      </c>
      <c r="K10">
        <v>2178.9230400000001</v>
      </c>
      <c r="L10">
        <v>7769.3165999999992</v>
      </c>
      <c r="M10">
        <v>36933.749639999987</v>
      </c>
      <c r="N10">
        <v>1066.8689999999999</v>
      </c>
      <c r="O10">
        <v>7571.0044799999996</v>
      </c>
      <c r="P10">
        <v>13944.6054</v>
      </c>
      <c r="Q10" s="42">
        <f t="shared" si="1"/>
        <v>10668.689999999999</v>
      </c>
      <c r="R10" s="43">
        <f t="shared" si="2"/>
        <v>75710.044800000003</v>
      </c>
      <c r="S10" s="44">
        <f t="shared" si="3"/>
        <v>139446.054</v>
      </c>
      <c r="T10" s="99"/>
      <c r="U10" s="99"/>
      <c r="V10" s="99"/>
      <c r="W10" s="100"/>
    </row>
    <row r="11" spans="1:23" x14ac:dyDescent="0.25">
      <c r="A11" s="133" t="s">
        <v>158</v>
      </c>
      <c r="B11" s="45">
        <v>10000000000</v>
      </c>
      <c r="C11" s="46">
        <f t="shared" si="0"/>
        <v>0.01</v>
      </c>
      <c r="D11" s="124" t="s">
        <v>175</v>
      </c>
      <c r="E11" s="48" t="s">
        <v>111</v>
      </c>
      <c r="F11">
        <v>2.0939999999999999</v>
      </c>
      <c r="G11" s="42">
        <f t="shared" si="4"/>
        <v>2.094E-2</v>
      </c>
      <c r="H11">
        <v>5.35</v>
      </c>
      <c r="I11">
        <v>20.93</v>
      </c>
      <c r="J11">
        <v>136.58000000000001</v>
      </c>
      <c r="K11">
        <v>11.2029</v>
      </c>
      <c r="L11">
        <v>43.827419999999996</v>
      </c>
      <c r="M11">
        <v>285.99851999999998</v>
      </c>
      <c r="N11">
        <v>7.1614799999999992</v>
      </c>
      <c r="O11">
        <v>42.612900000000003</v>
      </c>
      <c r="P11">
        <v>94.837259999999986</v>
      </c>
      <c r="Q11" s="42">
        <f t="shared" si="1"/>
        <v>7.1614799999999992E-2</v>
      </c>
      <c r="R11" s="43">
        <f t="shared" si="2"/>
        <v>0.42612900000000004</v>
      </c>
      <c r="S11" s="44">
        <f t="shared" si="3"/>
        <v>0.9483725999999999</v>
      </c>
      <c r="T11" s="99">
        <f>(F12-F11)/F11</f>
        <v>0</v>
      </c>
      <c r="U11" s="99">
        <f>(Q12-Q11)/Q11</f>
        <v>-2.9239766081871135E-3</v>
      </c>
      <c r="V11" s="99">
        <f>(R12-R11)/R11</f>
        <v>2.4570024570023737E-3</v>
      </c>
      <c r="W11" s="100">
        <f>(S12-S11)/S11</f>
        <v>7.9487745639214551E-3</v>
      </c>
    </row>
    <row r="12" spans="1:23" x14ac:dyDescent="0.25">
      <c r="A12" s="133"/>
      <c r="B12" s="45">
        <v>10000000000</v>
      </c>
      <c r="C12" s="46">
        <f t="shared" si="0"/>
        <v>0.01</v>
      </c>
      <c r="D12" s="97"/>
      <c r="E12" s="48" t="s">
        <v>114</v>
      </c>
      <c r="F12">
        <v>2.0939999999999999</v>
      </c>
      <c r="G12" s="42">
        <f t="shared" si="4"/>
        <v>2.094E-2</v>
      </c>
      <c r="H12">
        <v>5.34</v>
      </c>
      <c r="I12">
        <v>20.98</v>
      </c>
      <c r="J12">
        <v>136.94</v>
      </c>
      <c r="K12">
        <v>11.18196</v>
      </c>
      <c r="L12">
        <v>43.932119999999998</v>
      </c>
      <c r="M12">
        <v>286.75236000000001</v>
      </c>
      <c r="N12">
        <v>7.1405399999999997</v>
      </c>
      <c r="O12">
        <v>42.717599999999997</v>
      </c>
      <c r="P12">
        <v>95.591099999999997</v>
      </c>
      <c r="Q12" s="42">
        <f t="shared" si="1"/>
        <v>7.1405399999999994E-2</v>
      </c>
      <c r="R12" s="43">
        <f t="shared" si="2"/>
        <v>0.427176</v>
      </c>
      <c r="S12" s="44">
        <f t="shared" si="3"/>
        <v>0.95591099999999996</v>
      </c>
      <c r="T12" s="99"/>
      <c r="U12" s="99"/>
      <c r="V12" s="99"/>
      <c r="W12" s="100"/>
    </row>
    <row r="13" spans="1:23" x14ac:dyDescent="0.25">
      <c r="A13" s="133"/>
      <c r="B13" s="45">
        <v>100000000</v>
      </c>
      <c r="C13" s="46">
        <f t="shared" si="0"/>
        <v>1</v>
      </c>
      <c r="D13" s="97" t="s">
        <v>176</v>
      </c>
      <c r="E13" s="48" t="s">
        <v>111</v>
      </c>
      <c r="F13">
        <v>4.7990000000000004</v>
      </c>
      <c r="G13" s="42">
        <f t="shared" si="4"/>
        <v>4.7990000000000004</v>
      </c>
      <c r="H13">
        <v>5.34</v>
      </c>
      <c r="I13">
        <v>20.67</v>
      </c>
      <c r="J13">
        <v>133.77000000000001</v>
      </c>
      <c r="K13">
        <v>25.626660000000001</v>
      </c>
      <c r="L13">
        <v>99.195330000000013</v>
      </c>
      <c r="M13">
        <v>641.96223000000009</v>
      </c>
      <c r="N13">
        <v>17.564340000000001</v>
      </c>
      <c r="O13">
        <v>96.411910000000006</v>
      </c>
      <c r="P13">
        <v>225.553</v>
      </c>
      <c r="Q13" s="42">
        <f t="shared" si="1"/>
        <v>17.564340000000001</v>
      </c>
      <c r="R13" s="43">
        <f t="shared" si="2"/>
        <v>96.411910000000006</v>
      </c>
      <c r="S13" s="44">
        <f t="shared" si="3"/>
        <v>225.553</v>
      </c>
      <c r="T13" s="99">
        <f>(F14-F13)/F13</f>
        <v>7.5015628255885782E-3</v>
      </c>
      <c r="U13" s="99">
        <f>(Q14-Q13)/Q13</f>
        <v>7.5015628255886571E-3</v>
      </c>
      <c r="V13" s="99">
        <f>(R14-R13)/R13</f>
        <v>-1.4564175733060559E-2</v>
      </c>
      <c r="W13" s="100">
        <f>(S14-S13)/S13</f>
        <v>-2.0579863712741595E-2</v>
      </c>
    </row>
    <row r="14" spans="1:23" x14ac:dyDescent="0.25">
      <c r="A14" s="133"/>
      <c r="B14" s="45">
        <v>100000000</v>
      </c>
      <c r="C14" s="46">
        <f t="shared" si="0"/>
        <v>1</v>
      </c>
      <c r="D14" s="97"/>
      <c r="E14" s="48" t="s">
        <v>114</v>
      </c>
      <c r="F14">
        <v>4.835</v>
      </c>
      <c r="G14" s="42">
        <f t="shared" si="4"/>
        <v>4.835</v>
      </c>
      <c r="H14">
        <v>5.34</v>
      </c>
      <c r="I14">
        <v>20.23</v>
      </c>
      <c r="J14">
        <v>132.46</v>
      </c>
      <c r="K14">
        <v>25.818899999999999</v>
      </c>
      <c r="L14">
        <v>97.812049999999999</v>
      </c>
      <c r="M14">
        <v>640.44410000000005</v>
      </c>
      <c r="N14">
        <v>17.696100000000001</v>
      </c>
      <c r="O14">
        <v>95.007749999999987</v>
      </c>
      <c r="P14">
        <v>220.91114999999999</v>
      </c>
      <c r="Q14" s="42">
        <f t="shared" si="1"/>
        <v>17.696100000000001</v>
      </c>
      <c r="R14" s="43">
        <f t="shared" si="2"/>
        <v>95.007749999999987</v>
      </c>
      <c r="S14" s="44">
        <f t="shared" si="3"/>
        <v>220.91114999999999</v>
      </c>
      <c r="T14" s="99"/>
      <c r="U14" s="99"/>
      <c r="V14" s="99"/>
      <c r="W14" s="100"/>
    </row>
    <row r="15" spans="1:23" x14ac:dyDescent="0.25">
      <c r="A15" s="133" t="s">
        <v>160</v>
      </c>
      <c r="B15" s="45">
        <v>10000000000</v>
      </c>
      <c r="C15" s="46">
        <f t="shared" si="0"/>
        <v>0.01</v>
      </c>
      <c r="D15" s="124" t="s">
        <v>175</v>
      </c>
      <c r="E15" s="48" t="s">
        <v>111</v>
      </c>
      <c r="F15">
        <v>238.83500000000001</v>
      </c>
      <c r="G15" s="42">
        <f t="shared" si="4"/>
        <v>2.38835</v>
      </c>
      <c r="H15">
        <v>5.3</v>
      </c>
      <c r="I15">
        <v>25.94</v>
      </c>
      <c r="J15">
        <v>143.33000000000001</v>
      </c>
      <c r="K15">
        <v>1265.8254999999999</v>
      </c>
      <c r="L15">
        <v>6195.3799000000008</v>
      </c>
      <c r="M15">
        <v>34232.220550000013</v>
      </c>
      <c r="N15">
        <v>924.29145000000005</v>
      </c>
      <c r="O15">
        <v>6056.8555999999999</v>
      </c>
      <c r="P15">
        <v>13341.3231</v>
      </c>
      <c r="Q15" s="42">
        <f t="shared" si="1"/>
        <v>9.2429145000000013</v>
      </c>
      <c r="R15" s="43">
        <f t="shared" si="2"/>
        <v>60.568556000000001</v>
      </c>
      <c r="S15" s="44">
        <f t="shared" si="3"/>
        <v>133.413231</v>
      </c>
      <c r="T15" s="99">
        <f>(F16-F15)/F15</f>
        <v>-0.91212343249523731</v>
      </c>
      <c r="U15" s="99">
        <f>(Q16-Q15)/Q15</f>
        <v>-0.91189636126137485</v>
      </c>
      <c r="V15" s="99">
        <f>(R16-R15)/R15</f>
        <v>-0.92037052360964333</v>
      </c>
      <c r="W15" s="100">
        <f>(S16-S15)/S15</f>
        <v>-0.92058701883923344</v>
      </c>
    </row>
    <row r="16" spans="1:23" x14ac:dyDescent="0.25">
      <c r="A16" s="133"/>
      <c r="B16" s="45">
        <v>10000000000</v>
      </c>
      <c r="C16" s="46">
        <f t="shared" si="0"/>
        <v>0.01</v>
      </c>
      <c r="D16" s="97"/>
      <c r="E16" s="48" t="s">
        <v>114</v>
      </c>
      <c r="F16">
        <v>20.988</v>
      </c>
      <c r="G16" s="42">
        <f t="shared" si="4"/>
        <v>0.20988000000000001</v>
      </c>
      <c r="H16">
        <v>5.31</v>
      </c>
      <c r="I16">
        <v>23.56</v>
      </c>
      <c r="J16">
        <v>137.94999999999999</v>
      </c>
      <c r="K16">
        <v>111.44628</v>
      </c>
      <c r="L16">
        <v>494.47728000000001</v>
      </c>
      <c r="M16">
        <v>2895.2946000000002</v>
      </c>
      <c r="N16">
        <v>81.43343999999999</v>
      </c>
      <c r="O16">
        <v>482.30423999999999</v>
      </c>
      <c r="P16">
        <v>1059.47424</v>
      </c>
      <c r="Q16" s="42">
        <f t="shared" si="1"/>
        <v>0.8143343999999999</v>
      </c>
      <c r="R16" s="43">
        <f t="shared" si="2"/>
        <v>4.8230424000000003</v>
      </c>
      <c r="S16" s="44">
        <f t="shared" si="3"/>
        <v>10.594742399999999</v>
      </c>
      <c r="T16" s="99"/>
      <c r="U16" s="99"/>
      <c r="V16" s="99"/>
      <c r="W16" s="100"/>
    </row>
    <row r="17" spans="1:23" x14ac:dyDescent="0.25">
      <c r="A17" s="133"/>
      <c r="B17" s="45">
        <v>10000000</v>
      </c>
      <c r="C17" s="46">
        <f t="shared" si="0"/>
        <v>10</v>
      </c>
      <c r="D17" s="97" t="s">
        <v>176</v>
      </c>
      <c r="E17" s="48" t="s">
        <v>111</v>
      </c>
      <c r="F17">
        <v>17.018000000000001</v>
      </c>
      <c r="G17" s="42">
        <f t="shared" si="4"/>
        <v>170.18</v>
      </c>
      <c r="H17">
        <v>5.3</v>
      </c>
      <c r="I17">
        <v>23.34</v>
      </c>
      <c r="J17">
        <v>138.09</v>
      </c>
      <c r="K17">
        <v>90.195400000000006</v>
      </c>
      <c r="L17">
        <v>397.20012000000003</v>
      </c>
      <c r="M17">
        <v>2350.0156200000001</v>
      </c>
      <c r="N17">
        <v>65.859660000000005</v>
      </c>
      <c r="O17">
        <v>387.32968000000011</v>
      </c>
      <c r="P17">
        <v>856.34576000000004</v>
      </c>
      <c r="Q17" s="42">
        <f t="shared" si="1"/>
        <v>658.59660000000008</v>
      </c>
      <c r="R17" s="43">
        <f t="shared" si="2"/>
        <v>3873.296800000001</v>
      </c>
      <c r="S17" s="44">
        <f t="shared" si="3"/>
        <v>8563.4575999999997</v>
      </c>
      <c r="T17" s="99">
        <f>(F18-F17)/F17</f>
        <v>-0.80038782465624636</v>
      </c>
      <c r="U17" s="99">
        <f>(Q18-Q17)/Q17</f>
        <v>-0.79729306224781604</v>
      </c>
      <c r="V17" s="99">
        <f>(R18-R17)/R17</f>
        <v>-0.82968064827874799</v>
      </c>
      <c r="W17" s="100">
        <f>(S18-S17)/S17</f>
        <v>-0.82069812548613541</v>
      </c>
    </row>
    <row r="18" spans="1:23" x14ac:dyDescent="0.25">
      <c r="A18" s="133"/>
      <c r="B18" s="45">
        <v>10000000</v>
      </c>
      <c r="C18" s="46">
        <f t="shared" si="0"/>
        <v>10</v>
      </c>
      <c r="D18" s="97"/>
      <c r="E18" s="48" t="s">
        <v>114</v>
      </c>
      <c r="F18">
        <v>3.3969999999999998</v>
      </c>
      <c r="G18" s="42">
        <f t="shared" si="4"/>
        <v>33.97</v>
      </c>
      <c r="H18">
        <v>5.36</v>
      </c>
      <c r="I18">
        <v>20</v>
      </c>
      <c r="J18">
        <v>132.97</v>
      </c>
      <c r="K18">
        <v>18.207920000000001</v>
      </c>
      <c r="L18">
        <v>67.94</v>
      </c>
      <c r="M18">
        <v>451.69909000000001</v>
      </c>
      <c r="N18">
        <v>13.350210000000001</v>
      </c>
      <c r="O18">
        <v>65.969740000000002</v>
      </c>
      <c r="P18">
        <v>153.5444</v>
      </c>
      <c r="Q18" s="42">
        <f t="shared" si="1"/>
        <v>133.50210000000001</v>
      </c>
      <c r="R18" s="43">
        <f t="shared" si="2"/>
        <v>659.69740000000002</v>
      </c>
      <c r="S18" s="44">
        <f t="shared" si="3"/>
        <v>1535.444</v>
      </c>
      <c r="T18" s="99"/>
      <c r="U18" s="99"/>
      <c r="V18" s="99"/>
      <c r="W18" s="100"/>
    </row>
    <row r="19" spans="1:23" x14ac:dyDescent="0.25">
      <c r="A19" s="133" t="s">
        <v>159</v>
      </c>
      <c r="B19" s="45">
        <v>10000000000</v>
      </c>
      <c r="C19" s="46">
        <f t="shared" si="0"/>
        <v>0.01</v>
      </c>
      <c r="D19" s="124" t="s">
        <v>175</v>
      </c>
      <c r="E19" s="48" t="s">
        <v>111</v>
      </c>
      <c r="F19">
        <v>2.0939999999999999</v>
      </c>
      <c r="G19" s="42">
        <f t="shared" si="4"/>
        <v>2.094E-2</v>
      </c>
      <c r="H19">
        <v>5.32</v>
      </c>
      <c r="I19">
        <v>21.46</v>
      </c>
      <c r="J19">
        <v>140.21</v>
      </c>
      <c r="K19">
        <v>11.140079999999999</v>
      </c>
      <c r="L19">
        <v>44.937240000000003</v>
      </c>
      <c r="M19">
        <v>293.59974</v>
      </c>
      <c r="N19">
        <v>8.1456599999999995</v>
      </c>
      <c r="O19">
        <v>43.722720000000002</v>
      </c>
      <c r="P19">
        <v>104.46966</v>
      </c>
      <c r="Q19" s="42">
        <f t="shared" si="1"/>
        <v>8.145659999999999E-2</v>
      </c>
      <c r="R19" s="43">
        <f t="shared" si="2"/>
        <v>0.43722720000000004</v>
      </c>
      <c r="S19" s="44">
        <f t="shared" si="3"/>
        <v>1.0446966</v>
      </c>
      <c r="T19" s="99">
        <f>(F20-F19)/F19</f>
        <v>0</v>
      </c>
      <c r="U19" s="99">
        <f>(Q20-Q19)/Q19</f>
        <v>0</v>
      </c>
      <c r="V19" s="99">
        <f>(R20-R19)/R19</f>
        <v>-1.4367816091954552E-3</v>
      </c>
      <c r="W19" s="100">
        <f>(S20-S19)/S19</f>
        <v>-1.4030867909399251E-3</v>
      </c>
    </row>
    <row r="20" spans="1:23" x14ac:dyDescent="0.25">
      <c r="A20" s="133"/>
      <c r="B20" s="45">
        <v>10000000000</v>
      </c>
      <c r="C20" s="46">
        <f t="shared" si="0"/>
        <v>0.01</v>
      </c>
      <c r="D20" s="97"/>
      <c r="E20" s="48" t="s">
        <v>114</v>
      </c>
      <c r="F20">
        <v>2.0939999999999999</v>
      </c>
      <c r="G20" s="42">
        <f t="shared" si="4"/>
        <v>2.094E-2</v>
      </c>
      <c r="H20">
        <v>5.32</v>
      </c>
      <c r="I20">
        <v>21.43</v>
      </c>
      <c r="J20">
        <v>140.13999999999999</v>
      </c>
      <c r="K20">
        <v>11.140079999999999</v>
      </c>
      <c r="L20">
        <v>44.874419999999994</v>
      </c>
      <c r="M20">
        <v>293.45316000000003</v>
      </c>
      <c r="N20">
        <v>8.1456599999999995</v>
      </c>
      <c r="O20">
        <v>43.6599</v>
      </c>
      <c r="P20">
        <v>104.32308</v>
      </c>
      <c r="Q20" s="42">
        <f t="shared" si="1"/>
        <v>8.145659999999999E-2</v>
      </c>
      <c r="R20" s="43">
        <f t="shared" si="2"/>
        <v>0.43659900000000001</v>
      </c>
      <c r="S20" s="44">
        <f t="shared" si="3"/>
        <v>1.0432308000000001</v>
      </c>
      <c r="T20" s="99"/>
      <c r="U20" s="99"/>
      <c r="V20" s="99"/>
      <c r="W20" s="100"/>
    </row>
    <row r="21" spans="1:23" x14ac:dyDescent="0.25">
      <c r="A21" s="133"/>
      <c r="B21" s="45">
        <v>100000000</v>
      </c>
      <c r="C21" s="46">
        <f t="shared" si="0"/>
        <v>1</v>
      </c>
      <c r="D21" s="97" t="s">
        <v>176</v>
      </c>
      <c r="E21" s="48" t="s">
        <v>111</v>
      </c>
      <c r="F21">
        <v>3.7</v>
      </c>
      <c r="G21" s="42">
        <f t="shared" si="4"/>
        <v>3.7</v>
      </c>
      <c r="H21">
        <v>7.93</v>
      </c>
      <c r="I21">
        <v>24.05</v>
      </c>
      <c r="J21">
        <v>144</v>
      </c>
      <c r="K21">
        <v>29.341000000000001</v>
      </c>
      <c r="L21">
        <v>88.985000000000014</v>
      </c>
      <c r="M21">
        <v>532.80000000000007</v>
      </c>
      <c r="N21">
        <v>15.096</v>
      </c>
      <c r="O21">
        <v>80.40100000000001</v>
      </c>
      <c r="P21">
        <v>184.40799999999999</v>
      </c>
      <c r="Q21" s="42">
        <f t="shared" si="1"/>
        <v>15.096</v>
      </c>
      <c r="R21" s="43">
        <f t="shared" si="2"/>
        <v>80.40100000000001</v>
      </c>
      <c r="S21" s="44">
        <f t="shared" si="3"/>
        <v>184.40799999999999</v>
      </c>
      <c r="T21" s="99">
        <f>(F22-F21)/F21</f>
        <v>2.3243243243243204E-2</v>
      </c>
      <c r="U21" s="99">
        <f>(Q22-Q21)/Q21</f>
        <v>3.0767090620031846E-2</v>
      </c>
      <c r="V21" s="99">
        <f>(R22-R21)/R21</f>
        <v>1.2412780935560383E-2</v>
      </c>
      <c r="W21" s="100">
        <f>(S22-S21)/S21</f>
        <v>1.2977961910546289E-2</v>
      </c>
    </row>
    <row r="22" spans="1:23" x14ac:dyDescent="0.25">
      <c r="A22" s="133"/>
      <c r="B22" s="45">
        <v>100000000</v>
      </c>
      <c r="C22" s="46">
        <f t="shared" si="0"/>
        <v>1</v>
      </c>
      <c r="D22" s="97"/>
      <c r="E22" s="48" t="s">
        <v>114</v>
      </c>
      <c r="F22">
        <v>3.786</v>
      </c>
      <c r="G22" s="42">
        <f t="shared" si="4"/>
        <v>3.786</v>
      </c>
      <c r="H22">
        <v>7.96</v>
      </c>
      <c r="I22">
        <v>23.82</v>
      </c>
      <c r="J22">
        <v>143.5</v>
      </c>
      <c r="K22">
        <v>30.136559999999999</v>
      </c>
      <c r="L22">
        <v>90.182519999999997</v>
      </c>
      <c r="M22">
        <v>543.29100000000005</v>
      </c>
      <c r="N22">
        <v>15.560460000000001</v>
      </c>
      <c r="O22">
        <v>81.399000000000001</v>
      </c>
      <c r="P22">
        <v>186.80124000000001</v>
      </c>
      <c r="Q22" s="42">
        <f t="shared" si="1"/>
        <v>15.560460000000001</v>
      </c>
      <c r="R22" s="43">
        <f t="shared" si="2"/>
        <v>81.399000000000001</v>
      </c>
      <c r="S22" s="44">
        <f t="shared" si="3"/>
        <v>186.80124000000001</v>
      </c>
      <c r="T22" s="99"/>
      <c r="U22" s="99"/>
      <c r="V22" s="99"/>
      <c r="W22" s="100"/>
    </row>
    <row r="23" spans="1:23" x14ac:dyDescent="0.25">
      <c r="A23" s="133" t="s">
        <v>19</v>
      </c>
      <c r="B23" s="45">
        <v>100000000</v>
      </c>
      <c r="C23" s="46">
        <f t="shared" si="0"/>
        <v>1</v>
      </c>
      <c r="D23" s="124" t="s">
        <v>175</v>
      </c>
      <c r="E23" s="48" t="s">
        <v>111</v>
      </c>
      <c r="F23">
        <v>37.073</v>
      </c>
      <c r="G23" s="42">
        <f t="shared" si="4"/>
        <v>37.073</v>
      </c>
      <c r="H23">
        <v>5.3</v>
      </c>
      <c r="I23">
        <v>29.34</v>
      </c>
      <c r="J23">
        <v>153.56</v>
      </c>
      <c r="K23">
        <v>196.48689999999999</v>
      </c>
      <c r="L23">
        <v>1087.72182</v>
      </c>
      <c r="M23">
        <v>5692.9298800000006</v>
      </c>
      <c r="N23">
        <v>143.47251</v>
      </c>
      <c r="O23">
        <v>1066.21948</v>
      </c>
      <c r="P23">
        <v>2315.20885</v>
      </c>
      <c r="Q23" s="42">
        <f t="shared" si="1"/>
        <v>143.47251</v>
      </c>
      <c r="R23" s="43">
        <f t="shared" si="2"/>
        <v>1066.21948</v>
      </c>
      <c r="S23" s="44">
        <f t="shared" si="3"/>
        <v>2315.20885</v>
      </c>
      <c r="T23" s="99">
        <f>(F24-F23)/F23</f>
        <v>-0.94327408086747766</v>
      </c>
      <c r="U23" s="99">
        <f>(Q24-Q23)/Q23</f>
        <v>-0.99942394609253016</v>
      </c>
      <c r="V23" s="99">
        <f>(R24-R23)/R23</f>
        <v>-0.99959842151824119</v>
      </c>
      <c r="W23" s="100">
        <f>(S24-S23)/S23</f>
        <v>-0.99957789376107475</v>
      </c>
    </row>
    <row r="24" spans="1:23" x14ac:dyDescent="0.25">
      <c r="A24" s="133"/>
      <c r="B24" s="45">
        <v>10000000000</v>
      </c>
      <c r="C24" s="46">
        <f t="shared" si="0"/>
        <v>0.01</v>
      </c>
      <c r="D24" s="97"/>
      <c r="E24" s="48" t="s">
        <v>114</v>
      </c>
      <c r="F24">
        <v>2.1030000000000002</v>
      </c>
      <c r="G24" s="42">
        <f t="shared" si="4"/>
        <v>2.1030000000000004E-2</v>
      </c>
      <c r="H24">
        <v>5.36</v>
      </c>
      <c r="I24">
        <v>20.94</v>
      </c>
      <c r="J24">
        <v>137.58000000000001</v>
      </c>
      <c r="K24">
        <v>11.272080000000001</v>
      </c>
      <c r="L24">
        <v>44.036820000000013</v>
      </c>
      <c r="M24">
        <v>289.33073999999999</v>
      </c>
      <c r="N24">
        <v>8.2647900000000014</v>
      </c>
      <c r="O24">
        <v>42.817079999999997</v>
      </c>
      <c r="P24">
        <v>97.726410000000001</v>
      </c>
      <c r="Q24" s="42">
        <f t="shared" si="1"/>
        <v>8.264790000000001E-2</v>
      </c>
      <c r="R24" s="43">
        <f t="shared" si="2"/>
        <v>0.42817079999999996</v>
      </c>
      <c r="S24" s="44">
        <f t="shared" si="3"/>
        <v>0.97726410000000008</v>
      </c>
      <c r="T24" s="99"/>
      <c r="U24" s="99"/>
      <c r="V24" s="99"/>
      <c r="W24" s="100"/>
    </row>
    <row r="25" spans="1:23" x14ac:dyDescent="0.25">
      <c r="A25" s="133"/>
      <c r="B25" s="45">
        <v>100000000</v>
      </c>
      <c r="C25" s="46">
        <f t="shared" si="0"/>
        <v>1</v>
      </c>
      <c r="D25" s="97" t="s">
        <v>176</v>
      </c>
      <c r="E25" s="48" t="s">
        <v>111</v>
      </c>
      <c r="F25">
        <v>90.191000000000003</v>
      </c>
      <c r="G25" s="42">
        <f t="shared" si="4"/>
        <v>90.191000000000003</v>
      </c>
      <c r="H25">
        <v>5.29</v>
      </c>
      <c r="I25">
        <v>27.09</v>
      </c>
      <c r="J25">
        <v>148.47</v>
      </c>
      <c r="K25">
        <v>477.11039</v>
      </c>
      <c r="L25">
        <v>2443.2741900000001</v>
      </c>
      <c r="M25">
        <v>13390.65777</v>
      </c>
      <c r="N25">
        <v>348.13726000000003</v>
      </c>
      <c r="O25">
        <v>2390.9634099999998</v>
      </c>
      <c r="P25">
        <v>5406.0485399999998</v>
      </c>
      <c r="Q25" s="42">
        <f t="shared" si="1"/>
        <v>348.13726000000003</v>
      </c>
      <c r="R25" s="43">
        <f t="shared" si="2"/>
        <v>2390.9634099999998</v>
      </c>
      <c r="S25" s="44">
        <f t="shared" si="3"/>
        <v>5406.0485399999998</v>
      </c>
      <c r="T25" s="99">
        <f>(F26-F25)/F25</f>
        <v>-0.95666973423068824</v>
      </c>
      <c r="U25" s="99">
        <f>(Q26-Q25)/Q25</f>
        <v>-0.95610846135802874</v>
      </c>
      <c r="V25" s="99">
        <f>(R26-R25)/R25</f>
        <v>-0.9666237635982895</v>
      </c>
      <c r="W25" s="100">
        <f>(S26-S25)/S25</f>
        <v>-0.96630591111932551</v>
      </c>
    </row>
    <row r="26" spans="1:23" x14ac:dyDescent="0.25">
      <c r="A26" s="133"/>
      <c r="B26" s="45">
        <v>100000000</v>
      </c>
      <c r="C26" s="46">
        <f t="shared" si="0"/>
        <v>1</v>
      </c>
      <c r="D26" s="97"/>
      <c r="E26" s="48" t="s">
        <v>114</v>
      </c>
      <c r="F26">
        <v>3.9079999999999999</v>
      </c>
      <c r="G26" s="42">
        <f t="shared" si="4"/>
        <v>3.9079999999999999</v>
      </c>
      <c r="H26">
        <v>5.34</v>
      </c>
      <c r="I26">
        <v>21</v>
      </c>
      <c r="J26">
        <v>135.13999999999999</v>
      </c>
      <c r="K26">
        <v>20.86872</v>
      </c>
      <c r="L26">
        <v>82.067999999999998</v>
      </c>
      <c r="M26">
        <v>528.12711999999999</v>
      </c>
      <c r="N26">
        <v>15.280279999999999</v>
      </c>
      <c r="O26">
        <v>79.801360000000003</v>
      </c>
      <c r="P26">
        <v>182.15188000000001</v>
      </c>
      <c r="Q26" s="42">
        <f t="shared" si="1"/>
        <v>15.280279999999999</v>
      </c>
      <c r="R26" s="43">
        <f t="shared" si="2"/>
        <v>79.801360000000003</v>
      </c>
      <c r="S26" s="44">
        <f t="shared" si="3"/>
        <v>182.15188000000001</v>
      </c>
      <c r="T26" s="99"/>
      <c r="U26" s="99"/>
      <c r="V26" s="99"/>
      <c r="W26" s="100"/>
    </row>
    <row r="27" spans="1:23" x14ac:dyDescent="0.25">
      <c r="A27" s="133" t="s">
        <v>21</v>
      </c>
      <c r="B27" s="45">
        <v>10000000000</v>
      </c>
      <c r="C27" s="46">
        <f t="shared" si="0"/>
        <v>0.01</v>
      </c>
      <c r="D27" s="124" t="s">
        <v>175</v>
      </c>
      <c r="E27" s="48" t="s">
        <v>111</v>
      </c>
      <c r="F27" s="16">
        <v>21.390999999999998</v>
      </c>
      <c r="G27" s="42">
        <f t="shared" si="4"/>
        <v>0.21390999999999999</v>
      </c>
      <c r="H27">
        <v>5.29</v>
      </c>
      <c r="I27">
        <v>21.04</v>
      </c>
      <c r="J27">
        <v>132.51</v>
      </c>
      <c r="K27">
        <v>113.15839</v>
      </c>
      <c r="L27">
        <v>450.06663999999989</v>
      </c>
      <c r="M27">
        <v>2834.5214099999989</v>
      </c>
      <c r="N27">
        <v>82.569259999999986</v>
      </c>
      <c r="O27">
        <v>437.65985999999998</v>
      </c>
      <c r="P27">
        <v>926.01638999999989</v>
      </c>
      <c r="Q27" s="42">
        <f t="shared" si="1"/>
        <v>0.82569259999999989</v>
      </c>
      <c r="R27" s="43">
        <f t="shared" si="2"/>
        <v>4.3765986000000003</v>
      </c>
      <c r="S27" s="44">
        <f t="shared" si="3"/>
        <v>9.2601638999999984</v>
      </c>
      <c r="T27" s="99">
        <f>(F28-F27)/F27</f>
        <v>-0.90168762563695004</v>
      </c>
      <c r="U27" s="99">
        <f>(Q28-Q27)/Q27</f>
        <v>-0.90117823509620887</v>
      </c>
      <c r="V27" s="99">
        <f>(R28-R27)/R27</f>
        <v>-0.90019804420720695</v>
      </c>
      <c r="W27" s="100">
        <f>(S28-S27)/S27</f>
        <v>-0.8883567492795672</v>
      </c>
    </row>
    <row r="28" spans="1:23" x14ac:dyDescent="0.25">
      <c r="A28" s="133"/>
      <c r="B28" s="45">
        <v>10000000000</v>
      </c>
      <c r="C28" s="46">
        <f t="shared" si="0"/>
        <v>0.01</v>
      </c>
      <c r="D28" s="97"/>
      <c r="E28" s="48" t="s">
        <v>114</v>
      </c>
      <c r="F28" s="16">
        <v>2.1030000000000002</v>
      </c>
      <c r="G28" s="42">
        <f t="shared" si="4"/>
        <v>2.1030000000000004E-2</v>
      </c>
      <c r="H28">
        <v>5.31</v>
      </c>
      <c r="I28">
        <v>21.35</v>
      </c>
      <c r="J28">
        <v>138.38999999999999</v>
      </c>
      <c r="K28">
        <v>11.166930000000001</v>
      </c>
      <c r="L28">
        <v>44.89905000000001</v>
      </c>
      <c r="M28">
        <v>291.03417000000002</v>
      </c>
      <c r="N28">
        <v>8.1596400000000013</v>
      </c>
      <c r="O28">
        <v>43.679310000000001</v>
      </c>
      <c r="P28">
        <v>103.38348000000001</v>
      </c>
      <c r="Q28" s="42">
        <f t="shared" si="1"/>
        <v>8.1596400000000013E-2</v>
      </c>
      <c r="R28" s="43">
        <f t="shared" si="2"/>
        <v>0.43679310000000005</v>
      </c>
      <c r="S28" s="44">
        <f t="shared" si="3"/>
        <v>1.0338348000000002</v>
      </c>
      <c r="T28" s="99"/>
      <c r="U28" s="99"/>
      <c r="V28" s="99"/>
      <c r="W28" s="100"/>
    </row>
    <row r="29" spans="1:23" x14ac:dyDescent="0.25">
      <c r="A29" s="133"/>
      <c r="B29" s="45">
        <v>100000000</v>
      </c>
      <c r="C29" s="46">
        <f t="shared" si="0"/>
        <v>1</v>
      </c>
      <c r="D29" s="97" t="s">
        <v>176</v>
      </c>
      <c r="E29" s="48" t="s">
        <v>111</v>
      </c>
      <c r="F29" s="16">
        <v>14.137</v>
      </c>
      <c r="G29" s="42">
        <f t="shared" si="4"/>
        <v>14.137</v>
      </c>
      <c r="H29">
        <v>4.3</v>
      </c>
      <c r="I29">
        <v>31.71</v>
      </c>
      <c r="J29">
        <v>146.94999999999999</v>
      </c>
      <c r="K29">
        <v>60.789099999999998</v>
      </c>
      <c r="L29">
        <v>448.28426999999999</v>
      </c>
      <c r="M29">
        <v>2077.4321500000001</v>
      </c>
      <c r="N29">
        <v>47.783059999999999</v>
      </c>
      <c r="O29">
        <v>398.94614000000001</v>
      </c>
      <c r="P29">
        <v>762.40841</v>
      </c>
      <c r="Q29" s="42">
        <f t="shared" si="1"/>
        <v>47.783059999999999</v>
      </c>
      <c r="R29" s="43">
        <f t="shared" si="2"/>
        <v>398.94614000000001</v>
      </c>
      <c r="S29" s="44">
        <f t="shared" si="3"/>
        <v>762.40841</v>
      </c>
      <c r="T29" s="99">
        <f>(F30-F29)/F29</f>
        <v>-0.32538728160147129</v>
      </c>
      <c r="U29" s="99">
        <f>(Q30-Q29)/Q29</f>
        <v>-0.33736265530085346</v>
      </c>
      <c r="V29" s="99">
        <f>(R30-R29)/R29</f>
        <v>-0.21088002004481107</v>
      </c>
      <c r="W29" s="100">
        <f>(S30-S29)/S29</f>
        <v>-0.29211322577094861</v>
      </c>
    </row>
    <row r="30" spans="1:23" x14ac:dyDescent="0.25">
      <c r="A30" s="133"/>
      <c r="B30" s="45">
        <v>100000000</v>
      </c>
      <c r="C30" s="46">
        <f t="shared" si="0"/>
        <v>1</v>
      </c>
      <c r="D30" s="97"/>
      <c r="E30" s="48" t="s">
        <v>114</v>
      </c>
      <c r="F30" s="16">
        <v>9.5370000000000008</v>
      </c>
      <c r="G30" s="42">
        <f t="shared" si="4"/>
        <v>9.5370000000000008</v>
      </c>
      <c r="H30">
        <v>4.24</v>
      </c>
      <c r="I30">
        <v>36.5</v>
      </c>
      <c r="J30">
        <v>149.61000000000001</v>
      </c>
      <c r="K30">
        <v>40.436880000000002</v>
      </c>
      <c r="L30">
        <v>348.10050000000001</v>
      </c>
      <c r="M30">
        <v>1426.8305700000001</v>
      </c>
      <c r="N30">
        <v>31.662839999999999</v>
      </c>
      <c r="O30">
        <v>314.81637000000001</v>
      </c>
      <c r="P30">
        <v>539.69883000000004</v>
      </c>
      <c r="Q30" s="42">
        <f t="shared" si="1"/>
        <v>31.662839999999999</v>
      </c>
      <c r="R30" s="43">
        <f t="shared" si="2"/>
        <v>314.81637000000001</v>
      </c>
      <c r="S30" s="44">
        <f t="shared" si="3"/>
        <v>539.69883000000004</v>
      </c>
      <c r="T30" s="99"/>
      <c r="U30" s="99"/>
      <c r="V30" s="99"/>
      <c r="W30" s="100"/>
    </row>
    <row r="31" spans="1:23" x14ac:dyDescent="0.25">
      <c r="A31" s="133" t="s">
        <v>23</v>
      </c>
      <c r="B31" s="45">
        <v>10000000000</v>
      </c>
      <c r="C31" s="46">
        <f t="shared" si="0"/>
        <v>0.01</v>
      </c>
      <c r="D31" s="124" t="s">
        <v>175</v>
      </c>
      <c r="E31" s="48" t="s">
        <v>111</v>
      </c>
      <c r="F31">
        <v>2.0939999999999999</v>
      </c>
      <c r="G31" s="42">
        <f t="shared" si="4"/>
        <v>2.094E-2</v>
      </c>
      <c r="H31">
        <v>5.33</v>
      </c>
      <c r="I31">
        <v>21.07</v>
      </c>
      <c r="J31">
        <v>138.04</v>
      </c>
      <c r="K31">
        <v>11.161020000000001</v>
      </c>
      <c r="L31">
        <v>44.120579999999997</v>
      </c>
      <c r="M31">
        <v>289.05576000000002</v>
      </c>
      <c r="N31">
        <v>7.1195999999999993</v>
      </c>
      <c r="O31">
        <v>42.906059999999997</v>
      </c>
      <c r="P31">
        <v>96.700919999999996</v>
      </c>
      <c r="Q31" s="42">
        <f t="shared" si="1"/>
        <v>7.1195999999999995E-2</v>
      </c>
      <c r="R31" s="43">
        <f t="shared" si="2"/>
        <v>0.42906059999999996</v>
      </c>
      <c r="S31" s="44">
        <f t="shared" si="3"/>
        <v>0.96700920000000001</v>
      </c>
      <c r="T31" s="99">
        <f>(F32-F31)/F31</f>
        <v>0</v>
      </c>
      <c r="U31" s="99">
        <f>(Q32-Q31)/Q31</f>
        <v>2.941176470588214E-3</v>
      </c>
      <c r="V31" s="99">
        <f>(R32-R31)/R31</f>
        <v>4.8804294777946575E-4</v>
      </c>
      <c r="W31" s="100">
        <f>(S32-S31)/S31</f>
        <v>4.3308791684711677E-3</v>
      </c>
    </row>
    <row r="32" spans="1:23" x14ac:dyDescent="0.25">
      <c r="A32" s="133"/>
      <c r="B32" s="45">
        <v>10000000000</v>
      </c>
      <c r="C32" s="46">
        <f t="shared" si="0"/>
        <v>0.01</v>
      </c>
      <c r="D32" s="97"/>
      <c r="E32" s="48" t="s">
        <v>114</v>
      </c>
      <c r="F32">
        <v>2.0939999999999999</v>
      </c>
      <c r="G32" s="42">
        <f t="shared" si="4"/>
        <v>2.094E-2</v>
      </c>
      <c r="H32">
        <v>5.34</v>
      </c>
      <c r="I32">
        <v>21.08</v>
      </c>
      <c r="J32">
        <v>138.22999999999999</v>
      </c>
      <c r="K32">
        <v>11.18196</v>
      </c>
      <c r="L32">
        <v>44.141519999999993</v>
      </c>
      <c r="M32">
        <v>289.45361999999989</v>
      </c>
      <c r="N32">
        <v>7.1405399999999997</v>
      </c>
      <c r="O32">
        <v>42.927</v>
      </c>
      <c r="P32">
        <v>97.119720000000001</v>
      </c>
      <c r="Q32" s="42">
        <f t="shared" si="1"/>
        <v>7.1405399999999994E-2</v>
      </c>
      <c r="R32" s="43">
        <f t="shared" si="2"/>
        <v>0.42926999999999998</v>
      </c>
      <c r="S32" s="44">
        <f t="shared" si="3"/>
        <v>0.97119719999999998</v>
      </c>
      <c r="T32" s="99"/>
      <c r="U32" s="99"/>
      <c r="V32" s="99"/>
      <c r="W32" s="100"/>
    </row>
    <row r="33" spans="1:23" x14ac:dyDescent="0.25">
      <c r="A33" s="133"/>
      <c r="B33" s="45">
        <v>100000000</v>
      </c>
      <c r="C33" s="46">
        <f t="shared" si="0"/>
        <v>1</v>
      </c>
      <c r="D33" s="97" t="s">
        <v>176</v>
      </c>
      <c r="E33" s="48" t="s">
        <v>111</v>
      </c>
      <c r="F33">
        <v>13.753</v>
      </c>
      <c r="G33" s="42">
        <f t="shared" si="4"/>
        <v>13.753</v>
      </c>
      <c r="H33">
        <v>5.32</v>
      </c>
      <c r="I33">
        <v>20.36</v>
      </c>
      <c r="J33">
        <v>131.41999999999999</v>
      </c>
      <c r="K33">
        <v>73.165959999999998</v>
      </c>
      <c r="L33">
        <v>280.01107999999999</v>
      </c>
      <c r="M33">
        <v>1807.4192599999999</v>
      </c>
      <c r="N33">
        <v>53.499169999999999</v>
      </c>
      <c r="O33">
        <v>272.03433999999999</v>
      </c>
      <c r="P33">
        <v>588.90346</v>
      </c>
      <c r="Q33" s="42">
        <f t="shared" si="1"/>
        <v>53.499169999999999</v>
      </c>
      <c r="R33" s="43">
        <f t="shared" si="2"/>
        <v>272.03433999999999</v>
      </c>
      <c r="S33" s="44">
        <f t="shared" si="3"/>
        <v>588.90346</v>
      </c>
      <c r="T33" s="99">
        <f>(F34-F33)/F33</f>
        <v>-0.35243219661164832</v>
      </c>
      <c r="U33" s="99">
        <f>(Q34-Q33)/Q33</f>
        <v>-0.35243219661164821</v>
      </c>
      <c r="V33" s="99">
        <f>(R34-R33)/R33</f>
        <v>-0.35963466965236812</v>
      </c>
      <c r="W33" s="100">
        <f>(S34-S33)/S33</f>
        <v>-0.35591049167889083</v>
      </c>
    </row>
    <row r="34" spans="1:23" x14ac:dyDescent="0.25">
      <c r="A34" s="133"/>
      <c r="B34" s="45">
        <v>100000000</v>
      </c>
      <c r="C34" s="46">
        <f t="shared" si="0"/>
        <v>1</v>
      </c>
      <c r="D34" s="97"/>
      <c r="E34" s="48" t="s">
        <v>114</v>
      </c>
      <c r="F34">
        <v>8.9060000000000006</v>
      </c>
      <c r="G34" s="42">
        <f t="shared" si="4"/>
        <v>8.9060000000000006</v>
      </c>
      <c r="H34">
        <v>5.32</v>
      </c>
      <c r="I34">
        <v>20.14</v>
      </c>
      <c r="J34">
        <v>131.19</v>
      </c>
      <c r="K34">
        <v>47.379920000000013</v>
      </c>
      <c r="L34">
        <v>179.36684</v>
      </c>
      <c r="M34">
        <v>1168.37814</v>
      </c>
      <c r="N34">
        <v>34.644340000000007</v>
      </c>
      <c r="O34">
        <v>174.20135999999999</v>
      </c>
      <c r="P34">
        <v>379.30653999999998</v>
      </c>
      <c r="Q34" s="42">
        <f t="shared" si="1"/>
        <v>34.644340000000007</v>
      </c>
      <c r="R34" s="43">
        <f t="shared" si="2"/>
        <v>174.20135999999999</v>
      </c>
      <c r="S34" s="44">
        <f t="shared" si="3"/>
        <v>379.30653999999998</v>
      </c>
      <c r="T34" s="99"/>
      <c r="U34" s="99"/>
      <c r="V34" s="99"/>
      <c r="W34" s="100"/>
    </row>
    <row r="35" spans="1:23" x14ac:dyDescent="0.25">
      <c r="A35" s="133" t="s">
        <v>25</v>
      </c>
      <c r="B35" s="45">
        <v>10000000000</v>
      </c>
      <c r="C35" s="46">
        <f t="shared" si="0"/>
        <v>0.01</v>
      </c>
      <c r="D35" s="124" t="s">
        <v>175</v>
      </c>
      <c r="E35" s="48" t="s">
        <v>111</v>
      </c>
      <c r="F35">
        <v>10.996</v>
      </c>
      <c r="G35" s="42">
        <f t="shared" si="4"/>
        <v>0.10996</v>
      </c>
      <c r="H35">
        <v>5.3</v>
      </c>
      <c r="I35">
        <v>21.4</v>
      </c>
      <c r="J35">
        <v>133.66</v>
      </c>
      <c r="K35">
        <v>58.278799999999997</v>
      </c>
      <c r="L35">
        <v>235.31440000000001</v>
      </c>
      <c r="M35">
        <v>1469.7253599999999</v>
      </c>
      <c r="N35">
        <v>39.805520000000001</v>
      </c>
      <c r="O35">
        <v>228.93672000000001</v>
      </c>
      <c r="P35">
        <v>504.27656000000002</v>
      </c>
      <c r="Q35" s="42">
        <f t="shared" si="1"/>
        <v>0.3980552</v>
      </c>
      <c r="R35" s="43">
        <f t="shared" si="2"/>
        <v>2.2893672</v>
      </c>
      <c r="S35" s="44">
        <f t="shared" si="3"/>
        <v>5.0427656000000001</v>
      </c>
      <c r="T35" s="99">
        <f>(F36-F35)/F35</f>
        <v>-0.76191342306293197</v>
      </c>
      <c r="U35" s="99">
        <f>(Q36-Q35)/Q35</f>
        <v>-0.76059802761024109</v>
      </c>
      <c r="V35" s="99">
        <f>(R36-R35)/R35</f>
        <v>-0.75379423624135089</v>
      </c>
      <c r="W35" s="100">
        <f>(S36-S35)/S35</f>
        <v>-0.73714951176790766</v>
      </c>
    </row>
    <row r="36" spans="1:23" x14ac:dyDescent="0.25">
      <c r="A36" s="133"/>
      <c r="B36" s="45">
        <v>10000000000</v>
      </c>
      <c r="C36" s="46">
        <f t="shared" si="0"/>
        <v>0.01</v>
      </c>
      <c r="D36" s="97"/>
      <c r="E36" s="48" t="s">
        <v>114</v>
      </c>
      <c r="F36">
        <v>2.6179999999999999</v>
      </c>
      <c r="G36" s="42">
        <f t="shared" si="4"/>
        <v>2.6179999999999998E-2</v>
      </c>
      <c r="H36">
        <v>5.32</v>
      </c>
      <c r="I36">
        <v>22.11</v>
      </c>
      <c r="J36">
        <v>138.44</v>
      </c>
      <c r="K36">
        <v>13.927759999999999</v>
      </c>
      <c r="L36">
        <v>57.883979999999987</v>
      </c>
      <c r="M36">
        <v>362.43592000000001</v>
      </c>
      <c r="N36">
        <v>9.5295199999999998</v>
      </c>
      <c r="O36">
        <v>56.365540000000003</v>
      </c>
      <c r="P36">
        <v>132.54934</v>
      </c>
      <c r="Q36" s="42">
        <f t="shared" si="1"/>
        <v>9.5295199999999997E-2</v>
      </c>
      <c r="R36" s="43">
        <f t="shared" si="2"/>
        <v>0.56365540000000003</v>
      </c>
      <c r="S36" s="44">
        <f t="shared" si="3"/>
        <v>1.3254934</v>
      </c>
      <c r="T36" s="99"/>
      <c r="U36" s="99"/>
      <c r="V36" s="99"/>
      <c r="W36" s="100"/>
    </row>
    <row r="37" spans="1:23" x14ac:dyDescent="0.25">
      <c r="A37" s="133"/>
      <c r="B37" s="45">
        <v>10000000</v>
      </c>
      <c r="C37" s="46">
        <f t="shared" si="0"/>
        <v>10</v>
      </c>
      <c r="D37" s="97" t="s">
        <v>176</v>
      </c>
      <c r="E37" s="48" t="s">
        <v>111</v>
      </c>
      <c r="F37">
        <v>23.494</v>
      </c>
      <c r="G37" s="42">
        <f t="shared" si="4"/>
        <v>234.94</v>
      </c>
      <c r="H37">
        <v>5.29</v>
      </c>
      <c r="I37">
        <v>21.57</v>
      </c>
      <c r="J37">
        <v>133.66</v>
      </c>
      <c r="K37">
        <v>124.28326</v>
      </c>
      <c r="L37">
        <v>506.76558</v>
      </c>
      <c r="M37">
        <v>3140.20804</v>
      </c>
      <c r="N37">
        <v>96.795280000000005</v>
      </c>
      <c r="O37">
        <v>493.13905999999997</v>
      </c>
      <c r="P37">
        <v>1015.41068</v>
      </c>
      <c r="Q37" s="42">
        <f t="shared" si="1"/>
        <v>967.95280000000002</v>
      </c>
      <c r="R37" s="43">
        <f t="shared" si="2"/>
        <v>4931.3905999999997</v>
      </c>
      <c r="S37" s="44">
        <f t="shared" si="3"/>
        <v>10154.1068</v>
      </c>
      <c r="T37" s="99">
        <f>(F38-F37)/F37</f>
        <v>-6.9805056610198368E-2</v>
      </c>
      <c r="U37" s="99">
        <f>(Q38-Q37)/Q37</f>
        <v>-6.9805056610198452E-2</v>
      </c>
      <c r="V37" s="99">
        <f>(R38-R37)/R37</f>
        <v>-7.4236666631112155E-2</v>
      </c>
      <c r="W37" s="100">
        <f>(S38-S37)/S37</f>
        <v>-4.5700051135959915E-2</v>
      </c>
    </row>
    <row r="38" spans="1:23" x14ac:dyDescent="0.25">
      <c r="A38" s="133"/>
      <c r="B38" s="45">
        <v>10000000</v>
      </c>
      <c r="C38" s="46">
        <f t="shared" si="0"/>
        <v>10</v>
      </c>
      <c r="D38" s="97"/>
      <c r="E38" s="48" t="s">
        <v>114</v>
      </c>
      <c r="F38">
        <v>21.853999999999999</v>
      </c>
      <c r="G38" s="42">
        <f t="shared" si="4"/>
        <v>218.54</v>
      </c>
      <c r="H38">
        <v>5.29</v>
      </c>
      <c r="I38">
        <v>21.47</v>
      </c>
      <c r="J38">
        <v>134.78</v>
      </c>
      <c r="K38">
        <v>115.60766</v>
      </c>
      <c r="L38">
        <v>469.20537999999988</v>
      </c>
      <c r="M38">
        <v>2945.4821200000001</v>
      </c>
      <c r="N38">
        <v>90.038479999999993</v>
      </c>
      <c r="O38">
        <v>456.53005999999999</v>
      </c>
      <c r="P38">
        <v>969.00636000000009</v>
      </c>
      <c r="Q38" s="42">
        <f t="shared" si="1"/>
        <v>900.38479999999993</v>
      </c>
      <c r="R38" s="43">
        <f t="shared" si="2"/>
        <v>4565.3005999999996</v>
      </c>
      <c r="S38" s="44">
        <f t="shared" si="3"/>
        <v>9690.0636000000013</v>
      </c>
      <c r="T38" s="99"/>
      <c r="U38" s="99"/>
      <c r="V38" s="99"/>
      <c r="W38" s="100"/>
    </row>
    <row r="39" spans="1:23" x14ac:dyDescent="0.25">
      <c r="A39" s="133" t="s">
        <v>31</v>
      </c>
      <c r="B39" s="45">
        <v>10000000000</v>
      </c>
      <c r="C39" s="46">
        <f t="shared" si="0"/>
        <v>0.01</v>
      </c>
      <c r="D39" s="124" t="s">
        <v>175</v>
      </c>
      <c r="E39" s="48" t="s">
        <v>111</v>
      </c>
      <c r="F39">
        <v>1.571</v>
      </c>
      <c r="G39" s="42">
        <f t="shared" si="4"/>
        <v>1.5709999999999998E-2</v>
      </c>
      <c r="H39">
        <v>5.33</v>
      </c>
      <c r="I39">
        <v>19.12</v>
      </c>
      <c r="J39">
        <v>136.19</v>
      </c>
      <c r="K39">
        <v>8.373429999999999</v>
      </c>
      <c r="L39">
        <v>30.037520000000001</v>
      </c>
      <c r="M39">
        <v>213.95448999999999</v>
      </c>
      <c r="N39">
        <v>5.3413999999999993</v>
      </c>
      <c r="O39">
        <v>29.126339999999999</v>
      </c>
      <c r="P39">
        <v>72.234579999999994</v>
      </c>
      <c r="Q39" s="42">
        <f t="shared" si="1"/>
        <v>5.3413999999999996E-2</v>
      </c>
      <c r="R39" s="43">
        <f t="shared" si="2"/>
        <v>0.29126340000000001</v>
      </c>
      <c r="S39" s="44">
        <f t="shared" si="3"/>
        <v>0.72234579999999993</v>
      </c>
      <c r="T39" s="99">
        <f>(F40-F39)/F39</f>
        <v>0.33354551241247632</v>
      </c>
      <c r="U39" s="99">
        <f>(Q40-Q39)/Q39</f>
        <v>0.3296233197289104</v>
      </c>
      <c r="V39" s="99">
        <f>(R40-R39)/R39</f>
        <v>0.45870026924083152</v>
      </c>
      <c r="W39" s="100">
        <f>(S40-S39)/S39</f>
        <v>0.40460220022044863</v>
      </c>
    </row>
    <row r="40" spans="1:23" x14ac:dyDescent="0.25">
      <c r="A40" s="133"/>
      <c r="B40" s="45">
        <v>10000000000</v>
      </c>
      <c r="C40" s="46">
        <f t="shared" si="0"/>
        <v>0.01</v>
      </c>
      <c r="D40" s="97"/>
      <c r="E40" s="48" t="s">
        <v>114</v>
      </c>
      <c r="F40">
        <v>2.0950000000000002</v>
      </c>
      <c r="G40" s="42">
        <f t="shared" si="4"/>
        <v>2.0950000000000003E-2</v>
      </c>
      <c r="H40">
        <v>5.32</v>
      </c>
      <c r="I40">
        <v>20.86</v>
      </c>
      <c r="J40">
        <v>138.63</v>
      </c>
      <c r="K40">
        <v>11.1454</v>
      </c>
      <c r="L40">
        <v>43.701700000000002</v>
      </c>
      <c r="M40">
        <v>290.42984999999999</v>
      </c>
      <c r="N40">
        <v>7.1020500000000011</v>
      </c>
      <c r="O40">
        <v>42.486600000000003</v>
      </c>
      <c r="P40">
        <v>101.46084999999999</v>
      </c>
      <c r="Q40" s="42">
        <f t="shared" si="1"/>
        <v>7.1020500000000014E-2</v>
      </c>
      <c r="R40" s="43">
        <f t="shared" si="2"/>
        <v>0.42486600000000002</v>
      </c>
      <c r="S40" s="44">
        <f t="shared" si="3"/>
        <v>1.0146085</v>
      </c>
      <c r="T40" s="99"/>
      <c r="U40" s="99"/>
      <c r="V40" s="99"/>
      <c r="W40" s="100"/>
    </row>
    <row r="41" spans="1:23" x14ac:dyDescent="0.25">
      <c r="A41" s="133"/>
      <c r="B41" s="45">
        <v>100000000</v>
      </c>
      <c r="C41" s="46">
        <f t="shared" si="0"/>
        <v>1</v>
      </c>
      <c r="D41" s="97" t="s">
        <v>176</v>
      </c>
      <c r="E41" s="48" t="s">
        <v>111</v>
      </c>
      <c r="F41">
        <v>7.5910000000000002</v>
      </c>
      <c r="G41" s="42">
        <f t="shared" si="4"/>
        <v>7.5910000000000002</v>
      </c>
      <c r="H41">
        <v>5.29</v>
      </c>
      <c r="I41">
        <v>20.57</v>
      </c>
      <c r="J41">
        <v>132.16</v>
      </c>
      <c r="K41">
        <v>40.156390000000002</v>
      </c>
      <c r="L41">
        <v>156.14687000000001</v>
      </c>
      <c r="M41">
        <v>1003.2265599999999</v>
      </c>
      <c r="N41">
        <v>29.301259999999999</v>
      </c>
      <c r="O41">
        <v>151.74409</v>
      </c>
      <c r="P41">
        <v>329.52530999999999</v>
      </c>
      <c r="Q41" s="42">
        <f t="shared" si="1"/>
        <v>29.301259999999999</v>
      </c>
      <c r="R41" s="43">
        <f t="shared" si="2"/>
        <v>151.74409</v>
      </c>
      <c r="S41" s="44">
        <f t="shared" si="3"/>
        <v>329.52530999999999</v>
      </c>
      <c r="T41" s="99">
        <f>(F42-F41)/F41</f>
        <v>0.18930312211829803</v>
      </c>
      <c r="U41" s="99">
        <f>(Q42-Q41)/Q41</f>
        <v>0.19238421828958904</v>
      </c>
      <c r="V41" s="99">
        <f>(R42-R41)/R41</f>
        <v>0.16669505876637444</v>
      </c>
      <c r="W41" s="100">
        <f>(S42-S41)/S41</f>
        <v>0.18902915226754513</v>
      </c>
    </row>
    <row r="42" spans="1:23" x14ac:dyDescent="0.25">
      <c r="A42" s="133"/>
      <c r="B42" s="45">
        <v>100000000</v>
      </c>
      <c r="C42" s="46">
        <f t="shared" si="0"/>
        <v>1</v>
      </c>
      <c r="D42" s="97"/>
      <c r="E42" s="48" t="s">
        <v>114</v>
      </c>
      <c r="F42">
        <v>9.0280000000000005</v>
      </c>
      <c r="G42" s="42">
        <f t="shared" si="4"/>
        <v>9.0280000000000005</v>
      </c>
      <c r="H42">
        <v>5.3</v>
      </c>
      <c r="I42">
        <v>20.190000000000001</v>
      </c>
      <c r="J42">
        <v>132.16</v>
      </c>
      <c r="K42">
        <v>47.848399999999998</v>
      </c>
      <c r="L42">
        <v>182.27531999999999</v>
      </c>
      <c r="M42">
        <v>1193.14048</v>
      </c>
      <c r="N42">
        <v>34.938360000000003</v>
      </c>
      <c r="O42">
        <v>177.03908000000001</v>
      </c>
      <c r="P42">
        <v>391.8152</v>
      </c>
      <c r="Q42" s="42">
        <f t="shared" si="1"/>
        <v>34.938360000000003</v>
      </c>
      <c r="R42" s="43">
        <f t="shared" si="2"/>
        <v>177.03908000000001</v>
      </c>
      <c r="S42" s="44">
        <f t="shared" si="3"/>
        <v>391.8152</v>
      </c>
      <c r="T42" s="99"/>
      <c r="U42" s="99"/>
      <c r="V42" s="99"/>
      <c r="W42" s="100"/>
    </row>
    <row r="43" spans="1:23" x14ac:dyDescent="0.25">
      <c r="A43" s="133" t="s">
        <v>33</v>
      </c>
      <c r="B43" s="45">
        <v>10000000000</v>
      </c>
      <c r="C43" s="46">
        <f t="shared" si="0"/>
        <v>0.01</v>
      </c>
      <c r="D43" s="124" t="s">
        <v>175</v>
      </c>
      <c r="E43" s="48" t="s">
        <v>111</v>
      </c>
      <c r="F43">
        <v>2.0950000000000002</v>
      </c>
      <c r="G43" s="42">
        <f t="shared" si="4"/>
        <v>2.0950000000000003E-2</v>
      </c>
      <c r="H43">
        <v>5.29</v>
      </c>
      <c r="I43">
        <v>20.92</v>
      </c>
      <c r="J43">
        <v>137.5</v>
      </c>
      <c r="K43">
        <v>11.082549999999999</v>
      </c>
      <c r="L43">
        <v>43.827399999999997</v>
      </c>
      <c r="M43">
        <v>288.0625</v>
      </c>
      <c r="N43">
        <v>7.5629500000000007</v>
      </c>
      <c r="O43">
        <v>42.612299999999998</v>
      </c>
      <c r="P43">
        <v>97.187050000000013</v>
      </c>
      <c r="Q43" s="42">
        <f t="shared" si="1"/>
        <v>7.5629500000000002E-2</v>
      </c>
      <c r="R43" s="43">
        <f t="shared" si="2"/>
        <v>0.42612299999999997</v>
      </c>
      <c r="S43" s="44">
        <f t="shared" si="3"/>
        <v>0.97187050000000019</v>
      </c>
      <c r="T43" s="99">
        <f>(F44-F43)/F43</f>
        <v>-4.7732696897390635E-4</v>
      </c>
      <c r="U43" s="99">
        <f>(Q44-Q43)/Q43</f>
        <v>2.2914338981482258E-3</v>
      </c>
      <c r="V43" s="99">
        <f>(R44-R43)/R43</f>
        <v>2.4711174942446809E-3</v>
      </c>
      <c r="W43" s="100">
        <f>(S44-S43)/S43</f>
        <v>-4.7865430630935537E-3</v>
      </c>
    </row>
    <row r="44" spans="1:23" x14ac:dyDescent="0.25">
      <c r="A44" s="133"/>
      <c r="B44" s="45">
        <v>10000000000</v>
      </c>
      <c r="C44" s="46">
        <f t="shared" si="0"/>
        <v>0.01</v>
      </c>
      <c r="D44" s="97"/>
      <c r="E44" s="48" t="s">
        <v>114</v>
      </c>
      <c r="F44">
        <v>2.0939999999999999</v>
      </c>
      <c r="G44" s="42">
        <f t="shared" si="4"/>
        <v>2.094E-2</v>
      </c>
      <c r="H44">
        <v>5.3</v>
      </c>
      <c r="I44">
        <v>20.98</v>
      </c>
      <c r="J44">
        <v>137.30000000000001</v>
      </c>
      <c r="K44">
        <v>11.0982</v>
      </c>
      <c r="L44">
        <v>43.932119999999998</v>
      </c>
      <c r="M44">
        <v>287.50619999999998</v>
      </c>
      <c r="N44">
        <v>7.5802800000000001</v>
      </c>
      <c r="O44">
        <v>42.717599999999997</v>
      </c>
      <c r="P44">
        <v>96.721859999999992</v>
      </c>
      <c r="Q44" s="42">
        <f t="shared" si="1"/>
        <v>7.5802800000000004E-2</v>
      </c>
      <c r="R44" s="43">
        <f t="shared" si="2"/>
        <v>0.427176</v>
      </c>
      <c r="S44" s="44">
        <f t="shared" si="3"/>
        <v>0.96721859999999993</v>
      </c>
      <c r="T44" s="99"/>
      <c r="U44" s="99"/>
      <c r="V44" s="99"/>
      <c r="W44" s="100"/>
    </row>
    <row r="45" spans="1:23" x14ac:dyDescent="0.25">
      <c r="A45" s="133"/>
      <c r="B45" s="45">
        <v>100000000</v>
      </c>
      <c r="C45" s="46">
        <f t="shared" si="0"/>
        <v>1</v>
      </c>
      <c r="D45" s="97" t="s">
        <v>176</v>
      </c>
      <c r="E45" s="48" t="s">
        <v>111</v>
      </c>
      <c r="F45">
        <v>9.32</v>
      </c>
      <c r="G45" s="42">
        <f t="shared" si="4"/>
        <v>9.32</v>
      </c>
      <c r="H45">
        <v>5.28</v>
      </c>
      <c r="I45">
        <v>20.16</v>
      </c>
      <c r="J45">
        <v>130.83000000000001</v>
      </c>
      <c r="K45">
        <v>49.209600000000002</v>
      </c>
      <c r="L45">
        <v>187.8912</v>
      </c>
      <c r="M45">
        <v>1219.3356000000001</v>
      </c>
      <c r="N45">
        <v>35.882000000000012</v>
      </c>
      <c r="O45">
        <v>182.48560000000001</v>
      </c>
      <c r="P45">
        <v>395.91359999999997</v>
      </c>
      <c r="Q45" s="42">
        <f t="shared" si="1"/>
        <v>35.882000000000012</v>
      </c>
      <c r="R45" s="43">
        <f t="shared" si="2"/>
        <v>182.48560000000001</v>
      </c>
      <c r="S45" s="44">
        <f t="shared" si="3"/>
        <v>395.91359999999997</v>
      </c>
      <c r="T45" s="99">
        <f>(F46-F45)/F45</f>
        <v>-5.3326180257510715E-2</v>
      </c>
      <c r="U45" s="99">
        <f>(Q46-Q45)/Q45</f>
        <v>-5.0867287219218772E-2</v>
      </c>
      <c r="V45" s="99">
        <f>(R46-R45)/R45</f>
        <v>-5.5260141074145043E-2</v>
      </c>
      <c r="W45" s="100">
        <f>(S46-S45)/S45</f>
        <v>-5.3994735214955861E-2</v>
      </c>
    </row>
    <row r="46" spans="1:23" x14ac:dyDescent="0.25">
      <c r="A46" s="133"/>
      <c r="B46" s="45">
        <v>100000000</v>
      </c>
      <c r="C46" s="46">
        <f t="shared" si="0"/>
        <v>1</v>
      </c>
      <c r="D46" s="97"/>
      <c r="E46" s="48" t="s">
        <v>114</v>
      </c>
      <c r="F46">
        <v>8.8230000000000004</v>
      </c>
      <c r="G46" s="42">
        <f t="shared" si="4"/>
        <v>8.8230000000000004</v>
      </c>
      <c r="H46">
        <v>5.29</v>
      </c>
      <c r="I46">
        <v>20.12</v>
      </c>
      <c r="J46">
        <v>130.81</v>
      </c>
      <c r="K46">
        <v>46.673670000000001</v>
      </c>
      <c r="L46">
        <v>177.51875999999999</v>
      </c>
      <c r="M46">
        <v>1154.13663</v>
      </c>
      <c r="N46">
        <v>34.056780000000003</v>
      </c>
      <c r="O46">
        <v>172.40142</v>
      </c>
      <c r="P46">
        <v>374.53635000000003</v>
      </c>
      <c r="Q46" s="42">
        <f t="shared" si="1"/>
        <v>34.056780000000003</v>
      </c>
      <c r="R46" s="43">
        <f t="shared" si="2"/>
        <v>172.40142</v>
      </c>
      <c r="S46" s="44">
        <f t="shared" si="3"/>
        <v>374.53635000000003</v>
      </c>
      <c r="T46" s="99"/>
      <c r="U46" s="99"/>
      <c r="V46" s="99"/>
      <c r="W46" s="100"/>
    </row>
    <row r="47" spans="1:23" x14ac:dyDescent="0.25">
      <c r="A47" s="134" t="s">
        <v>37</v>
      </c>
      <c r="B47" s="45">
        <v>100000000</v>
      </c>
      <c r="C47" s="46">
        <f t="shared" si="0"/>
        <v>1</v>
      </c>
      <c r="D47" s="124" t="s">
        <v>175</v>
      </c>
      <c r="E47" s="48" t="s">
        <v>111</v>
      </c>
      <c r="F47">
        <v>2.0419999999999998</v>
      </c>
      <c r="G47" s="42">
        <f t="shared" si="4"/>
        <v>2.0419999999999998</v>
      </c>
      <c r="H47">
        <v>5.31</v>
      </c>
      <c r="I47">
        <v>17.18</v>
      </c>
      <c r="J47">
        <v>128.63</v>
      </c>
      <c r="K47">
        <v>10.843019999999999</v>
      </c>
      <c r="L47">
        <v>35.081560000000003</v>
      </c>
      <c r="M47">
        <v>262.66246000000001</v>
      </c>
      <c r="N47">
        <v>7.9229599999999989</v>
      </c>
      <c r="O47">
        <v>33.897199999999998</v>
      </c>
      <c r="P47">
        <v>93.176459999999992</v>
      </c>
      <c r="Q47" s="42">
        <f t="shared" si="1"/>
        <v>7.9229599999999989</v>
      </c>
      <c r="R47" s="43">
        <f t="shared" si="2"/>
        <v>33.897199999999998</v>
      </c>
      <c r="S47" s="44">
        <f t="shared" si="3"/>
        <v>93.176459999999992</v>
      </c>
      <c r="T47" s="99">
        <f>(F48-F47)/F47</f>
        <v>-0.23065621939275216</v>
      </c>
      <c r="U47" s="99">
        <f>(Q48-Q47)/Q47</f>
        <v>-0.23263906418813163</v>
      </c>
      <c r="V47" s="99">
        <f>(R48-R47)/R47</f>
        <v>-0.11757195284566267</v>
      </c>
      <c r="W47" s="100">
        <f>(S48-S47)/S47</f>
        <v>-0.13977822295459591</v>
      </c>
    </row>
    <row r="48" spans="1:23" x14ac:dyDescent="0.25">
      <c r="A48" s="135"/>
      <c r="B48" s="45">
        <v>100000000</v>
      </c>
      <c r="C48" s="46">
        <f t="shared" si="0"/>
        <v>1</v>
      </c>
      <c r="D48" s="97"/>
      <c r="E48" s="48" t="s">
        <v>114</v>
      </c>
      <c r="F48">
        <v>1.571</v>
      </c>
      <c r="G48" s="42">
        <f t="shared" si="4"/>
        <v>1.571</v>
      </c>
      <c r="H48">
        <v>5.3</v>
      </c>
      <c r="I48">
        <v>19.62</v>
      </c>
      <c r="J48">
        <v>134.02000000000001</v>
      </c>
      <c r="K48">
        <v>8.3262999999999998</v>
      </c>
      <c r="L48">
        <v>30.82302</v>
      </c>
      <c r="M48">
        <v>210.54542000000001</v>
      </c>
      <c r="N48">
        <v>6.0797699999999999</v>
      </c>
      <c r="O48">
        <v>29.911840000000002</v>
      </c>
      <c r="P48">
        <v>80.152420000000006</v>
      </c>
      <c r="Q48" s="42">
        <f t="shared" si="1"/>
        <v>6.0797699999999999</v>
      </c>
      <c r="R48" s="43">
        <f t="shared" si="2"/>
        <v>29.911840000000002</v>
      </c>
      <c r="S48" s="44">
        <f t="shared" si="3"/>
        <v>80.152420000000006</v>
      </c>
      <c r="T48" s="99"/>
      <c r="U48" s="99"/>
      <c r="V48" s="99"/>
      <c r="W48" s="100"/>
    </row>
    <row r="49" spans="1:23" x14ac:dyDescent="0.25">
      <c r="A49" s="135"/>
      <c r="B49" s="45">
        <v>100000000</v>
      </c>
      <c r="C49" s="46">
        <f t="shared" si="0"/>
        <v>1</v>
      </c>
      <c r="D49" s="97" t="s">
        <v>176</v>
      </c>
      <c r="E49" s="48" t="s">
        <v>111</v>
      </c>
      <c r="F49">
        <v>60.16</v>
      </c>
      <c r="G49" s="42">
        <f t="shared" si="4"/>
        <v>60.16</v>
      </c>
      <c r="H49">
        <v>5.24</v>
      </c>
      <c r="I49">
        <v>25.32</v>
      </c>
      <c r="J49">
        <v>142.30000000000001</v>
      </c>
      <c r="K49">
        <v>315.23840000000001</v>
      </c>
      <c r="L49">
        <v>1523.2511999999999</v>
      </c>
      <c r="M49">
        <v>8560.768</v>
      </c>
      <c r="N49">
        <v>229.20959999999999</v>
      </c>
      <c r="O49">
        <v>1488.3584000000001</v>
      </c>
      <c r="P49">
        <v>3190.8863999999999</v>
      </c>
      <c r="Q49" s="42">
        <f t="shared" si="1"/>
        <v>229.20959999999999</v>
      </c>
      <c r="R49" s="43">
        <f t="shared" si="2"/>
        <v>1488.3584000000001</v>
      </c>
      <c r="S49" s="44">
        <f t="shared" si="3"/>
        <v>3190.8863999999999</v>
      </c>
      <c r="T49" s="99">
        <f>(F50-F49)/F49</f>
        <v>-0.10862699468085102</v>
      </c>
      <c r="U49" s="99">
        <f>(Q50-Q49)/Q49</f>
        <v>-0.10628743298710001</v>
      </c>
      <c r="V49" s="99">
        <f>(R50-R49)/R49</f>
        <v>-0.10394314299566564</v>
      </c>
      <c r="W49" s="100">
        <f>(S50-S49)/S49</f>
        <v>-7.5519814807571889E-2</v>
      </c>
    </row>
    <row r="50" spans="1:23" x14ac:dyDescent="0.25">
      <c r="A50" s="136"/>
      <c r="B50" s="45">
        <v>100000000</v>
      </c>
      <c r="C50" s="46">
        <f t="shared" si="0"/>
        <v>1</v>
      </c>
      <c r="D50" s="97"/>
      <c r="E50" s="48" t="s">
        <v>114</v>
      </c>
      <c r="F50">
        <v>53.625</v>
      </c>
      <c r="G50" s="42">
        <f t="shared" si="4"/>
        <v>53.625</v>
      </c>
      <c r="H50">
        <v>5.25</v>
      </c>
      <c r="I50">
        <v>25.45</v>
      </c>
      <c r="J50">
        <v>144.27000000000001</v>
      </c>
      <c r="K50">
        <v>281.53125</v>
      </c>
      <c r="L50">
        <v>1364.7562499999999</v>
      </c>
      <c r="M50">
        <v>7736.4787500000002</v>
      </c>
      <c r="N50">
        <v>204.8475</v>
      </c>
      <c r="O50">
        <v>1333.6537499999999</v>
      </c>
      <c r="P50">
        <v>2949.9112500000001</v>
      </c>
      <c r="Q50" s="42">
        <f t="shared" si="1"/>
        <v>204.8475</v>
      </c>
      <c r="R50" s="43">
        <f t="shared" si="2"/>
        <v>1333.6537499999999</v>
      </c>
      <c r="S50" s="44">
        <f t="shared" si="3"/>
        <v>2949.9112500000001</v>
      </c>
      <c r="T50" s="99"/>
      <c r="U50" s="99"/>
      <c r="V50" s="99"/>
      <c r="W50" s="100"/>
    </row>
    <row r="51" spans="1:23" x14ac:dyDescent="0.25">
      <c r="A51" s="133" t="s">
        <v>39</v>
      </c>
      <c r="B51" s="45">
        <v>10000000000</v>
      </c>
      <c r="C51" s="46">
        <f t="shared" si="0"/>
        <v>0.01</v>
      </c>
      <c r="D51" s="124" t="s">
        <v>175</v>
      </c>
      <c r="E51" s="48" t="s">
        <v>111</v>
      </c>
      <c r="F51">
        <v>49.673000000000002</v>
      </c>
      <c r="G51" s="42">
        <f t="shared" si="4"/>
        <v>0.49673</v>
      </c>
      <c r="H51">
        <v>5.22</v>
      </c>
      <c r="I51">
        <v>24.12</v>
      </c>
      <c r="J51">
        <v>139.56</v>
      </c>
      <c r="K51">
        <v>259.29306000000003</v>
      </c>
      <c r="L51">
        <v>1198.11276</v>
      </c>
      <c r="M51">
        <v>6932.3638800000008</v>
      </c>
      <c r="N51">
        <v>188.26067</v>
      </c>
      <c r="O51">
        <v>1169.30242</v>
      </c>
      <c r="P51">
        <v>2467.7546400000001</v>
      </c>
      <c r="Q51" s="42">
        <f t="shared" si="1"/>
        <v>1.8826067000000002</v>
      </c>
      <c r="R51" s="43">
        <f t="shared" si="2"/>
        <v>11.6930242</v>
      </c>
      <c r="S51" s="44">
        <f t="shared" si="3"/>
        <v>24.677546400000001</v>
      </c>
      <c r="T51" s="99">
        <f>(F52-F51)/F51</f>
        <v>1.1678175266241217</v>
      </c>
      <c r="U51" s="99">
        <f>(Q52-Q51)/Q51</f>
        <v>1.1735373617867184</v>
      </c>
      <c r="V51" s="99">
        <f>(R52-R51)/R51</f>
        <v>0.77919433366091895</v>
      </c>
      <c r="W51" s="100">
        <f>(S52-S51)/S51</f>
        <v>0.75153372622166359</v>
      </c>
    </row>
    <row r="52" spans="1:23" x14ac:dyDescent="0.25">
      <c r="A52" s="133"/>
      <c r="B52" s="45">
        <v>10000000000</v>
      </c>
      <c r="C52" s="46">
        <f t="shared" si="0"/>
        <v>0.01</v>
      </c>
      <c r="D52" s="97"/>
      <c r="E52" s="48" t="s">
        <v>114</v>
      </c>
      <c r="F52">
        <v>107.682</v>
      </c>
      <c r="G52" s="42">
        <f t="shared" si="4"/>
        <v>1.0768200000000001</v>
      </c>
      <c r="H52">
        <v>5.23</v>
      </c>
      <c r="I52">
        <v>19.899999999999999</v>
      </c>
      <c r="J52">
        <v>130.02000000000001</v>
      </c>
      <c r="K52">
        <v>563.17686000000003</v>
      </c>
      <c r="L52">
        <v>2142.8717999999999</v>
      </c>
      <c r="M52">
        <v>14000.81364</v>
      </c>
      <c r="N52">
        <v>409.19159999999999</v>
      </c>
      <c r="O52">
        <v>2080.41624</v>
      </c>
      <c r="P52">
        <v>4322.3554800000002</v>
      </c>
      <c r="Q52" s="42">
        <f t="shared" si="1"/>
        <v>4.0919160000000003</v>
      </c>
      <c r="R52" s="43">
        <f t="shared" si="2"/>
        <v>20.804162399999999</v>
      </c>
      <c r="S52" s="44">
        <f t="shared" si="3"/>
        <v>43.223554800000002</v>
      </c>
      <c r="T52" s="99"/>
      <c r="U52" s="99"/>
      <c r="V52" s="99"/>
      <c r="W52" s="100"/>
    </row>
    <row r="53" spans="1:23" x14ac:dyDescent="0.25">
      <c r="A53" s="133"/>
      <c r="B53" s="45">
        <v>100000000</v>
      </c>
      <c r="C53" s="46">
        <f t="shared" si="0"/>
        <v>1</v>
      </c>
      <c r="D53" s="97" t="s">
        <v>176</v>
      </c>
      <c r="E53" s="48" t="s">
        <v>111</v>
      </c>
      <c r="F53">
        <v>29.381</v>
      </c>
      <c r="G53" s="42">
        <f t="shared" si="4"/>
        <v>29.381</v>
      </c>
      <c r="H53">
        <v>5.17</v>
      </c>
      <c r="I53">
        <v>25.71</v>
      </c>
      <c r="J53">
        <v>143.65</v>
      </c>
      <c r="K53">
        <v>151.89976999999999</v>
      </c>
      <c r="L53">
        <v>755.38551000000007</v>
      </c>
      <c r="M53">
        <v>4220.5806499999999</v>
      </c>
      <c r="N53">
        <v>117.524</v>
      </c>
      <c r="O53">
        <v>738.34452999999996</v>
      </c>
      <c r="P53">
        <v>1601.2645</v>
      </c>
      <c r="Q53" s="42">
        <f t="shared" si="1"/>
        <v>117.524</v>
      </c>
      <c r="R53" s="43">
        <f t="shared" si="2"/>
        <v>738.34452999999996</v>
      </c>
      <c r="S53" s="44">
        <f t="shared" si="3"/>
        <v>1601.2645</v>
      </c>
      <c r="T53" s="99">
        <f>(F54-F53)/F53</f>
        <v>-0.28361866512371947</v>
      </c>
      <c r="U53" s="99">
        <f>(Q54-Q53)/Q53</f>
        <v>-0.28003675844933812</v>
      </c>
      <c r="V53" s="99">
        <f>(R54-R53)/R53</f>
        <v>-0.29017527901236023</v>
      </c>
      <c r="W53" s="100">
        <f>(S54-S53)/S53</f>
        <v>-0.29452869279247745</v>
      </c>
    </row>
    <row r="54" spans="1:23" x14ac:dyDescent="0.25">
      <c r="A54" s="133"/>
      <c r="B54" s="45">
        <v>100000000</v>
      </c>
      <c r="C54" s="46">
        <f t="shared" si="0"/>
        <v>1</v>
      </c>
      <c r="D54" s="97"/>
      <c r="E54" s="48" t="s">
        <v>114</v>
      </c>
      <c r="F54">
        <v>21.047999999999998</v>
      </c>
      <c r="G54" s="42">
        <f t="shared" si="4"/>
        <v>21.047999999999998</v>
      </c>
      <c r="H54">
        <v>5.19</v>
      </c>
      <c r="I54">
        <v>25.48</v>
      </c>
      <c r="J54">
        <v>142.83000000000001</v>
      </c>
      <c r="K54">
        <v>109.23912</v>
      </c>
      <c r="L54">
        <v>536.30304000000001</v>
      </c>
      <c r="M54">
        <v>3006.28584</v>
      </c>
      <c r="N54">
        <v>84.612959999999987</v>
      </c>
      <c r="O54">
        <v>524.09519999999998</v>
      </c>
      <c r="P54">
        <v>1129.64616</v>
      </c>
      <c r="Q54" s="42">
        <f t="shared" si="1"/>
        <v>84.612959999999987</v>
      </c>
      <c r="R54" s="43">
        <f t="shared" si="2"/>
        <v>524.09519999999998</v>
      </c>
      <c r="S54" s="44">
        <f t="shared" si="3"/>
        <v>1129.64616</v>
      </c>
      <c r="T54" s="99"/>
      <c r="U54" s="99"/>
      <c r="V54" s="99"/>
      <c r="W54" s="100"/>
    </row>
    <row r="55" spans="1:23" x14ac:dyDescent="0.25">
      <c r="A55" s="133" t="s">
        <v>49</v>
      </c>
      <c r="B55" s="45">
        <v>100000000</v>
      </c>
      <c r="C55" s="46">
        <f t="shared" si="0"/>
        <v>1</v>
      </c>
      <c r="D55" s="124" t="s">
        <v>175</v>
      </c>
      <c r="E55" s="48" t="s">
        <v>111</v>
      </c>
      <c r="F55">
        <v>1.0469999999999999</v>
      </c>
      <c r="G55" s="42">
        <f t="shared" si="4"/>
        <v>1.0469999999999999</v>
      </c>
      <c r="H55">
        <v>3.44</v>
      </c>
      <c r="I55">
        <v>19.39</v>
      </c>
      <c r="J55">
        <v>146.25</v>
      </c>
      <c r="K55">
        <v>3.60168</v>
      </c>
      <c r="L55">
        <v>20.30133</v>
      </c>
      <c r="M55">
        <v>153.12375</v>
      </c>
      <c r="N55">
        <v>3.16194</v>
      </c>
      <c r="O55">
        <v>19.69407</v>
      </c>
      <c r="P55">
        <v>51.334409999999998</v>
      </c>
      <c r="Q55" s="42">
        <f t="shared" si="1"/>
        <v>3.16194</v>
      </c>
      <c r="R55" s="43">
        <f t="shared" si="2"/>
        <v>19.69407</v>
      </c>
      <c r="S55" s="44">
        <f t="shared" si="3"/>
        <v>51.334409999999998</v>
      </c>
      <c r="T55" s="99">
        <f>(F56-F55)/F55</f>
        <v>0.133715377268386</v>
      </c>
      <c r="U55" s="99">
        <f>(Q56-Q55)/Q55</f>
        <v>0.12245330398426281</v>
      </c>
      <c r="V55" s="99">
        <f>(R56-R55)/R55</f>
        <v>7.5251585883466393E-2</v>
      </c>
      <c r="W55" s="100">
        <f>(S56-S55)/S55</f>
        <v>5.5328774597779615E-2</v>
      </c>
    </row>
    <row r="56" spans="1:23" x14ac:dyDescent="0.25">
      <c r="A56" s="133"/>
      <c r="B56" s="45">
        <v>100000000</v>
      </c>
      <c r="C56" s="46">
        <f t="shared" si="0"/>
        <v>1</v>
      </c>
      <c r="D56" s="97"/>
      <c r="E56" s="48" t="s">
        <v>114</v>
      </c>
      <c r="F56">
        <v>1.1870000000000001</v>
      </c>
      <c r="G56" s="42">
        <f t="shared" si="4"/>
        <v>1.1870000000000001</v>
      </c>
      <c r="H56">
        <v>3.41</v>
      </c>
      <c r="I56">
        <v>18.420000000000002</v>
      </c>
      <c r="J56">
        <v>142.86000000000001</v>
      </c>
      <c r="K56">
        <v>4.0476700000000001</v>
      </c>
      <c r="L56">
        <v>21.864540000000002</v>
      </c>
      <c r="M56">
        <v>169.57481999999999</v>
      </c>
      <c r="N56">
        <v>3.5491299999999999</v>
      </c>
      <c r="O56">
        <v>21.176079999999999</v>
      </c>
      <c r="P56">
        <v>54.174680000000002</v>
      </c>
      <c r="Q56" s="42">
        <f t="shared" si="1"/>
        <v>3.5491299999999999</v>
      </c>
      <c r="R56" s="43">
        <f t="shared" si="2"/>
        <v>21.176079999999999</v>
      </c>
      <c r="S56" s="44">
        <f t="shared" si="3"/>
        <v>54.174680000000002</v>
      </c>
      <c r="T56" s="99"/>
      <c r="U56" s="99"/>
      <c r="V56" s="99"/>
      <c r="W56" s="100"/>
    </row>
    <row r="57" spans="1:23" x14ac:dyDescent="0.25">
      <c r="A57" s="133"/>
      <c r="B57" s="45">
        <v>100000000</v>
      </c>
      <c r="C57" s="46">
        <f t="shared" si="0"/>
        <v>1</v>
      </c>
      <c r="D57" s="97" t="s">
        <v>176</v>
      </c>
      <c r="E57" s="48" t="s">
        <v>111</v>
      </c>
      <c r="F57">
        <v>70.203000000000003</v>
      </c>
      <c r="G57" s="42">
        <f t="shared" si="4"/>
        <v>70.203000000000003</v>
      </c>
      <c r="H57">
        <v>5.13</v>
      </c>
      <c r="I57">
        <v>25.51</v>
      </c>
      <c r="J57">
        <v>142.77000000000001</v>
      </c>
      <c r="K57">
        <v>360.14139</v>
      </c>
      <c r="L57">
        <v>1790.87853</v>
      </c>
      <c r="M57">
        <v>10022.882310000001</v>
      </c>
      <c r="N57">
        <v>278.00387999999998</v>
      </c>
      <c r="O57">
        <v>1750.1607899999999</v>
      </c>
      <c r="P57">
        <v>3848.52846</v>
      </c>
      <c r="Q57" s="42">
        <f t="shared" si="1"/>
        <v>278.00387999999998</v>
      </c>
      <c r="R57" s="43">
        <f t="shared" si="2"/>
        <v>1750.1607899999999</v>
      </c>
      <c r="S57" s="44">
        <f t="shared" si="3"/>
        <v>3848.52846</v>
      </c>
      <c r="T57" s="99">
        <f>(F58-F57)/F57</f>
        <v>9.2588635813281085E-4</v>
      </c>
      <c r="U57" s="99">
        <f>(Q58-Q57)/Q57</f>
        <v>-1.6017042639835401E-3</v>
      </c>
      <c r="V57" s="99">
        <f>(R58-R57)/R57</f>
        <v>-7.9069935054366155E-3</v>
      </c>
      <c r="W57" s="100">
        <f>(S58-S57)/S57</f>
        <v>-1.6961807786654469E-4</v>
      </c>
    </row>
    <row r="58" spans="1:23" x14ac:dyDescent="0.25">
      <c r="A58" s="133"/>
      <c r="B58" s="45">
        <v>100000000</v>
      </c>
      <c r="C58" s="46">
        <f t="shared" si="0"/>
        <v>1</v>
      </c>
      <c r="D58" s="97"/>
      <c r="E58" s="48" t="s">
        <v>114</v>
      </c>
      <c r="F58">
        <v>70.268000000000001</v>
      </c>
      <c r="G58" s="42">
        <f t="shared" si="4"/>
        <v>70.268000000000001</v>
      </c>
      <c r="H58">
        <v>5.12</v>
      </c>
      <c r="I58">
        <v>25.29</v>
      </c>
      <c r="J58">
        <v>142.72</v>
      </c>
      <c r="K58">
        <v>359.77215999999999</v>
      </c>
      <c r="L58">
        <v>1777.07772</v>
      </c>
      <c r="M58">
        <v>10028.64896</v>
      </c>
      <c r="N58">
        <v>277.55860000000001</v>
      </c>
      <c r="O58">
        <v>1736.3222800000001</v>
      </c>
      <c r="P58">
        <v>3847.8756800000001</v>
      </c>
      <c r="Q58" s="42">
        <f t="shared" si="1"/>
        <v>277.55860000000001</v>
      </c>
      <c r="R58" s="43">
        <f t="shared" si="2"/>
        <v>1736.3222800000001</v>
      </c>
      <c r="S58" s="44">
        <f t="shared" si="3"/>
        <v>3847.8756800000001</v>
      </c>
      <c r="T58" s="99"/>
      <c r="U58" s="99"/>
      <c r="V58" s="99"/>
      <c r="W58" s="100"/>
    </row>
    <row r="59" spans="1:23" x14ac:dyDescent="0.25">
      <c r="A59" s="133" t="s">
        <v>51</v>
      </c>
      <c r="B59" s="45">
        <v>10000000000</v>
      </c>
      <c r="C59" s="46">
        <f t="shared" si="0"/>
        <v>0.01</v>
      </c>
      <c r="D59" s="124" t="s">
        <v>175</v>
      </c>
      <c r="E59" s="48" t="s">
        <v>111</v>
      </c>
      <c r="F59">
        <v>72.725999999999999</v>
      </c>
      <c r="G59" s="42">
        <f t="shared" si="4"/>
        <v>0.72726000000000002</v>
      </c>
      <c r="H59">
        <v>5.13</v>
      </c>
      <c r="I59">
        <v>25.42</v>
      </c>
      <c r="J59">
        <v>142.66</v>
      </c>
      <c r="K59">
        <v>373.08438000000001</v>
      </c>
      <c r="L59">
        <v>1848.6949199999999</v>
      </c>
      <c r="M59">
        <v>10375.09116</v>
      </c>
      <c r="N59">
        <v>269.08620000000002</v>
      </c>
      <c r="O59">
        <v>1806.5138400000001</v>
      </c>
      <c r="P59">
        <v>4034.8384799999999</v>
      </c>
      <c r="Q59" s="42">
        <f t="shared" si="1"/>
        <v>2.6908620000000001</v>
      </c>
      <c r="R59" s="43">
        <f t="shared" si="2"/>
        <v>18.065138400000002</v>
      </c>
      <c r="S59" s="44">
        <f t="shared" si="3"/>
        <v>40.348384799999998</v>
      </c>
      <c r="T59" s="99">
        <f>(F60-F59)/F59</f>
        <v>-1.3832742072986281E-2</v>
      </c>
      <c r="U59" s="99">
        <f>(Q60-Q59)/Q59</f>
        <v>-1.3832742072986392E-2</v>
      </c>
      <c r="V59" s="99">
        <f>(R60-R59)/R59</f>
        <v>-1.264171881462031E-2</v>
      </c>
      <c r="W59" s="100">
        <f>(S60-S59)/S59</f>
        <v>5.5422094616288508E-3</v>
      </c>
    </row>
    <row r="60" spans="1:23" x14ac:dyDescent="0.25">
      <c r="A60" s="133"/>
      <c r="B60" s="45">
        <v>10000000000</v>
      </c>
      <c r="C60" s="46">
        <f t="shared" si="0"/>
        <v>0.01</v>
      </c>
      <c r="D60" s="97"/>
      <c r="E60" s="48" t="s">
        <v>114</v>
      </c>
      <c r="F60">
        <v>71.72</v>
      </c>
      <c r="G60" s="42">
        <f t="shared" si="4"/>
        <v>0.71719999999999995</v>
      </c>
      <c r="H60">
        <v>5.13</v>
      </c>
      <c r="I60">
        <v>25.45</v>
      </c>
      <c r="J60">
        <v>143.74</v>
      </c>
      <c r="K60">
        <v>367.92360000000002</v>
      </c>
      <c r="L60">
        <v>1825.2739999999999</v>
      </c>
      <c r="M60">
        <v>10309.032800000001</v>
      </c>
      <c r="N60">
        <v>265.36399999999998</v>
      </c>
      <c r="O60">
        <v>1783.6764000000001</v>
      </c>
      <c r="P60">
        <v>4057.2004000000002</v>
      </c>
      <c r="Q60" s="42">
        <f t="shared" si="1"/>
        <v>2.6536399999999998</v>
      </c>
      <c r="R60" s="43">
        <f t="shared" si="2"/>
        <v>17.836764000000002</v>
      </c>
      <c r="S60" s="44">
        <f t="shared" si="3"/>
        <v>40.572004</v>
      </c>
      <c r="T60" s="99"/>
      <c r="U60" s="99"/>
      <c r="V60" s="99"/>
      <c r="W60" s="100"/>
    </row>
    <row r="61" spans="1:23" x14ac:dyDescent="0.25">
      <c r="A61" s="133"/>
      <c r="B61" s="45">
        <v>100000000</v>
      </c>
      <c r="C61" s="46">
        <f t="shared" si="0"/>
        <v>1</v>
      </c>
      <c r="D61" s="97" t="s">
        <v>176</v>
      </c>
      <c r="E61" s="48" t="s">
        <v>111</v>
      </c>
      <c r="F61">
        <v>73.254000000000005</v>
      </c>
      <c r="G61" s="42">
        <f t="shared" si="4"/>
        <v>73.254000000000005</v>
      </c>
      <c r="H61">
        <v>5.13</v>
      </c>
      <c r="I61">
        <v>25.89</v>
      </c>
      <c r="J61">
        <v>144.13</v>
      </c>
      <c r="K61">
        <v>375.79302000000001</v>
      </c>
      <c r="L61">
        <v>1896.5460599999999</v>
      </c>
      <c r="M61">
        <v>10558.09902</v>
      </c>
      <c r="N61">
        <v>308.39934</v>
      </c>
      <c r="O61">
        <v>1854.0587399999999</v>
      </c>
      <c r="P61">
        <v>4003.3310999999999</v>
      </c>
      <c r="Q61" s="42">
        <f t="shared" si="1"/>
        <v>308.39934</v>
      </c>
      <c r="R61" s="43">
        <f t="shared" si="2"/>
        <v>1854.0587399999999</v>
      </c>
      <c r="S61" s="44">
        <f t="shared" si="3"/>
        <v>4003.3310999999999</v>
      </c>
      <c r="T61" s="99">
        <f>(F62-F61)/F61</f>
        <v>-0.27251754170420739</v>
      </c>
      <c r="U61" s="99">
        <f>(Q62-Q61)/Q61</f>
        <v>-0.2759735153778215</v>
      </c>
      <c r="V61" s="99">
        <f>(R62-R61)/R61</f>
        <v>-0.25987067162715671</v>
      </c>
      <c r="W61" s="100">
        <f>(S62-S61)/S61</f>
        <v>-0.25734224431249264</v>
      </c>
    </row>
    <row r="62" spans="1:23" x14ac:dyDescent="0.25">
      <c r="A62" s="133"/>
      <c r="B62" s="45">
        <v>100000000</v>
      </c>
      <c r="C62" s="46">
        <f t="shared" si="0"/>
        <v>1</v>
      </c>
      <c r="D62" s="97"/>
      <c r="E62" s="48" t="s">
        <v>114</v>
      </c>
      <c r="F62">
        <v>53.290999999999997</v>
      </c>
      <c r="G62" s="42">
        <f t="shared" si="4"/>
        <v>53.290999999999997</v>
      </c>
      <c r="H62">
        <v>5.1100000000000003</v>
      </c>
      <c r="I62">
        <v>26.33</v>
      </c>
      <c r="J62">
        <v>145.26</v>
      </c>
      <c r="K62">
        <v>272.31700999999998</v>
      </c>
      <c r="L62">
        <v>1403.15203</v>
      </c>
      <c r="M62">
        <v>7741.050659999999</v>
      </c>
      <c r="N62">
        <v>223.28928999999999</v>
      </c>
      <c r="O62">
        <v>1372.24325</v>
      </c>
      <c r="P62">
        <v>2973.1048900000001</v>
      </c>
      <c r="Q62" s="42">
        <f t="shared" si="1"/>
        <v>223.28928999999999</v>
      </c>
      <c r="R62" s="43">
        <f t="shared" si="2"/>
        <v>1372.24325</v>
      </c>
      <c r="S62" s="44">
        <f t="shared" si="3"/>
        <v>2973.1048900000001</v>
      </c>
      <c r="T62" s="99"/>
      <c r="U62" s="99"/>
      <c r="V62" s="99"/>
      <c r="W62" s="100"/>
    </row>
    <row r="63" spans="1:23" x14ac:dyDescent="0.25">
      <c r="A63" s="133" t="s">
        <v>55</v>
      </c>
      <c r="B63" s="45">
        <v>100000000</v>
      </c>
      <c r="C63" s="46">
        <f t="shared" si="0"/>
        <v>1</v>
      </c>
      <c r="D63" s="124" t="s">
        <v>175</v>
      </c>
      <c r="E63" s="48" t="s">
        <v>111</v>
      </c>
      <c r="F63">
        <v>1.0469999999999999</v>
      </c>
      <c r="G63" s="42">
        <f t="shared" si="4"/>
        <v>1.0469999999999999</v>
      </c>
      <c r="H63">
        <v>5.18</v>
      </c>
      <c r="I63">
        <v>19.100000000000001</v>
      </c>
      <c r="J63">
        <v>136.84</v>
      </c>
      <c r="K63">
        <v>5.4234600000000004</v>
      </c>
      <c r="L63">
        <v>19.997699999999998</v>
      </c>
      <c r="M63">
        <v>143.27148</v>
      </c>
      <c r="N63">
        <v>3.6644999999999999</v>
      </c>
      <c r="O63">
        <v>19.390440000000002</v>
      </c>
      <c r="P63">
        <v>52.192950000000003</v>
      </c>
      <c r="Q63" s="42">
        <f t="shared" si="1"/>
        <v>3.6644999999999999</v>
      </c>
      <c r="R63" s="43">
        <f t="shared" si="2"/>
        <v>19.390440000000002</v>
      </c>
      <c r="S63" s="44">
        <f t="shared" si="3"/>
        <v>52.192950000000003</v>
      </c>
      <c r="T63" s="99">
        <f>(F64-F63)/F63</f>
        <v>0.49952244508118449</v>
      </c>
      <c r="U63" s="99">
        <f>(Q64-Q63)/Q63</f>
        <v>0.49095374539500608</v>
      </c>
      <c r="V63" s="99">
        <f>(R64-R63)/R63</f>
        <v>0.3489224586961408</v>
      </c>
      <c r="W63" s="100">
        <f>(S64-S63)/S63</f>
        <v>0.32655847197753729</v>
      </c>
    </row>
    <row r="64" spans="1:23" x14ac:dyDescent="0.25">
      <c r="A64" s="133"/>
      <c r="B64" s="45">
        <v>100000000</v>
      </c>
      <c r="C64" s="46">
        <f t="shared" si="0"/>
        <v>1</v>
      </c>
      <c r="D64" s="97"/>
      <c r="E64" s="48" t="s">
        <v>114</v>
      </c>
      <c r="F64">
        <v>1.57</v>
      </c>
      <c r="G64" s="42">
        <f t="shared" si="4"/>
        <v>1.57</v>
      </c>
      <c r="H64">
        <v>5.16</v>
      </c>
      <c r="I64">
        <v>17.239999999999998</v>
      </c>
      <c r="J64">
        <v>131.09</v>
      </c>
      <c r="K64">
        <v>8.1012000000000004</v>
      </c>
      <c r="L64">
        <v>27.066800000000001</v>
      </c>
      <c r="M64">
        <v>205.81129999999999</v>
      </c>
      <c r="N64">
        <v>5.4635999999999996</v>
      </c>
      <c r="O64">
        <v>26.156199999999998</v>
      </c>
      <c r="P64">
        <v>69.237000000000009</v>
      </c>
      <c r="Q64" s="42">
        <f t="shared" si="1"/>
        <v>5.4635999999999996</v>
      </c>
      <c r="R64" s="43">
        <f t="shared" si="2"/>
        <v>26.156199999999998</v>
      </c>
      <c r="S64" s="44">
        <f t="shared" si="3"/>
        <v>69.237000000000009</v>
      </c>
      <c r="T64" s="99"/>
      <c r="U64" s="99"/>
      <c r="V64" s="99"/>
      <c r="W64" s="100"/>
    </row>
    <row r="65" spans="1:23" x14ac:dyDescent="0.25">
      <c r="A65" s="133"/>
      <c r="B65" s="45">
        <v>100000000</v>
      </c>
      <c r="C65" s="46">
        <f t="shared" si="0"/>
        <v>1</v>
      </c>
      <c r="D65" s="97" t="s">
        <v>176</v>
      </c>
      <c r="E65" s="48" t="s">
        <v>111</v>
      </c>
      <c r="F65">
        <v>62.192</v>
      </c>
      <c r="G65" s="42">
        <f t="shared" si="4"/>
        <v>62.192</v>
      </c>
      <c r="H65">
        <v>5.12</v>
      </c>
      <c r="I65">
        <v>25.37</v>
      </c>
      <c r="J65">
        <v>142.85</v>
      </c>
      <c r="K65">
        <v>318.42304000000001</v>
      </c>
      <c r="L65">
        <v>1577.81104</v>
      </c>
      <c r="M65">
        <v>8884.127199999999</v>
      </c>
      <c r="N65">
        <v>245.6584</v>
      </c>
      <c r="O65">
        <v>1541.7396799999999</v>
      </c>
      <c r="P65">
        <v>3234.60592</v>
      </c>
      <c r="Q65" s="42">
        <f t="shared" si="1"/>
        <v>245.6584</v>
      </c>
      <c r="R65" s="43">
        <f t="shared" si="2"/>
        <v>1541.7396799999999</v>
      </c>
      <c r="S65" s="44">
        <f t="shared" si="3"/>
        <v>3234.60592</v>
      </c>
      <c r="T65" s="99">
        <f>(F66-F65)/F65</f>
        <v>0.29584190892719309</v>
      </c>
      <c r="U65" s="99">
        <f>(Q66-Q65)/Q65</f>
        <v>0.2958419089271932</v>
      </c>
      <c r="V65" s="99">
        <f>(R66-R65)/R65</f>
        <v>0.31831919899733019</v>
      </c>
      <c r="W65" s="100">
        <f>(S66-S65)/S65</f>
        <v>0.33396223426190963</v>
      </c>
    </row>
    <row r="66" spans="1:23" x14ac:dyDescent="0.25">
      <c r="A66" s="133"/>
      <c r="B66" s="45">
        <v>100000000</v>
      </c>
      <c r="C66" s="46">
        <f t="shared" si="0"/>
        <v>1</v>
      </c>
      <c r="D66" s="97"/>
      <c r="E66" s="48" t="s">
        <v>114</v>
      </c>
      <c r="F66">
        <v>80.590999999999994</v>
      </c>
      <c r="G66" s="42">
        <f t="shared" si="4"/>
        <v>80.590999999999994</v>
      </c>
      <c r="H66">
        <v>5.12</v>
      </c>
      <c r="I66">
        <v>25.8</v>
      </c>
      <c r="J66">
        <v>144.38</v>
      </c>
      <c r="K66">
        <v>412.62592000000001</v>
      </c>
      <c r="L66">
        <v>2079.2478000000001</v>
      </c>
      <c r="M66">
        <v>11635.728580000001</v>
      </c>
      <c r="N66">
        <v>318.33445</v>
      </c>
      <c r="O66">
        <v>2032.5050200000001</v>
      </c>
      <c r="P66">
        <v>4314.8421399999997</v>
      </c>
      <c r="Q66" s="42">
        <f t="shared" si="1"/>
        <v>318.33445</v>
      </c>
      <c r="R66" s="43">
        <f t="shared" si="2"/>
        <v>2032.5050200000001</v>
      </c>
      <c r="S66" s="44">
        <f t="shared" si="3"/>
        <v>4314.8421399999997</v>
      </c>
      <c r="T66" s="99"/>
      <c r="U66" s="99"/>
      <c r="V66" s="99"/>
      <c r="W66" s="100"/>
    </row>
    <row r="67" spans="1:23" x14ac:dyDescent="0.25">
      <c r="A67" s="133" t="s">
        <v>57</v>
      </c>
      <c r="B67" s="45">
        <v>10000000000</v>
      </c>
      <c r="C67" s="46">
        <f t="shared" si="0"/>
        <v>0.01</v>
      </c>
      <c r="D67" s="124" t="s">
        <v>175</v>
      </c>
      <c r="E67" s="48" t="s">
        <v>111</v>
      </c>
      <c r="F67">
        <v>1.571</v>
      </c>
      <c r="G67" s="42">
        <f t="shared" si="4"/>
        <v>1.5709999999999998E-2</v>
      </c>
      <c r="H67">
        <v>5.15</v>
      </c>
      <c r="I67">
        <v>18.95</v>
      </c>
      <c r="J67">
        <v>134.29</v>
      </c>
      <c r="K67">
        <v>8.0906500000000001</v>
      </c>
      <c r="L67">
        <v>29.77045</v>
      </c>
      <c r="M67">
        <v>210.96959000000001</v>
      </c>
      <c r="N67">
        <v>5.8441200000000002</v>
      </c>
      <c r="O67">
        <v>28.874980000000001</v>
      </c>
      <c r="P67">
        <v>70.962069999999997</v>
      </c>
      <c r="Q67" s="42">
        <f t="shared" si="1"/>
        <v>5.8441200000000006E-2</v>
      </c>
      <c r="R67" s="43">
        <f t="shared" si="2"/>
        <v>0.2887498</v>
      </c>
      <c r="S67" s="44">
        <f t="shared" si="3"/>
        <v>0.70962069999999999</v>
      </c>
      <c r="T67" s="99">
        <f>(F68-F67)/F67</f>
        <v>-6.3653723742831947E-4</v>
      </c>
      <c r="U67" s="99">
        <f>(Q68-Q67)/Q67</f>
        <v>7.422845526785864E-3</v>
      </c>
      <c r="V67" s="99">
        <f>(R68-R67)/R67</f>
        <v>-1.7239838780840461E-3</v>
      </c>
      <c r="W67" s="100">
        <f>(S68-S67)/S67</f>
        <v>-7.9376207599354629E-3</v>
      </c>
    </row>
    <row r="68" spans="1:23" x14ac:dyDescent="0.25">
      <c r="A68" s="133"/>
      <c r="B68" s="45">
        <v>10000000000</v>
      </c>
      <c r="C68" s="46">
        <f t="shared" ref="C68:C106" si="5">100000000/B68</f>
        <v>0.01</v>
      </c>
      <c r="D68" s="97"/>
      <c r="E68" s="48" t="s">
        <v>114</v>
      </c>
      <c r="F68">
        <v>1.57</v>
      </c>
      <c r="G68" s="42">
        <f t="shared" si="4"/>
        <v>1.5700000000000002E-2</v>
      </c>
      <c r="H68">
        <v>5.18</v>
      </c>
      <c r="I68">
        <v>18.940000000000001</v>
      </c>
      <c r="J68">
        <v>133.97</v>
      </c>
      <c r="K68">
        <v>8.1326000000000001</v>
      </c>
      <c r="L68">
        <v>29.735800000000001</v>
      </c>
      <c r="M68">
        <v>210.3329</v>
      </c>
      <c r="N68">
        <v>5.8875000000000002</v>
      </c>
      <c r="O68">
        <v>28.825199999999999</v>
      </c>
      <c r="P68">
        <v>70.398800000000008</v>
      </c>
      <c r="Q68" s="42">
        <f t="shared" ref="Q68:Q106" si="6">N68*C68</f>
        <v>5.8875000000000004E-2</v>
      </c>
      <c r="R68" s="43">
        <f t="shared" ref="R68:R106" si="7">O68*C68</f>
        <v>0.28825200000000001</v>
      </c>
      <c r="S68" s="44">
        <f t="shared" ref="S68:S106" si="8">P68*C68</f>
        <v>0.70398800000000006</v>
      </c>
      <c r="T68" s="99"/>
      <c r="U68" s="99"/>
      <c r="V68" s="99"/>
      <c r="W68" s="100"/>
    </row>
    <row r="69" spans="1:23" x14ac:dyDescent="0.25">
      <c r="A69" s="133"/>
      <c r="B69" s="45">
        <v>100000000</v>
      </c>
      <c r="C69" s="46">
        <f t="shared" si="5"/>
        <v>1</v>
      </c>
      <c r="D69" s="97" t="s">
        <v>176</v>
      </c>
      <c r="E69" s="48" t="s">
        <v>111</v>
      </c>
      <c r="F69">
        <v>3.8050000000000002</v>
      </c>
      <c r="G69" s="42">
        <f t="shared" si="4"/>
        <v>3.8050000000000002</v>
      </c>
      <c r="H69">
        <v>5.16</v>
      </c>
      <c r="I69">
        <v>19.91</v>
      </c>
      <c r="J69">
        <v>133.19</v>
      </c>
      <c r="K69">
        <v>19.633800000000001</v>
      </c>
      <c r="L69">
        <v>75.757550000000009</v>
      </c>
      <c r="M69">
        <v>506.78795000000002</v>
      </c>
      <c r="N69">
        <v>14.19265</v>
      </c>
      <c r="O69">
        <v>73.55064999999999</v>
      </c>
      <c r="P69">
        <v>167.00145000000001</v>
      </c>
      <c r="Q69" s="42">
        <f t="shared" si="6"/>
        <v>14.19265</v>
      </c>
      <c r="R69" s="43">
        <f t="shared" si="7"/>
        <v>73.55064999999999</v>
      </c>
      <c r="S69" s="44">
        <f t="shared" si="8"/>
        <v>167.00145000000001</v>
      </c>
      <c r="T69" s="99">
        <f>(F70-F69)/F69</f>
        <v>2.7595269382391586E-2</v>
      </c>
      <c r="U69" s="99">
        <f>(Q70-Q69)/Q69</f>
        <v>2.759526938239161E-2</v>
      </c>
      <c r="V69" s="99">
        <f>(R70-R69)/R69</f>
        <v>2.0152779071293349E-2</v>
      </c>
      <c r="W69" s="100">
        <f>(S70-S69)/S69</f>
        <v>6.7577257562733131E-3</v>
      </c>
    </row>
    <row r="70" spans="1:23" x14ac:dyDescent="0.25">
      <c r="A70" s="133"/>
      <c r="B70" s="45">
        <v>100000000</v>
      </c>
      <c r="C70" s="46">
        <f t="shared" si="5"/>
        <v>1</v>
      </c>
      <c r="D70" s="97"/>
      <c r="E70" s="48" t="s">
        <v>114</v>
      </c>
      <c r="F70">
        <v>3.91</v>
      </c>
      <c r="G70" s="42">
        <f t="shared" si="4"/>
        <v>3.91</v>
      </c>
      <c r="H70">
        <v>5.16</v>
      </c>
      <c r="I70">
        <v>19.77</v>
      </c>
      <c r="J70">
        <v>132.30000000000001</v>
      </c>
      <c r="K70">
        <v>20.175599999999999</v>
      </c>
      <c r="L70">
        <v>77.300700000000006</v>
      </c>
      <c r="M70">
        <v>517.29300000000012</v>
      </c>
      <c r="N70">
        <v>14.584300000000001</v>
      </c>
      <c r="O70">
        <v>75.032900000000012</v>
      </c>
      <c r="P70">
        <v>168.13</v>
      </c>
      <c r="Q70" s="42">
        <f t="shared" si="6"/>
        <v>14.584300000000001</v>
      </c>
      <c r="R70" s="43">
        <f t="shared" si="7"/>
        <v>75.032900000000012</v>
      </c>
      <c r="S70" s="44">
        <f t="shared" si="8"/>
        <v>168.13</v>
      </c>
      <c r="T70" s="99"/>
      <c r="U70" s="99"/>
      <c r="V70" s="99"/>
      <c r="W70" s="100"/>
    </row>
    <row r="71" spans="1:23" x14ac:dyDescent="0.25">
      <c r="A71" s="133" t="s">
        <v>61</v>
      </c>
      <c r="B71" s="45">
        <v>100000000</v>
      </c>
      <c r="C71" s="46">
        <f t="shared" si="5"/>
        <v>1</v>
      </c>
      <c r="D71" s="124" t="s">
        <v>175</v>
      </c>
      <c r="E71" s="48" t="s">
        <v>111</v>
      </c>
      <c r="F71">
        <v>66.290999999999997</v>
      </c>
      <c r="G71" s="42">
        <f t="shared" ref="G71:G106" si="9">F71*C71</f>
        <v>66.290999999999997</v>
      </c>
      <c r="H71">
        <v>8.16</v>
      </c>
      <c r="I71">
        <v>32.9</v>
      </c>
      <c r="J71">
        <v>157.93</v>
      </c>
      <c r="K71">
        <v>540.93456000000003</v>
      </c>
      <c r="L71">
        <v>2180.9739</v>
      </c>
      <c r="M71">
        <v>10469.33763</v>
      </c>
      <c r="N71">
        <v>346.03901999999999</v>
      </c>
      <c r="O71">
        <v>1834.27197</v>
      </c>
      <c r="P71">
        <v>3828.9681599999999</v>
      </c>
      <c r="Q71" s="42">
        <f t="shared" si="6"/>
        <v>346.03901999999999</v>
      </c>
      <c r="R71" s="43">
        <f t="shared" si="7"/>
        <v>1834.27197</v>
      </c>
      <c r="S71" s="44">
        <f t="shared" si="8"/>
        <v>3828.9681599999999</v>
      </c>
      <c r="T71" s="99">
        <f>(F72-F71)/F71</f>
        <v>0.16067037757765001</v>
      </c>
      <c r="U71" s="99">
        <f>(Q72-Q71)/Q71</f>
        <v>9.8412196404902563E-2</v>
      </c>
      <c r="V71" s="99">
        <f>(R72-R71)/R71</f>
        <v>0.21855708235022539</v>
      </c>
      <c r="W71" s="100">
        <f>(S72-S71)/S71</f>
        <v>0.26154581551808981</v>
      </c>
    </row>
    <row r="72" spans="1:23" x14ac:dyDescent="0.25">
      <c r="A72" s="133"/>
      <c r="B72" s="45">
        <v>100000000</v>
      </c>
      <c r="C72" s="46">
        <f t="shared" si="5"/>
        <v>1</v>
      </c>
      <c r="D72" s="97"/>
      <c r="E72" s="48" t="s">
        <v>114</v>
      </c>
      <c r="F72">
        <v>76.941999999999993</v>
      </c>
      <c r="G72" s="42">
        <f t="shared" si="9"/>
        <v>76.941999999999993</v>
      </c>
      <c r="H72">
        <v>7.88</v>
      </c>
      <c r="I72">
        <v>34.28</v>
      </c>
      <c r="J72">
        <v>162.94999999999999</v>
      </c>
      <c r="K72">
        <v>606.30295999999998</v>
      </c>
      <c r="L72">
        <v>2637.5717599999998</v>
      </c>
      <c r="M72">
        <v>12537.698899999999</v>
      </c>
      <c r="N72">
        <v>380.09348</v>
      </c>
      <c r="O72">
        <v>2235.1651000000002</v>
      </c>
      <c r="P72">
        <v>4830.4187599999996</v>
      </c>
      <c r="Q72" s="42">
        <f t="shared" si="6"/>
        <v>380.09348</v>
      </c>
      <c r="R72" s="43">
        <f t="shared" si="7"/>
        <v>2235.1651000000002</v>
      </c>
      <c r="S72" s="44">
        <f t="shared" si="8"/>
        <v>4830.4187599999996</v>
      </c>
      <c r="T72" s="99"/>
      <c r="U72" s="99"/>
      <c r="V72" s="99"/>
      <c r="W72" s="100"/>
    </row>
    <row r="73" spans="1:23" x14ac:dyDescent="0.25">
      <c r="A73" s="133"/>
      <c r="B73" s="45">
        <v>10000000</v>
      </c>
      <c r="C73" s="46">
        <f t="shared" si="5"/>
        <v>10</v>
      </c>
      <c r="D73" s="97" t="s">
        <v>176</v>
      </c>
      <c r="E73" s="48" t="s">
        <v>111</v>
      </c>
      <c r="F73">
        <v>33.85</v>
      </c>
      <c r="G73" s="42">
        <f t="shared" si="9"/>
        <v>338.5</v>
      </c>
      <c r="H73">
        <v>8.64</v>
      </c>
      <c r="I73">
        <v>28.84</v>
      </c>
      <c r="J73">
        <v>140.68</v>
      </c>
      <c r="K73">
        <v>292.46400000000011</v>
      </c>
      <c r="L73">
        <v>976.23400000000004</v>
      </c>
      <c r="M73">
        <v>4762.018</v>
      </c>
      <c r="N73">
        <v>150.971</v>
      </c>
      <c r="O73">
        <v>799.19849999999997</v>
      </c>
      <c r="P73">
        <v>1649.8489999999999</v>
      </c>
      <c r="Q73" s="42">
        <f t="shared" si="6"/>
        <v>1509.71</v>
      </c>
      <c r="R73" s="43">
        <f t="shared" si="7"/>
        <v>7991.9849999999997</v>
      </c>
      <c r="S73" s="44">
        <f t="shared" si="8"/>
        <v>16498.489999999998</v>
      </c>
      <c r="T73" s="99">
        <f>(F74-F73)/F73</f>
        <v>0.47926144756277689</v>
      </c>
      <c r="U73" s="99">
        <f>(Q74-Q73)/Q73</f>
        <v>0.53896258221777693</v>
      </c>
      <c r="V73" s="99">
        <f>(R74-R73)/R73</f>
        <v>0.60707565141826481</v>
      </c>
      <c r="W73" s="100">
        <f>(S74-S73)/S73</f>
        <v>0.63283270165936423</v>
      </c>
    </row>
    <row r="74" spans="1:23" x14ac:dyDescent="0.25">
      <c r="A74" s="133"/>
      <c r="B74" s="45">
        <v>10000000</v>
      </c>
      <c r="C74" s="46">
        <f t="shared" si="5"/>
        <v>10</v>
      </c>
      <c r="D74" s="97"/>
      <c r="E74" s="48" t="s">
        <v>114</v>
      </c>
      <c r="F74">
        <v>50.073</v>
      </c>
      <c r="G74" s="42">
        <f t="shared" si="9"/>
        <v>500.73</v>
      </c>
      <c r="H74">
        <v>8.82</v>
      </c>
      <c r="I74">
        <v>30.88</v>
      </c>
      <c r="J74">
        <v>145.74</v>
      </c>
      <c r="K74">
        <v>441.64386000000002</v>
      </c>
      <c r="L74">
        <v>1546.25424</v>
      </c>
      <c r="M74">
        <v>7297.6390200000014</v>
      </c>
      <c r="N74">
        <v>232.33872</v>
      </c>
      <c r="O74">
        <v>1284.3724500000001</v>
      </c>
      <c r="P74">
        <v>2693.9274</v>
      </c>
      <c r="Q74" s="42">
        <f t="shared" si="6"/>
        <v>2323.3872000000001</v>
      </c>
      <c r="R74" s="43">
        <f t="shared" si="7"/>
        <v>12843.7245</v>
      </c>
      <c r="S74" s="44">
        <f t="shared" si="8"/>
        <v>26939.274000000001</v>
      </c>
      <c r="T74" s="99"/>
      <c r="U74" s="99"/>
      <c r="V74" s="99"/>
      <c r="W74" s="100"/>
    </row>
    <row r="75" spans="1:23" x14ac:dyDescent="0.25">
      <c r="A75" s="133" t="s">
        <v>63</v>
      </c>
      <c r="B75" s="45">
        <v>10000000000</v>
      </c>
      <c r="C75" s="46">
        <f t="shared" si="5"/>
        <v>0.01</v>
      </c>
      <c r="D75" s="124" t="s">
        <v>175</v>
      </c>
      <c r="E75" s="48" t="s">
        <v>111</v>
      </c>
      <c r="F75">
        <v>2.0939999999999999</v>
      </c>
      <c r="G75" s="42">
        <f t="shared" si="9"/>
        <v>2.094E-2</v>
      </c>
      <c r="H75">
        <v>5.15</v>
      </c>
      <c r="I75">
        <v>20.81</v>
      </c>
      <c r="J75">
        <v>137.52000000000001</v>
      </c>
      <c r="K75">
        <v>10.7841</v>
      </c>
      <c r="L75">
        <v>43.576140000000002</v>
      </c>
      <c r="M75">
        <v>287.96688</v>
      </c>
      <c r="N75">
        <v>7.2661800000000003</v>
      </c>
      <c r="O75">
        <v>42.361619999999988</v>
      </c>
      <c r="P75">
        <v>102.33378</v>
      </c>
      <c r="Q75" s="42">
        <f t="shared" si="6"/>
        <v>7.2661799999999999E-2</v>
      </c>
      <c r="R75" s="43">
        <f t="shared" si="7"/>
        <v>0.42361619999999989</v>
      </c>
      <c r="S75" s="44">
        <f t="shared" si="8"/>
        <v>1.0233378</v>
      </c>
      <c r="T75" s="99">
        <f>(F76-F75)/F75</f>
        <v>-0.24976122254059213</v>
      </c>
      <c r="U75" s="99">
        <f>(Q76-Q75)/Q75</f>
        <v>-0.24543707973102785</v>
      </c>
      <c r="V75" s="99">
        <f>(R76-R75)/R75</f>
        <v>-0.32059444374412482</v>
      </c>
      <c r="W75" s="100">
        <f>(S76-S75)/S75</f>
        <v>-0.29658398233701516</v>
      </c>
    </row>
    <row r="76" spans="1:23" x14ac:dyDescent="0.25">
      <c r="A76" s="133"/>
      <c r="B76" s="45">
        <v>10000000000</v>
      </c>
      <c r="C76" s="46">
        <f t="shared" si="5"/>
        <v>0.01</v>
      </c>
      <c r="D76" s="97"/>
      <c r="E76" s="48" t="s">
        <v>114</v>
      </c>
      <c r="F76">
        <v>1.571</v>
      </c>
      <c r="G76" s="42">
        <f t="shared" si="9"/>
        <v>1.5709999999999998E-2</v>
      </c>
      <c r="H76">
        <v>5.17</v>
      </c>
      <c r="I76">
        <v>18.899999999999999</v>
      </c>
      <c r="J76">
        <v>134.47999999999999</v>
      </c>
      <c r="K76">
        <v>8.122069999999999</v>
      </c>
      <c r="L76">
        <v>29.6919</v>
      </c>
      <c r="M76">
        <v>211.26808</v>
      </c>
      <c r="N76">
        <v>5.4827899999999996</v>
      </c>
      <c r="O76">
        <v>28.780719999999999</v>
      </c>
      <c r="P76">
        <v>71.983220000000003</v>
      </c>
      <c r="Q76" s="42">
        <f t="shared" si="6"/>
        <v>5.4827899999999999E-2</v>
      </c>
      <c r="R76" s="43">
        <f t="shared" si="7"/>
        <v>0.28780719999999999</v>
      </c>
      <c r="S76" s="44">
        <f t="shared" si="8"/>
        <v>0.71983220000000003</v>
      </c>
      <c r="T76" s="99"/>
      <c r="U76" s="99"/>
      <c r="V76" s="99"/>
      <c r="W76" s="100"/>
    </row>
    <row r="77" spans="1:23" x14ac:dyDescent="0.25">
      <c r="A77" s="133"/>
      <c r="B77" s="45">
        <v>100000000</v>
      </c>
      <c r="C77" s="46">
        <f t="shared" si="5"/>
        <v>1</v>
      </c>
      <c r="D77" s="97" t="s">
        <v>176</v>
      </c>
      <c r="E77" s="48" t="s">
        <v>111</v>
      </c>
      <c r="F77">
        <v>3.665</v>
      </c>
      <c r="G77" s="42">
        <f t="shared" si="9"/>
        <v>3.665</v>
      </c>
      <c r="H77">
        <v>5.16</v>
      </c>
      <c r="I77">
        <v>20.59</v>
      </c>
      <c r="J77">
        <v>135</v>
      </c>
      <c r="K77">
        <v>18.9114</v>
      </c>
      <c r="L77">
        <v>75.462350000000001</v>
      </c>
      <c r="M77">
        <v>494.77499999999998</v>
      </c>
      <c r="N77">
        <v>12.754200000000001</v>
      </c>
      <c r="O77">
        <v>73.336650000000006</v>
      </c>
      <c r="P77">
        <v>171.37540000000001</v>
      </c>
      <c r="Q77" s="42">
        <f t="shared" si="6"/>
        <v>12.754200000000001</v>
      </c>
      <c r="R77" s="43">
        <f t="shared" si="7"/>
        <v>73.336650000000006</v>
      </c>
      <c r="S77" s="44">
        <f t="shared" si="8"/>
        <v>171.37540000000001</v>
      </c>
      <c r="T77" s="99">
        <f>(F78-F77)/F77</f>
        <v>0.1380627557980901</v>
      </c>
      <c r="U77" s="99">
        <f>(Q78-Q77)/Q77</f>
        <v>0.13806275579808991</v>
      </c>
      <c r="V77" s="99">
        <f>(R78-R77)/R77</f>
        <v>0.10791916456505711</v>
      </c>
      <c r="W77" s="100">
        <f>(S78-S77)/S77</f>
        <v>8.0137405952079396E-2</v>
      </c>
    </row>
    <row r="78" spans="1:23" x14ac:dyDescent="0.25">
      <c r="A78" s="133"/>
      <c r="B78" s="45">
        <v>100000000</v>
      </c>
      <c r="C78" s="46">
        <f t="shared" si="5"/>
        <v>1</v>
      </c>
      <c r="D78" s="97"/>
      <c r="E78" s="48" t="s">
        <v>114</v>
      </c>
      <c r="F78">
        <v>4.1710000000000003</v>
      </c>
      <c r="G78" s="42">
        <f t="shared" si="9"/>
        <v>4.1710000000000003</v>
      </c>
      <c r="H78">
        <v>5.16</v>
      </c>
      <c r="I78">
        <v>20.059999999999999</v>
      </c>
      <c r="J78">
        <v>132.62</v>
      </c>
      <c r="K78">
        <v>21.522359999999999</v>
      </c>
      <c r="L78">
        <v>83.670259999999999</v>
      </c>
      <c r="M78">
        <v>553.15802000000008</v>
      </c>
      <c r="N78">
        <v>14.515079999999999</v>
      </c>
      <c r="O78">
        <v>81.251080000000002</v>
      </c>
      <c r="P78">
        <v>185.10898</v>
      </c>
      <c r="Q78" s="42">
        <f t="shared" si="6"/>
        <v>14.515079999999999</v>
      </c>
      <c r="R78" s="43">
        <f t="shared" si="7"/>
        <v>81.251080000000002</v>
      </c>
      <c r="S78" s="44">
        <f t="shared" si="8"/>
        <v>185.10898</v>
      </c>
      <c r="T78" s="99"/>
      <c r="U78" s="99"/>
      <c r="V78" s="99"/>
      <c r="W78" s="100"/>
    </row>
    <row r="79" spans="1:23" x14ac:dyDescent="0.25">
      <c r="A79" s="133" t="s">
        <v>65</v>
      </c>
      <c r="B79" s="45">
        <v>10000000000</v>
      </c>
      <c r="C79" s="46">
        <f t="shared" si="5"/>
        <v>0.01</v>
      </c>
      <c r="D79" s="124" t="s">
        <v>175</v>
      </c>
      <c r="E79" s="48" t="s">
        <v>111</v>
      </c>
      <c r="F79">
        <v>1.571</v>
      </c>
      <c r="G79" s="42">
        <f t="shared" si="9"/>
        <v>1.5709999999999998E-2</v>
      </c>
      <c r="H79">
        <v>5.18</v>
      </c>
      <c r="I79">
        <v>18.77</v>
      </c>
      <c r="J79">
        <v>135.15</v>
      </c>
      <c r="K79">
        <v>8.1377799999999993</v>
      </c>
      <c r="L79">
        <v>29.487670000000001</v>
      </c>
      <c r="M79">
        <v>212.32065</v>
      </c>
      <c r="N79">
        <v>6.2997099999999993</v>
      </c>
      <c r="O79">
        <v>28.57649</v>
      </c>
      <c r="P79">
        <v>67.144540000000006</v>
      </c>
      <c r="Q79" s="42">
        <f t="shared" si="6"/>
        <v>6.29971E-2</v>
      </c>
      <c r="R79" s="43">
        <f t="shared" si="7"/>
        <v>0.28576489999999999</v>
      </c>
      <c r="S79" s="44">
        <f t="shared" si="8"/>
        <v>0.67144540000000008</v>
      </c>
      <c r="T79" s="99">
        <f>(F80-F79)/F79</f>
        <v>0</v>
      </c>
      <c r="U79" s="99">
        <f>(Q80-Q79)/Q79</f>
        <v>-4.9875311720698349E-3</v>
      </c>
      <c r="V79" s="99">
        <f>(R80-R79)/R79</f>
        <v>4.3980208905992392E-3</v>
      </c>
      <c r="W79" s="100">
        <f>(S80-S79)/S79</f>
        <v>1.8483855872718766E-2</v>
      </c>
    </row>
    <row r="80" spans="1:23" x14ac:dyDescent="0.25">
      <c r="A80" s="133"/>
      <c r="B80" s="45">
        <v>10000000000</v>
      </c>
      <c r="C80" s="46">
        <f t="shared" si="5"/>
        <v>0.01</v>
      </c>
      <c r="D80" s="97"/>
      <c r="E80" s="48" t="s">
        <v>114</v>
      </c>
      <c r="F80">
        <v>1.571</v>
      </c>
      <c r="G80" s="42">
        <f t="shared" si="9"/>
        <v>1.5709999999999998E-2</v>
      </c>
      <c r="H80">
        <v>5.16</v>
      </c>
      <c r="I80">
        <v>18.850000000000001</v>
      </c>
      <c r="J80">
        <v>135.94</v>
      </c>
      <c r="K80">
        <v>8.1063600000000005</v>
      </c>
      <c r="L80">
        <v>29.613350000000001</v>
      </c>
      <c r="M80">
        <v>213.56173999999999</v>
      </c>
      <c r="N80">
        <v>6.2682900000000004</v>
      </c>
      <c r="O80">
        <v>28.702169999999999</v>
      </c>
      <c r="P80">
        <v>68.385630000000006</v>
      </c>
      <c r="Q80" s="42">
        <f t="shared" si="6"/>
        <v>6.26829E-2</v>
      </c>
      <c r="R80" s="43">
        <f t="shared" si="7"/>
        <v>0.28702169999999999</v>
      </c>
      <c r="S80" s="44">
        <f t="shared" si="8"/>
        <v>0.68385630000000008</v>
      </c>
      <c r="T80" s="99"/>
      <c r="U80" s="99"/>
      <c r="V80" s="99"/>
      <c r="W80" s="100"/>
    </row>
    <row r="81" spans="1:23" x14ac:dyDescent="0.25">
      <c r="A81" s="133"/>
      <c r="B81" s="45">
        <v>100000000</v>
      </c>
      <c r="C81" s="46">
        <f t="shared" si="5"/>
        <v>1</v>
      </c>
      <c r="D81" s="97" t="s">
        <v>176</v>
      </c>
      <c r="E81" s="48" t="s">
        <v>111</v>
      </c>
      <c r="F81">
        <v>13.875</v>
      </c>
      <c r="G81" s="42">
        <f t="shared" si="9"/>
        <v>13.875</v>
      </c>
      <c r="H81">
        <v>8.61</v>
      </c>
      <c r="I81">
        <v>20.14</v>
      </c>
      <c r="J81">
        <v>138.41</v>
      </c>
      <c r="K81">
        <v>119.46375</v>
      </c>
      <c r="L81">
        <v>279.4425</v>
      </c>
      <c r="M81">
        <v>1920.43875</v>
      </c>
      <c r="N81">
        <v>53.418750000000003</v>
      </c>
      <c r="O81">
        <v>239.06625</v>
      </c>
      <c r="P81">
        <v>623.54250000000002</v>
      </c>
      <c r="Q81" s="42">
        <f t="shared" si="6"/>
        <v>53.418750000000003</v>
      </c>
      <c r="R81" s="43">
        <f t="shared" si="7"/>
        <v>239.06625</v>
      </c>
      <c r="S81" s="44">
        <f t="shared" si="8"/>
        <v>623.54250000000002</v>
      </c>
      <c r="T81" s="99">
        <f>(F82-F81)/F81</f>
        <v>-3.2288288288288315E-2</v>
      </c>
      <c r="U81" s="99">
        <f>(Q82-Q81)/Q81</f>
        <v>-4.6393822393822476E-3</v>
      </c>
      <c r="V81" s="99">
        <f>(R82-R81)/R81</f>
        <v>2.8930850757896639E-2</v>
      </c>
      <c r="W81" s="100">
        <f>(S82-S81)/S81</f>
        <v>-4.8223016073483442E-2</v>
      </c>
    </row>
    <row r="82" spans="1:23" x14ac:dyDescent="0.25">
      <c r="A82" s="133"/>
      <c r="B82" s="45">
        <v>100000000</v>
      </c>
      <c r="C82" s="46">
        <f t="shared" si="5"/>
        <v>1</v>
      </c>
      <c r="D82" s="97"/>
      <c r="E82" s="48" t="s">
        <v>114</v>
      </c>
      <c r="F82">
        <v>13.427</v>
      </c>
      <c r="G82" s="42">
        <f t="shared" si="9"/>
        <v>13.427</v>
      </c>
      <c r="H82">
        <v>8.7200000000000006</v>
      </c>
      <c r="I82">
        <v>21.23</v>
      </c>
      <c r="J82">
        <v>137.66999999999999</v>
      </c>
      <c r="K82">
        <v>117.08344</v>
      </c>
      <c r="L82">
        <v>285.05520999999999</v>
      </c>
      <c r="M82">
        <v>1848.4950899999999</v>
      </c>
      <c r="N82">
        <v>53.170920000000002</v>
      </c>
      <c r="O82">
        <v>245.98264</v>
      </c>
      <c r="P82">
        <v>593.47339999999997</v>
      </c>
      <c r="Q82" s="42">
        <f t="shared" si="6"/>
        <v>53.170920000000002</v>
      </c>
      <c r="R82" s="43">
        <f t="shared" si="7"/>
        <v>245.98264</v>
      </c>
      <c r="S82" s="44">
        <f t="shared" si="8"/>
        <v>593.47339999999997</v>
      </c>
      <c r="T82" s="99"/>
      <c r="U82" s="99"/>
      <c r="V82" s="99"/>
      <c r="W82" s="100"/>
    </row>
    <row r="83" spans="1:23" x14ac:dyDescent="0.25">
      <c r="A83" s="133" t="s">
        <v>71</v>
      </c>
      <c r="B83" s="45">
        <v>10000000000</v>
      </c>
      <c r="C83" s="46">
        <f t="shared" si="5"/>
        <v>0.01</v>
      </c>
      <c r="D83" s="124" t="s">
        <v>175</v>
      </c>
      <c r="E83" s="48" t="s">
        <v>111</v>
      </c>
      <c r="F83">
        <v>59.052</v>
      </c>
      <c r="G83" s="42">
        <f t="shared" si="9"/>
        <v>0.59052000000000004</v>
      </c>
      <c r="H83">
        <v>5.0999999999999996</v>
      </c>
      <c r="I83">
        <v>24.85</v>
      </c>
      <c r="J83">
        <v>143.66</v>
      </c>
      <c r="K83">
        <v>301.16520000000003</v>
      </c>
      <c r="L83">
        <v>1467.4422</v>
      </c>
      <c r="M83">
        <v>8483.410319999999</v>
      </c>
      <c r="N83">
        <v>232.07436000000001</v>
      </c>
      <c r="O83">
        <v>1433.1920399999999</v>
      </c>
      <c r="P83">
        <v>3086.0575199999998</v>
      </c>
      <c r="Q83" s="42">
        <f t="shared" si="6"/>
        <v>2.3207436000000001</v>
      </c>
      <c r="R83" s="43">
        <f t="shared" si="7"/>
        <v>14.3319204</v>
      </c>
      <c r="S83" s="44">
        <f t="shared" si="8"/>
        <v>30.8605752</v>
      </c>
      <c r="T83" s="99">
        <f>(F84-F83)/F83</f>
        <v>-7.0564925828083755E-2</v>
      </c>
      <c r="U83" s="99">
        <f>(Q84-Q83)/Q83</f>
        <v>-7.0564925828083783E-2</v>
      </c>
      <c r="V83" s="99">
        <f>(R84-R83)/R83</f>
        <v>-5.5629627973652486E-2</v>
      </c>
      <c r="W83" s="100">
        <f>(S84-S83)/S83</f>
        <v>-7.5011132650567025E-2</v>
      </c>
    </row>
    <row r="84" spans="1:23" x14ac:dyDescent="0.25">
      <c r="A84" s="133"/>
      <c r="B84" s="45">
        <v>10000000000</v>
      </c>
      <c r="C84" s="46">
        <f t="shared" si="5"/>
        <v>0.01</v>
      </c>
      <c r="D84" s="97"/>
      <c r="E84" s="48" t="s">
        <v>114</v>
      </c>
      <c r="F84">
        <v>54.884999999999998</v>
      </c>
      <c r="G84" s="42">
        <f t="shared" si="9"/>
        <v>0.54884999999999995</v>
      </c>
      <c r="H84">
        <v>5.0999999999999996</v>
      </c>
      <c r="I84">
        <v>25.24</v>
      </c>
      <c r="J84">
        <v>143.4</v>
      </c>
      <c r="K84">
        <v>279.91349999999989</v>
      </c>
      <c r="L84">
        <v>1385.2973999999999</v>
      </c>
      <c r="M84">
        <v>7870.509</v>
      </c>
      <c r="N84">
        <v>215.69804999999999</v>
      </c>
      <c r="O84">
        <v>1353.4640999999999</v>
      </c>
      <c r="P84">
        <v>2854.5688500000001</v>
      </c>
      <c r="Q84" s="42">
        <f t="shared" si="6"/>
        <v>2.1569805</v>
      </c>
      <c r="R84" s="43">
        <f t="shared" si="7"/>
        <v>13.534640999999999</v>
      </c>
      <c r="S84" s="44">
        <f t="shared" si="8"/>
        <v>28.545688500000001</v>
      </c>
      <c r="T84" s="99"/>
      <c r="U84" s="99"/>
      <c r="V84" s="99"/>
      <c r="W84" s="100"/>
    </row>
    <row r="85" spans="1:23" x14ac:dyDescent="0.25">
      <c r="A85" s="133"/>
      <c r="B85" s="45">
        <v>100000000</v>
      </c>
      <c r="C85" s="46">
        <f t="shared" si="5"/>
        <v>1</v>
      </c>
      <c r="D85" s="97" t="s">
        <v>176</v>
      </c>
      <c r="E85" s="48" t="s">
        <v>111</v>
      </c>
      <c r="F85">
        <v>22.478000000000002</v>
      </c>
      <c r="G85" s="42">
        <f t="shared" si="9"/>
        <v>22.478000000000002</v>
      </c>
      <c r="H85">
        <v>5.09</v>
      </c>
      <c r="I85">
        <v>24.96</v>
      </c>
      <c r="J85">
        <v>143.47999999999999</v>
      </c>
      <c r="K85">
        <v>114.41302</v>
      </c>
      <c r="L85">
        <v>561.05088000000001</v>
      </c>
      <c r="M85">
        <v>3225.1434399999998</v>
      </c>
      <c r="N85">
        <v>82.269480000000016</v>
      </c>
      <c r="O85">
        <v>548.01364000000001</v>
      </c>
      <c r="P85">
        <v>1196.9535000000001</v>
      </c>
      <c r="Q85" s="42">
        <f t="shared" si="6"/>
        <v>82.269480000000016</v>
      </c>
      <c r="R85" s="43">
        <f t="shared" si="7"/>
        <v>548.01364000000001</v>
      </c>
      <c r="S85" s="44">
        <f t="shared" si="8"/>
        <v>1196.9535000000001</v>
      </c>
      <c r="T85" s="99">
        <f>(F86-F85)/F85</f>
        <v>-0.1571759053296557</v>
      </c>
      <c r="U85" s="99">
        <f>(Q86-Q85)/Q85</f>
        <v>-0.15487310725678607</v>
      </c>
      <c r="V85" s="99">
        <f>(R86-R85)/R85</f>
        <v>-0.16892980984925854</v>
      </c>
      <c r="W85" s="100">
        <f>(S86-S85)/S85</f>
        <v>-0.16049971866075002</v>
      </c>
    </row>
    <row r="86" spans="1:23" x14ac:dyDescent="0.25">
      <c r="A86" s="133"/>
      <c r="B86" s="45">
        <v>100000000</v>
      </c>
      <c r="C86" s="46">
        <f t="shared" si="5"/>
        <v>1</v>
      </c>
      <c r="D86" s="97"/>
      <c r="E86" s="48" t="s">
        <v>114</v>
      </c>
      <c r="F86">
        <v>18.945</v>
      </c>
      <c r="G86" s="42">
        <f t="shared" si="9"/>
        <v>18.945</v>
      </c>
      <c r="H86">
        <v>5.0999999999999996</v>
      </c>
      <c r="I86">
        <v>24.62</v>
      </c>
      <c r="J86">
        <v>143.28</v>
      </c>
      <c r="K86">
        <v>96.619499999999988</v>
      </c>
      <c r="L86">
        <v>466.42590000000001</v>
      </c>
      <c r="M86">
        <v>2714.4396000000002</v>
      </c>
      <c r="N86">
        <v>69.528149999999997</v>
      </c>
      <c r="O86">
        <v>455.43779999999998</v>
      </c>
      <c r="P86">
        <v>1004.8428</v>
      </c>
      <c r="Q86" s="42">
        <f t="shared" si="6"/>
        <v>69.528149999999997</v>
      </c>
      <c r="R86" s="43">
        <f t="shared" si="7"/>
        <v>455.43779999999998</v>
      </c>
      <c r="S86" s="44">
        <f t="shared" si="8"/>
        <v>1004.8428</v>
      </c>
      <c r="T86" s="99"/>
      <c r="U86" s="99"/>
      <c r="V86" s="99"/>
      <c r="W86" s="100"/>
    </row>
    <row r="87" spans="1:23" x14ac:dyDescent="0.25">
      <c r="A87" s="133" t="s">
        <v>79</v>
      </c>
      <c r="B87" s="45">
        <v>10000000000</v>
      </c>
      <c r="C87" s="46">
        <f t="shared" si="5"/>
        <v>0.01</v>
      </c>
      <c r="D87" s="124" t="s">
        <v>175</v>
      </c>
      <c r="E87" s="48" t="s">
        <v>111</v>
      </c>
      <c r="F87">
        <v>82.471000000000004</v>
      </c>
      <c r="G87" s="42">
        <f t="shared" si="9"/>
        <v>0.82471000000000005</v>
      </c>
      <c r="H87">
        <v>6.6</v>
      </c>
      <c r="I87">
        <v>32.6</v>
      </c>
      <c r="J87">
        <v>152.63999999999999</v>
      </c>
      <c r="K87">
        <v>544.30859999999996</v>
      </c>
      <c r="L87">
        <v>2688.5545999999999</v>
      </c>
      <c r="M87">
        <v>12588.373439999999</v>
      </c>
      <c r="N87">
        <v>385.13956999999999</v>
      </c>
      <c r="O87">
        <v>2448.5639900000001</v>
      </c>
      <c r="P87">
        <v>4750.3296</v>
      </c>
      <c r="Q87" s="42">
        <f t="shared" si="6"/>
        <v>3.8513956999999999</v>
      </c>
      <c r="R87" s="43">
        <f t="shared" si="7"/>
        <v>24.485639900000002</v>
      </c>
      <c r="S87" s="44">
        <f t="shared" si="8"/>
        <v>47.503295999999999</v>
      </c>
      <c r="T87" s="99">
        <f>(F88-F87)/F87</f>
        <v>-5.1897030471316861E-3</v>
      </c>
      <c r="U87" s="99">
        <f>(Q88-Q87)/Q87</f>
        <v>-2.6491850733488288E-2</v>
      </c>
      <c r="V87" s="99">
        <f>(R88-R87)/R87</f>
        <v>-1.8257268416334141E-2</v>
      </c>
      <c r="W87" s="100">
        <f>(S88-S87)/S87</f>
        <v>-2.4705946719991798E-2</v>
      </c>
    </row>
    <row r="88" spans="1:23" x14ac:dyDescent="0.25">
      <c r="A88" s="133"/>
      <c r="B88" s="45">
        <v>10000000000</v>
      </c>
      <c r="C88" s="46">
        <f t="shared" si="5"/>
        <v>0.01</v>
      </c>
      <c r="D88" s="97"/>
      <c r="E88" s="48" t="s">
        <v>114</v>
      </c>
      <c r="F88">
        <v>82.043000000000006</v>
      </c>
      <c r="G88" s="42">
        <f t="shared" si="9"/>
        <v>0.8204300000000001</v>
      </c>
      <c r="H88">
        <v>6.5</v>
      </c>
      <c r="I88">
        <v>32.21</v>
      </c>
      <c r="J88">
        <v>151.51</v>
      </c>
      <c r="K88">
        <v>533.2795000000001</v>
      </c>
      <c r="L88">
        <v>2642.6050300000002</v>
      </c>
      <c r="M88">
        <v>12430.334930000001</v>
      </c>
      <c r="N88">
        <v>374.93651000000011</v>
      </c>
      <c r="O88">
        <v>2403.8598999999999</v>
      </c>
      <c r="P88">
        <v>4632.96821</v>
      </c>
      <c r="Q88" s="42">
        <f t="shared" si="6"/>
        <v>3.7493651000000012</v>
      </c>
      <c r="R88" s="43">
        <f t="shared" si="7"/>
        <v>24.038599000000001</v>
      </c>
      <c r="S88" s="44">
        <f t="shared" si="8"/>
        <v>46.329682099999999</v>
      </c>
      <c r="T88" s="99"/>
      <c r="U88" s="99"/>
      <c r="V88" s="99"/>
      <c r="W88" s="100"/>
    </row>
    <row r="89" spans="1:23" x14ac:dyDescent="0.25">
      <c r="A89" s="133"/>
      <c r="B89" s="45">
        <v>10000000</v>
      </c>
      <c r="C89" s="46">
        <f t="shared" si="5"/>
        <v>10</v>
      </c>
      <c r="D89" s="97" t="s">
        <v>176</v>
      </c>
      <c r="E89" s="48" t="s">
        <v>111</v>
      </c>
      <c r="F89">
        <v>20.797000000000001</v>
      </c>
      <c r="G89" s="42">
        <f t="shared" si="9"/>
        <v>207.97</v>
      </c>
      <c r="H89">
        <v>5.0599999999999996</v>
      </c>
      <c r="I89">
        <v>21.69</v>
      </c>
      <c r="J89">
        <v>134.19</v>
      </c>
      <c r="K89">
        <v>105.23282</v>
      </c>
      <c r="L89">
        <v>451.08693000000011</v>
      </c>
      <c r="M89">
        <v>2790.7494299999998</v>
      </c>
      <c r="N89">
        <v>75.493110000000001</v>
      </c>
      <c r="O89">
        <v>439.02467000000001</v>
      </c>
      <c r="P89">
        <v>974.54741999999999</v>
      </c>
      <c r="Q89" s="42">
        <f t="shared" si="6"/>
        <v>754.93110000000001</v>
      </c>
      <c r="R89" s="43">
        <f t="shared" si="7"/>
        <v>4390.2466999999997</v>
      </c>
      <c r="S89" s="44">
        <f t="shared" si="8"/>
        <v>9745.4742000000006</v>
      </c>
      <c r="T89" s="99">
        <f>(F90-F89)/F89</f>
        <v>-0.74722315718613264</v>
      </c>
      <c r="U89" s="99">
        <f>(Q90-Q89)/Q89</f>
        <v>-0.74513409236948902</v>
      </c>
      <c r="V89" s="99">
        <f>(R90-R89)/R89</f>
        <v>-0.73644631405337646</v>
      </c>
      <c r="W89" s="100">
        <f>(S90-S89)/S89</f>
        <v>-0.72170812375656379</v>
      </c>
    </row>
    <row r="90" spans="1:23" x14ac:dyDescent="0.25">
      <c r="A90" s="133"/>
      <c r="B90" s="45">
        <v>10000000</v>
      </c>
      <c r="C90" s="46">
        <f t="shared" si="5"/>
        <v>10</v>
      </c>
      <c r="D90" s="97"/>
      <c r="E90" s="48" t="s">
        <v>114</v>
      </c>
      <c r="F90">
        <v>5.2569999999999997</v>
      </c>
      <c r="G90" s="42">
        <f t="shared" si="9"/>
        <v>52.569999999999993</v>
      </c>
      <c r="H90">
        <v>5.09</v>
      </c>
      <c r="I90">
        <v>22.59</v>
      </c>
      <c r="J90">
        <v>138.91999999999999</v>
      </c>
      <c r="K90">
        <v>26.758130000000001</v>
      </c>
      <c r="L90">
        <v>118.75563</v>
      </c>
      <c r="M90">
        <v>730.30243999999993</v>
      </c>
      <c r="N90">
        <v>19.24062</v>
      </c>
      <c r="O90">
        <v>115.70657</v>
      </c>
      <c r="P90">
        <v>271.20863000000003</v>
      </c>
      <c r="Q90" s="42">
        <f t="shared" si="6"/>
        <v>192.40620000000001</v>
      </c>
      <c r="R90" s="43">
        <f t="shared" si="7"/>
        <v>1157.0657000000001</v>
      </c>
      <c r="S90" s="44">
        <f t="shared" si="8"/>
        <v>2712.0863000000004</v>
      </c>
      <c r="T90" s="99"/>
      <c r="U90" s="99"/>
      <c r="V90" s="99"/>
      <c r="W90" s="100"/>
    </row>
    <row r="91" spans="1:23" x14ac:dyDescent="0.25">
      <c r="A91" s="133" t="s">
        <v>87</v>
      </c>
      <c r="B91" s="45">
        <v>10000000000</v>
      </c>
      <c r="C91" s="46">
        <f t="shared" si="5"/>
        <v>0.01</v>
      </c>
      <c r="D91" s="124" t="s">
        <v>175</v>
      </c>
      <c r="E91" s="48" t="s">
        <v>111</v>
      </c>
      <c r="F91">
        <v>1.571</v>
      </c>
      <c r="G91" s="42">
        <f t="shared" si="9"/>
        <v>1.5709999999999998E-2</v>
      </c>
      <c r="H91">
        <v>5.0999999999999996</v>
      </c>
      <c r="I91">
        <v>18.89</v>
      </c>
      <c r="J91">
        <v>135.86000000000001</v>
      </c>
      <c r="K91">
        <v>8.0120999999999984</v>
      </c>
      <c r="L91">
        <v>29.676189999999998</v>
      </c>
      <c r="M91">
        <v>213.43606</v>
      </c>
      <c r="N91">
        <v>5.7655699999999994</v>
      </c>
      <c r="O91">
        <v>28.76501</v>
      </c>
      <c r="P91">
        <v>71.103459999999998</v>
      </c>
      <c r="Q91" s="42">
        <f t="shared" si="6"/>
        <v>5.7655699999999997E-2</v>
      </c>
      <c r="R91" s="43">
        <f t="shared" si="7"/>
        <v>0.28765010000000002</v>
      </c>
      <c r="S91" s="44">
        <f t="shared" si="8"/>
        <v>0.71103459999999996</v>
      </c>
      <c r="T91" s="99">
        <f>(F92-F91)/F91</f>
        <v>-6.3653723742831947E-4</v>
      </c>
      <c r="U91" s="99">
        <f>(Q92-Q91)/Q91</f>
        <v>2.0865239690094407E-3</v>
      </c>
      <c r="V91" s="99">
        <f>(R92-R91)/R91</f>
        <v>2.638274765070503E-3</v>
      </c>
      <c r="W91" s="100">
        <f>(S92-S91)/S91</f>
        <v>-1.5872082736901827E-2</v>
      </c>
    </row>
    <row r="92" spans="1:23" x14ac:dyDescent="0.25">
      <c r="A92" s="133"/>
      <c r="B92" s="45">
        <v>10000000000</v>
      </c>
      <c r="C92" s="46">
        <f t="shared" si="5"/>
        <v>0.01</v>
      </c>
      <c r="D92" s="97"/>
      <c r="E92" s="48" t="s">
        <v>114</v>
      </c>
      <c r="F92">
        <v>1.57</v>
      </c>
      <c r="G92" s="42">
        <f t="shared" si="9"/>
        <v>1.5700000000000002E-2</v>
      </c>
      <c r="H92">
        <v>5.1100000000000003</v>
      </c>
      <c r="I92">
        <v>18.95</v>
      </c>
      <c r="J92">
        <v>135.16999999999999</v>
      </c>
      <c r="K92">
        <v>8.0227000000000004</v>
      </c>
      <c r="L92">
        <v>29.7515</v>
      </c>
      <c r="M92">
        <v>212.21690000000001</v>
      </c>
      <c r="N92">
        <v>5.7776000000000014</v>
      </c>
      <c r="O92">
        <v>28.840900000000001</v>
      </c>
      <c r="P92">
        <v>69.974900000000005</v>
      </c>
      <c r="Q92" s="42">
        <f t="shared" si="6"/>
        <v>5.7776000000000015E-2</v>
      </c>
      <c r="R92" s="43">
        <f t="shared" si="7"/>
        <v>0.28840900000000003</v>
      </c>
      <c r="S92" s="44">
        <f t="shared" si="8"/>
        <v>0.69974900000000007</v>
      </c>
      <c r="T92" s="99"/>
      <c r="U92" s="99"/>
      <c r="V92" s="99"/>
      <c r="W92" s="100"/>
    </row>
    <row r="93" spans="1:23" x14ac:dyDescent="0.25">
      <c r="A93" s="133"/>
      <c r="B93" s="45">
        <v>100000000</v>
      </c>
      <c r="C93" s="46">
        <f t="shared" si="5"/>
        <v>1</v>
      </c>
      <c r="D93" s="97" t="s">
        <v>176</v>
      </c>
      <c r="E93" s="48" t="s">
        <v>111</v>
      </c>
      <c r="F93">
        <v>3.8919999999999999</v>
      </c>
      <c r="G93" s="42">
        <f t="shared" si="9"/>
        <v>3.8919999999999999</v>
      </c>
      <c r="H93">
        <v>8.14</v>
      </c>
      <c r="I93">
        <v>24.51</v>
      </c>
      <c r="J93">
        <v>139.97</v>
      </c>
      <c r="K93">
        <v>31.680879999999998</v>
      </c>
      <c r="L93">
        <v>95.392920000000004</v>
      </c>
      <c r="M93">
        <v>544.76324</v>
      </c>
      <c r="N93">
        <v>15.412319999999999</v>
      </c>
      <c r="O93">
        <v>81.809839999999994</v>
      </c>
      <c r="P93">
        <v>175.06216000000001</v>
      </c>
      <c r="Q93" s="42">
        <f t="shared" si="6"/>
        <v>15.412319999999999</v>
      </c>
      <c r="R93" s="43">
        <f t="shared" si="7"/>
        <v>81.809839999999994</v>
      </c>
      <c r="S93" s="44">
        <f t="shared" si="8"/>
        <v>175.06216000000001</v>
      </c>
      <c r="T93" s="99">
        <f>(F94-F93)/F93</f>
        <v>4.0339157245632189E-2</v>
      </c>
      <c r="U93" s="99">
        <f>(Q94-Q93)/Q93</f>
        <v>7.7118824420982696E-2</v>
      </c>
      <c r="V93" s="99">
        <f>(R94-R93)/R93</f>
        <v>3.6874659576403249E-2</v>
      </c>
      <c r="W93" s="100">
        <f>(S94-S93)/S93</f>
        <v>7.9427044656595017E-2</v>
      </c>
    </row>
    <row r="94" spans="1:23" x14ac:dyDescent="0.25">
      <c r="A94" s="133"/>
      <c r="B94" s="45">
        <v>100000000</v>
      </c>
      <c r="C94" s="46">
        <f t="shared" si="5"/>
        <v>1</v>
      </c>
      <c r="D94" s="97"/>
      <c r="E94" s="48" t="s">
        <v>114</v>
      </c>
      <c r="F94">
        <v>4.0490000000000004</v>
      </c>
      <c r="G94" s="42">
        <f t="shared" si="9"/>
        <v>4.0490000000000004</v>
      </c>
      <c r="H94">
        <v>8.2799999999999994</v>
      </c>
      <c r="I94">
        <v>24.44</v>
      </c>
      <c r="J94">
        <v>141.66999999999999</v>
      </c>
      <c r="K94">
        <v>33.52572</v>
      </c>
      <c r="L94">
        <v>98.957560000000015</v>
      </c>
      <c r="M94">
        <v>573.62183000000005</v>
      </c>
      <c r="N94">
        <v>16.600899999999999</v>
      </c>
      <c r="O94">
        <v>84.826550000000012</v>
      </c>
      <c r="P94">
        <v>188.96682999999999</v>
      </c>
      <c r="Q94" s="42">
        <f t="shared" si="6"/>
        <v>16.600899999999999</v>
      </c>
      <c r="R94" s="43">
        <f t="shared" si="7"/>
        <v>84.826550000000012</v>
      </c>
      <c r="S94" s="44">
        <f t="shared" si="8"/>
        <v>188.96682999999999</v>
      </c>
      <c r="T94" s="99"/>
      <c r="U94" s="99"/>
      <c r="V94" s="99"/>
      <c r="W94" s="100"/>
    </row>
    <row r="95" spans="1:23" x14ac:dyDescent="0.25">
      <c r="A95" s="133" t="s">
        <v>91</v>
      </c>
      <c r="B95" s="45">
        <v>10000000000</v>
      </c>
      <c r="C95" s="46">
        <f t="shared" si="5"/>
        <v>0.01</v>
      </c>
      <c r="D95" s="124" t="s">
        <v>175</v>
      </c>
      <c r="E95" s="48" t="s">
        <v>111</v>
      </c>
      <c r="F95">
        <v>97.989000000000004</v>
      </c>
      <c r="G95" s="42">
        <f t="shared" si="9"/>
        <v>0.97989000000000004</v>
      </c>
      <c r="H95">
        <v>5.03</v>
      </c>
      <c r="I95">
        <v>24.58</v>
      </c>
      <c r="J95">
        <v>142.38</v>
      </c>
      <c r="K95">
        <v>492.88467000000003</v>
      </c>
      <c r="L95">
        <v>2408.5696200000002</v>
      </c>
      <c r="M95">
        <v>13951.67382</v>
      </c>
      <c r="N95">
        <v>402.73478999999998</v>
      </c>
      <c r="O95">
        <v>2351.7359999999999</v>
      </c>
      <c r="P95">
        <v>5152.2616200000002</v>
      </c>
      <c r="Q95" s="42">
        <f t="shared" si="6"/>
        <v>4.0273478999999996</v>
      </c>
      <c r="R95" s="43">
        <f t="shared" si="7"/>
        <v>23.51736</v>
      </c>
      <c r="S95" s="44">
        <f t="shared" si="8"/>
        <v>51.522616200000002</v>
      </c>
      <c r="T95" s="99">
        <f>(F96-F95)/F95</f>
        <v>-0.48189082448029885</v>
      </c>
      <c r="U95" s="99">
        <f>(Q96-Q95)/Q95</f>
        <v>-0.48063021821382745</v>
      </c>
      <c r="V95" s="99">
        <f>(R96-R95)/R95</f>
        <v>-0.48275433977283161</v>
      </c>
      <c r="W95" s="100">
        <f>(S96-S95)/S95</f>
        <v>-0.48908404810390821</v>
      </c>
    </row>
    <row r="96" spans="1:23" x14ac:dyDescent="0.25">
      <c r="A96" s="133"/>
      <c r="B96" s="45">
        <v>10000000000</v>
      </c>
      <c r="C96" s="46">
        <f t="shared" si="5"/>
        <v>0.01</v>
      </c>
      <c r="D96" s="97"/>
      <c r="E96" s="48" t="s">
        <v>114</v>
      </c>
      <c r="F96">
        <v>50.768999999999998</v>
      </c>
      <c r="G96" s="42">
        <f t="shared" si="9"/>
        <v>0.50768999999999997</v>
      </c>
      <c r="H96">
        <v>5.04</v>
      </c>
      <c r="I96">
        <v>24.54</v>
      </c>
      <c r="J96">
        <v>141.66</v>
      </c>
      <c r="K96">
        <v>255.87576000000001</v>
      </c>
      <c r="L96">
        <v>1245.8712599999999</v>
      </c>
      <c r="M96">
        <v>7191.9365399999997</v>
      </c>
      <c r="N96">
        <v>209.16828000000001</v>
      </c>
      <c r="O96">
        <v>1216.42524</v>
      </c>
      <c r="P96">
        <v>2632.3726499999998</v>
      </c>
      <c r="Q96" s="42">
        <f t="shared" si="6"/>
        <v>2.0916828000000001</v>
      </c>
      <c r="R96" s="43">
        <f t="shared" si="7"/>
        <v>12.164252400000001</v>
      </c>
      <c r="S96" s="44">
        <f t="shared" si="8"/>
        <v>26.323726499999999</v>
      </c>
      <c r="T96" s="99"/>
      <c r="U96" s="99"/>
      <c r="V96" s="99"/>
      <c r="W96" s="100"/>
    </row>
    <row r="97" spans="1:23" x14ac:dyDescent="0.25">
      <c r="A97" s="133"/>
      <c r="B97" s="45">
        <v>100000000</v>
      </c>
      <c r="C97" s="46">
        <f t="shared" si="5"/>
        <v>1</v>
      </c>
      <c r="D97" s="97" t="s">
        <v>176</v>
      </c>
      <c r="E97" s="48" t="s">
        <v>111</v>
      </c>
      <c r="F97">
        <v>36.232999999999997</v>
      </c>
      <c r="G97" s="42">
        <f t="shared" si="9"/>
        <v>36.232999999999997</v>
      </c>
      <c r="H97">
        <v>5.01</v>
      </c>
      <c r="I97">
        <v>25.54</v>
      </c>
      <c r="J97">
        <v>143.76</v>
      </c>
      <c r="K97">
        <v>181.52733000000001</v>
      </c>
      <c r="L97">
        <v>925.39081999999985</v>
      </c>
      <c r="M97">
        <v>5208.8560799999996</v>
      </c>
      <c r="N97">
        <v>139.13471999999999</v>
      </c>
      <c r="O97">
        <v>904.37567999999999</v>
      </c>
      <c r="P97">
        <v>1994.6266499999999</v>
      </c>
      <c r="Q97" s="42">
        <f t="shared" si="6"/>
        <v>139.13471999999999</v>
      </c>
      <c r="R97" s="43">
        <f t="shared" si="7"/>
        <v>904.37567999999999</v>
      </c>
      <c r="S97" s="44">
        <f t="shared" si="8"/>
        <v>1994.6266499999999</v>
      </c>
      <c r="T97" s="99">
        <f>(F98-F97)/F97</f>
        <v>-0.59222255954516601</v>
      </c>
      <c r="U97" s="99">
        <f>(Q98-Q97)/Q97</f>
        <v>-0.59009871870946373</v>
      </c>
      <c r="V97" s="99">
        <f>(R98-R97)/R97</f>
        <v>-0.59794059256436438</v>
      </c>
      <c r="W97" s="100">
        <f>(S98-S97)/S97</f>
        <v>-0.59481514999310769</v>
      </c>
    </row>
    <row r="98" spans="1:23" x14ac:dyDescent="0.25">
      <c r="A98" s="133"/>
      <c r="B98" s="45">
        <v>100000000</v>
      </c>
      <c r="C98" s="46">
        <f t="shared" si="5"/>
        <v>1</v>
      </c>
      <c r="D98" s="97"/>
      <c r="E98" s="48" t="s">
        <v>114</v>
      </c>
      <c r="F98">
        <v>14.775</v>
      </c>
      <c r="G98" s="42">
        <f t="shared" si="9"/>
        <v>14.775</v>
      </c>
      <c r="H98">
        <v>5.03</v>
      </c>
      <c r="I98">
        <v>25.19</v>
      </c>
      <c r="J98">
        <v>143.41999999999999</v>
      </c>
      <c r="K98">
        <v>74.318250000000006</v>
      </c>
      <c r="L98">
        <v>372.18225000000001</v>
      </c>
      <c r="M98">
        <v>2119.0304999999998</v>
      </c>
      <c r="N98">
        <v>57.031500000000001</v>
      </c>
      <c r="O98">
        <v>363.61275000000001</v>
      </c>
      <c r="P98">
        <v>808.19250000000011</v>
      </c>
      <c r="Q98" s="42">
        <f t="shared" si="6"/>
        <v>57.031500000000001</v>
      </c>
      <c r="R98" s="43">
        <f t="shared" si="7"/>
        <v>363.61275000000001</v>
      </c>
      <c r="S98" s="44">
        <f t="shared" si="8"/>
        <v>808.19250000000011</v>
      </c>
      <c r="T98" s="99"/>
      <c r="U98" s="99"/>
      <c r="V98" s="99"/>
      <c r="W98" s="100"/>
    </row>
    <row r="99" spans="1:23" x14ac:dyDescent="0.25">
      <c r="A99" s="133" t="s">
        <v>93</v>
      </c>
      <c r="B99" s="45">
        <v>100000000</v>
      </c>
      <c r="C99" s="46">
        <f t="shared" si="5"/>
        <v>1</v>
      </c>
      <c r="D99" s="124" t="s">
        <v>175</v>
      </c>
      <c r="E99" s="48" t="s">
        <v>111</v>
      </c>
      <c r="F99">
        <v>223.875</v>
      </c>
      <c r="G99" s="42">
        <f t="shared" si="9"/>
        <v>223.875</v>
      </c>
      <c r="H99">
        <v>5</v>
      </c>
      <c r="I99">
        <v>28.31</v>
      </c>
      <c r="J99">
        <v>154.83000000000001</v>
      </c>
      <c r="K99">
        <v>1119.375</v>
      </c>
      <c r="L99">
        <v>6337.9012499999999</v>
      </c>
      <c r="M99">
        <v>34662.566250000003</v>
      </c>
      <c r="N99">
        <v>913.41</v>
      </c>
      <c r="O99">
        <v>6208.05375</v>
      </c>
      <c r="P99">
        <v>14422.0275</v>
      </c>
      <c r="Q99" s="42">
        <f t="shared" si="6"/>
        <v>913.41</v>
      </c>
      <c r="R99" s="43">
        <f t="shared" si="7"/>
        <v>6208.05375</v>
      </c>
      <c r="S99" s="44">
        <f t="shared" si="8"/>
        <v>14422.0275</v>
      </c>
      <c r="T99" s="99">
        <f>(F100-F99)/F99</f>
        <v>-0.25371747627024005</v>
      </c>
      <c r="U99" s="99">
        <f>(Q100-Q99)/Q99</f>
        <v>-0.25371747627024005</v>
      </c>
      <c r="V99" s="99">
        <f>(R100-R99)/R99</f>
        <v>-0.21711653028133007</v>
      </c>
      <c r="W99" s="100">
        <f>(S100-S99)/S99</f>
        <v>-0.20147074882501792</v>
      </c>
    </row>
    <row r="100" spans="1:23" x14ac:dyDescent="0.25">
      <c r="A100" s="133"/>
      <c r="B100" s="45">
        <v>100000000</v>
      </c>
      <c r="C100" s="46">
        <f t="shared" si="5"/>
        <v>1</v>
      </c>
      <c r="D100" s="97"/>
      <c r="E100" s="48" t="s">
        <v>114</v>
      </c>
      <c r="F100">
        <v>167.07400000000001</v>
      </c>
      <c r="G100" s="42">
        <f t="shared" si="9"/>
        <v>167.07400000000001</v>
      </c>
      <c r="H100">
        <v>5</v>
      </c>
      <c r="I100">
        <v>29.67</v>
      </c>
      <c r="J100">
        <v>159.34</v>
      </c>
      <c r="K100">
        <v>835.37000000000012</v>
      </c>
      <c r="L100">
        <v>4957.0855800000008</v>
      </c>
      <c r="M100">
        <v>26621.57116</v>
      </c>
      <c r="N100">
        <v>681.66192000000001</v>
      </c>
      <c r="O100">
        <v>4860.1826600000004</v>
      </c>
      <c r="P100">
        <v>11516.410819999999</v>
      </c>
      <c r="Q100" s="42">
        <f t="shared" si="6"/>
        <v>681.66192000000001</v>
      </c>
      <c r="R100" s="43">
        <f t="shared" si="7"/>
        <v>4860.1826600000004</v>
      </c>
      <c r="S100" s="44">
        <f t="shared" si="8"/>
        <v>11516.410819999999</v>
      </c>
      <c r="T100" s="99"/>
      <c r="U100" s="99"/>
      <c r="V100" s="99"/>
      <c r="W100" s="100"/>
    </row>
    <row r="101" spans="1:23" x14ac:dyDescent="0.25">
      <c r="A101" s="133"/>
      <c r="B101" s="45">
        <v>10000000</v>
      </c>
      <c r="C101" s="46">
        <f t="shared" si="5"/>
        <v>10</v>
      </c>
      <c r="D101" s="97" t="s">
        <v>176</v>
      </c>
      <c r="E101" s="48" t="s">
        <v>111</v>
      </c>
      <c r="F101">
        <v>219.983</v>
      </c>
      <c r="G101" s="42">
        <f t="shared" si="9"/>
        <v>2199.83</v>
      </c>
      <c r="H101">
        <v>4.99</v>
      </c>
      <c r="I101">
        <v>26.63</v>
      </c>
      <c r="J101">
        <v>147.1</v>
      </c>
      <c r="K101">
        <v>1097.7151699999999</v>
      </c>
      <c r="L101">
        <v>5858.1472899999999</v>
      </c>
      <c r="M101">
        <v>32359.499299999999</v>
      </c>
      <c r="N101">
        <v>840.33506</v>
      </c>
      <c r="O101">
        <v>5730.5571500000005</v>
      </c>
      <c r="P101">
        <v>12431.23933</v>
      </c>
      <c r="Q101" s="42">
        <f t="shared" si="6"/>
        <v>8403.3505999999998</v>
      </c>
      <c r="R101" s="43">
        <f t="shared" si="7"/>
        <v>57305.571500000005</v>
      </c>
      <c r="S101" s="44">
        <f t="shared" si="8"/>
        <v>124312.3933</v>
      </c>
      <c r="T101" s="99">
        <f>(F102-F101)/F101</f>
        <v>-0.4808598846274485</v>
      </c>
      <c r="U101" s="99">
        <f>(Q102-Q101)/Q101</f>
        <v>-0.48221889016507297</v>
      </c>
      <c r="V101" s="99">
        <f>(R102-R101)/R101</f>
        <v>-0.47607701984090683</v>
      </c>
      <c r="W101" s="100">
        <f>(S102-S101)/S101</f>
        <v>-0.4754397347766291</v>
      </c>
    </row>
    <row r="102" spans="1:23" x14ac:dyDescent="0.25">
      <c r="A102" s="133"/>
      <c r="B102" s="45">
        <v>10000000</v>
      </c>
      <c r="C102" s="46">
        <f t="shared" si="5"/>
        <v>10</v>
      </c>
      <c r="D102" s="97"/>
      <c r="E102" s="48" t="s">
        <v>114</v>
      </c>
      <c r="F102">
        <v>114.202</v>
      </c>
      <c r="G102" s="42">
        <f t="shared" si="9"/>
        <v>1142.02</v>
      </c>
      <c r="H102">
        <v>4.9800000000000004</v>
      </c>
      <c r="I102">
        <v>26.87</v>
      </c>
      <c r="J102">
        <v>147.69</v>
      </c>
      <c r="K102">
        <v>568.72595999999999</v>
      </c>
      <c r="L102">
        <v>3068.6077399999999</v>
      </c>
      <c r="M102">
        <v>16866.49338</v>
      </c>
      <c r="N102">
        <v>435.10962000000001</v>
      </c>
      <c r="O102">
        <v>3002.3705799999998</v>
      </c>
      <c r="P102">
        <v>6520.9341999999997</v>
      </c>
      <c r="Q102" s="42">
        <f t="shared" si="6"/>
        <v>4351.0962</v>
      </c>
      <c r="R102" s="43">
        <f t="shared" si="7"/>
        <v>30023.705799999996</v>
      </c>
      <c r="S102" s="44">
        <f t="shared" si="8"/>
        <v>65209.341999999997</v>
      </c>
      <c r="T102" s="99"/>
      <c r="U102" s="99"/>
      <c r="V102" s="99"/>
      <c r="W102" s="100"/>
    </row>
    <row r="103" spans="1:23" x14ac:dyDescent="0.25">
      <c r="A103" s="133" t="s">
        <v>95</v>
      </c>
      <c r="B103" s="45">
        <v>100000000</v>
      </c>
      <c r="C103" s="46">
        <f t="shared" si="5"/>
        <v>1</v>
      </c>
      <c r="D103" s="124" t="s">
        <v>175</v>
      </c>
      <c r="E103" s="48" t="s">
        <v>111</v>
      </c>
      <c r="F103">
        <v>49.341000000000001</v>
      </c>
      <c r="G103" s="42">
        <f t="shared" si="9"/>
        <v>49.341000000000001</v>
      </c>
      <c r="H103">
        <v>2.04</v>
      </c>
      <c r="I103">
        <v>20.41</v>
      </c>
      <c r="J103">
        <v>144.11000000000001</v>
      </c>
      <c r="K103">
        <v>100.65564000000001</v>
      </c>
      <c r="L103">
        <v>1007.04981</v>
      </c>
      <c r="M103">
        <v>7110.5315100000007</v>
      </c>
      <c r="N103">
        <v>79.932420000000008</v>
      </c>
      <c r="O103">
        <v>978.43202999999994</v>
      </c>
      <c r="P103">
        <v>2494.1875500000001</v>
      </c>
      <c r="Q103" s="42">
        <f t="shared" si="6"/>
        <v>79.932420000000008</v>
      </c>
      <c r="R103" s="43">
        <f t="shared" si="7"/>
        <v>978.43202999999994</v>
      </c>
      <c r="S103" s="44">
        <f t="shared" si="8"/>
        <v>2494.1875500000001</v>
      </c>
      <c r="T103" s="99">
        <f>(F104-F103)/F103</f>
        <v>0.13968099552096624</v>
      </c>
      <c r="U103" s="99">
        <f>(Q104-Q103)/Q103</f>
        <v>0.12561085977379388</v>
      </c>
      <c r="V103" s="99">
        <f>(R104-R103)/R103</f>
        <v>0.13853154418912489</v>
      </c>
      <c r="W103" s="100">
        <f>(S104-S103)/S103</f>
        <v>0.13427004717427921</v>
      </c>
    </row>
    <row r="104" spans="1:23" x14ac:dyDescent="0.25">
      <c r="A104" s="133"/>
      <c r="B104" s="45">
        <v>100000000</v>
      </c>
      <c r="C104" s="46">
        <f t="shared" si="5"/>
        <v>1</v>
      </c>
      <c r="D104" s="97"/>
      <c r="E104" s="48" t="s">
        <v>114</v>
      </c>
      <c r="F104">
        <v>56.232999999999997</v>
      </c>
      <c r="G104" s="42">
        <f t="shared" si="9"/>
        <v>56.232999999999997</v>
      </c>
      <c r="H104">
        <v>2.02</v>
      </c>
      <c r="I104">
        <v>20.39</v>
      </c>
      <c r="J104">
        <v>143.87</v>
      </c>
      <c r="K104">
        <v>113.59066</v>
      </c>
      <c r="L104">
        <v>1146.59087</v>
      </c>
      <c r="M104">
        <v>8090.2417100000002</v>
      </c>
      <c r="N104">
        <v>89.972800000000007</v>
      </c>
      <c r="O104">
        <v>1113.9757300000001</v>
      </c>
      <c r="P104">
        <v>2829.08223</v>
      </c>
      <c r="Q104" s="42">
        <f t="shared" si="6"/>
        <v>89.972800000000007</v>
      </c>
      <c r="R104" s="43">
        <f t="shared" si="7"/>
        <v>1113.9757300000001</v>
      </c>
      <c r="S104" s="44">
        <f t="shared" si="8"/>
        <v>2829.08223</v>
      </c>
      <c r="T104" s="99"/>
      <c r="U104" s="99"/>
      <c r="V104" s="99"/>
      <c r="W104" s="100"/>
    </row>
    <row r="105" spans="1:23" x14ac:dyDescent="0.25">
      <c r="A105" s="133"/>
      <c r="B105" s="45">
        <v>10000000</v>
      </c>
      <c r="C105" s="46">
        <f t="shared" si="5"/>
        <v>10</v>
      </c>
      <c r="D105" s="97" t="s">
        <v>176</v>
      </c>
      <c r="E105" s="48" t="s">
        <v>111</v>
      </c>
      <c r="F105">
        <v>705.89700000000005</v>
      </c>
      <c r="G105" s="42">
        <f t="shared" si="9"/>
        <v>7058.97</v>
      </c>
      <c r="H105">
        <v>2.44</v>
      </c>
      <c r="I105">
        <v>20.16</v>
      </c>
      <c r="J105">
        <v>145.76</v>
      </c>
      <c r="K105">
        <v>1722.38868</v>
      </c>
      <c r="L105">
        <v>14230.883519999999</v>
      </c>
      <c r="M105">
        <v>102891.54672</v>
      </c>
      <c r="N105">
        <v>1658.8579500000001</v>
      </c>
      <c r="O105">
        <v>14223.824549999999</v>
      </c>
      <c r="P105">
        <v>35570.149830000002</v>
      </c>
      <c r="Q105" s="42">
        <f t="shared" si="6"/>
        <v>16588.5795</v>
      </c>
      <c r="R105" s="43">
        <f t="shared" si="7"/>
        <v>142238.24549999999</v>
      </c>
      <c r="S105" s="44">
        <f t="shared" si="8"/>
        <v>355701.49830000004</v>
      </c>
      <c r="T105" s="99">
        <f>(F106-F105)/F105</f>
        <v>-6.5988380741099639E-2</v>
      </c>
      <c r="U105" s="99">
        <f>(Q106-Q105)/Q105</f>
        <v>-0.1454787313163253</v>
      </c>
      <c r="V105" s="99">
        <f>(R106-R105)/R105</f>
        <v>-8.9164847720228618E-2</v>
      </c>
      <c r="W105" s="100">
        <f>(S106-S105)/S105</f>
        <v>-0.11584929075908819</v>
      </c>
    </row>
    <row r="106" spans="1:23" x14ac:dyDescent="0.25">
      <c r="A106" s="133"/>
      <c r="B106" s="45">
        <v>10000000</v>
      </c>
      <c r="C106" s="46">
        <f t="shared" si="5"/>
        <v>10</v>
      </c>
      <c r="D106" s="97"/>
      <c r="E106" s="48" t="s">
        <v>114</v>
      </c>
      <c r="F106">
        <v>659.31600000000003</v>
      </c>
      <c r="G106" s="42">
        <f t="shared" si="9"/>
        <v>6593.16</v>
      </c>
      <c r="H106">
        <v>2.2400000000000002</v>
      </c>
      <c r="I106">
        <v>19.66</v>
      </c>
      <c r="J106">
        <v>143.07</v>
      </c>
      <c r="K106">
        <v>1476.8678399999999</v>
      </c>
      <c r="L106">
        <v>12962.15256</v>
      </c>
      <c r="M106">
        <v>94328.340119999993</v>
      </c>
      <c r="N106">
        <v>1417.5293999999999</v>
      </c>
      <c r="O106">
        <v>12955.5594</v>
      </c>
      <c r="P106">
        <v>31449.373200000002</v>
      </c>
      <c r="Q106" s="42">
        <f t="shared" si="6"/>
        <v>14175.293999999998</v>
      </c>
      <c r="R106" s="43">
        <f t="shared" si="7"/>
        <v>129555.594</v>
      </c>
      <c r="S106" s="44">
        <f t="shared" si="8"/>
        <v>314493.73200000002</v>
      </c>
      <c r="T106" s="102"/>
      <c r="U106" s="99"/>
      <c r="V106" s="99"/>
      <c r="W106" s="100"/>
    </row>
  </sheetData>
  <mergeCells count="298">
    <mergeCell ref="G1:G2"/>
    <mergeCell ref="H1:J1"/>
    <mergeCell ref="K1:M1"/>
    <mergeCell ref="N1:P1"/>
    <mergeCell ref="Q1:S1"/>
    <mergeCell ref="T1:W1"/>
    <mergeCell ref="A1:A2"/>
    <mergeCell ref="B1:B2"/>
    <mergeCell ref="C1:C2"/>
    <mergeCell ref="D1:D2"/>
    <mergeCell ref="E1:E2"/>
    <mergeCell ref="F1:F2"/>
    <mergeCell ref="W5:W6"/>
    <mergeCell ref="A7:A10"/>
    <mergeCell ref="D7:D8"/>
    <mergeCell ref="T7:T8"/>
    <mergeCell ref="U7:U8"/>
    <mergeCell ref="V7:V8"/>
    <mergeCell ref="W7:W8"/>
    <mergeCell ref="D9:D10"/>
    <mergeCell ref="T9:T10"/>
    <mergeCell ref="U9:U10"/>
    <mergeCell ref="A3:A6"/>
    <mergeCell ref="D3:D4"/>
    <mergeCell ref="T3:T4"/>
    <mergeCell ref="U3:U4"/>
    <mergeCell ref="V3:V4"/>
    <mergeCell ref="W3:W4"/>
    <mergeCell ref="D5:D6"/>
    <mergeCell ref="T5:T6"/>
    <mergeCell ref="U5:U6"/>
    <mergeCell ref="V5:V6"/>
    <mergeCell ref="V9:V10"/>
    <mergeCell ref="W9:W10"/>
    <mergeCell ref="A11:A14"/>
    <mergeCell ref="D11:D12"/>
    <mergeCell ref="T11:T12"/>
    <mergeCell ref="U11:U12"/>
    <mergeCell ref="V11:V12"/>
    <mergeCell ref="W11:W12"/>
    <mergeCell ref="D13:D14"/>
    <mergeCell ref="T13:T14"/>
    <mergeCell ref="U13:U14"/>
    <mergeCell ref="V13:V14"/>
    <mergeCell ref="W13:W14"/>
    <mergeCell ref="A15:A18"/>
    <mergeCell ref="D15:D16"/>
    <mergeCell ref="T15:T16"/>
    <mergeCell ref="U15:U16"/>
    <mergeCell ref="V15:V16"/>
    <mergeCell ref="W15:W16"/>
    <mergeCell ref="D17:D18"/>
    <mergeCell ref="A23:A26"/>
    <mergeCell ref="D23:D24"/>
    <mergeCell ref="T23:T24"/>
    <mergeCell ref="U23:U24"/>
    <mergeCell ref="V23:V24"/>
    <mergeCell ref="T17:T18"/>
    <mergeCell ref="U17:U18"/>
    <mergeCell ref="V17:V18"/>
    <mergeCell ref="W17:W18"/>
    <mergeCell ref="A19:A22"/>
    <mergeCell ref="D19:D20"/>
    <mergeCell ref="T19:T20"/>
    <mergeCell ref="U19:U20"/>
    <mergeCell ref="V19:V20"/>
    <mergeCell ref="W19:W20"/>
    <mergeCell ref="W23:W24"/>
    <mergeCell ref="D25:D26"/>
    <mergeCell ref="T25:T26"/>
    <mergeCell ref="U25:U26"/>
    <mergeCell ref="V25:V26"/>
    <mergeCell ref="W25:W26"/>
    <mergeCell ref="D21:D22"/>
    <mergeCell ref="T21:T22"/>
    <mergeCell ref="U21:U22"/>
    <mergeCell ref="V21:V22"/>
    <mergeCell ref="W21:W22"/>
    <mergeCell ref="W29:W30"/>
    <mergeCell ref="A31:A34"/>
    <mergeCell ref="D31:D32"/>
    <mergeCell ref="T31:T32"/>
    <mergeCell ref="U31:U32"/>
    <mergeCell ref="V31:V32"/>
    <mergeCell ref="W31:W32"/>
    <mergeCell ref="D33:D34"/>
    <mergeCell ref="T33:T34"/>
    <mergeCell ref="U33:U34"/>
    <mergeCell ref="A27:A30"/>
    <mergeCell ref="D27:D28"/>
    <mergeCell ref="T27:T28"/>
    <mergeCell ref="U27:U28"/>
    <mergeCell ref="V27:V28"/>
    <mergeCell ref="W27:W28"/>
    <mergeCell ref="D29:D30"/>
    <mergeCell ref="T29:T30"/>
    <mergeCell ref="U29:U30"/>
    <mergeCell ref="V29:V30"/>
    <mergeCell ref="V33:V34"/>
    <mergeCell ref="W33:W34"/>
    <mergeCell ref="A35:A38"/>
    <mergeCell ref="D35:D36"/>
    <mergeCell ref="T35:T36"/>
    <mergeCell ref="U35:U36"/>
    <mergeCell ref="V35:V36"/>
    <mergeCell ref="W35:W36"/>
    <mergeCell ref="D37:D38"/>
    <mergeCell ref="T37:T38"/>
    <mergeCell ref="U37:U38"/>
    <mergeCell ref="V37:V38"/>
    <mergeCell ref="W37:W38"/>
    <mergeCell ref="A39:A42"/>
    <mergeCell ref="D39:D40"/>
    <mergeCell ref="T39:T40"/>
    <mergeCell ref="U39:U40"/>
    <mergeCell ref="V39:V40"/>
    <mergeCell ref="W39:W40"/>
    <mergeCell ref="D41:D42"/>
    <mergeCell ref="A47:A50"/>
    <mergeCell ref="D47:D48"/>
    <mergeCell ref="T47:T48"/>
    <mergeCell ref="U47:U48"/>
    <mergeCell ref="V47:V48"/>
    <mergeCell ref="T41:T42"/>
    <mergeCell ref="U41:U42"/>
    <mergeCell ref="V41:V42"/>
    <mergeCell ref="W41:W42"/>
    <mergeCell ref="A43:A46"/>
    <mergeCell ref="D43:D44"/>
    <mergeCell ref="T43:T44"/>
    <mergeCell ref="U43:U44"/>
    <mergeCell ref="V43:V44"/>
    <mergeCell ref="W43:W44"/>
    <mergeCell ref="W47:W48"/>
    <mergeCell ref="D49:D50"/>
    <mergeCell ref="T49:T50"/>
    <mergeCell ref="U49:U50"/>
    <mergeCell ref="V49:V50"/>
    <mergeCell ref="W49:W50"/>
    <mergeCell ref="D45:D46"/>
    <mergeCell ref="T45:T46"/>
    <mergeCell ref="U45:U46"/>
    <mergeCell ref="V45:V46"/>
    <mergeCell ref="W45:W46"/>
    <mergeCell ref="W53:W54"/>
    <mergeCell ref="A55:A58"/>
    <mergeCell ref="D55:D56"/>
    <mergeCell ref="T55:T56"/>
    <mergeCell ref="U55:U56"/>
    <mergeCell ref="V55:V56"/>
    <mergeCell ref="W55:W56"/>
    <mergeCell ref="D57:D58"/>
    <mergeCell ref="T57:T58"/>
    <mergeCell ref="U57:U58"/>
    <mergeCell ref="A51:A54"/>
    <mergeCell ref="D51:D52"/>
    <mergeCell ref="T51:T52"/>
    <mergeCell ref="U51:U52"/>
    <mergeCell ref="V51:V52"/>
    <mergeCell ref="W51:W52"/>
    <mergeCell ref="D53:D54"/>
    <mergeCell ref="T53:T54"/>
    <mergeCell ref="U53:U54"/>
    <mergeCell ref="V53:V54"/>
    <mergeCell ref="V57:V58"/>
    <mergeCell ref="W57:W58"/>
    <mergeCell ref="A59:A62"/>
    <mergeCell ref="D59:D60"/>
    <mergeCell ref="T59:T60"/>
    <mergeCell ref="U59:U60"/>
    <mergeCell ref="V59:V60"/>
    <mergeCell ref="W59:W60"/>
    <mergeCell ref="D61:D62"/>
    <mergeCell ref="T61:T62"/>
    <mergeCell ref="U61:U62"/>
    <mergeCell ref="V61:V62"/>
    <mergeCell ref="W61:W62"/>
    <mergeCell ref="A63:A66"/>
    <mergeCell ref="D63:D64"/>
    <mergeCell ref="T63:T64"/>
    <mergeCell ref="U63:U64"/>
    <mergeCell ref="V63:V64"/>
    <mergeCell ref="W63:W64"/>
    <mergeCell ref="D65:D66"/>
    <mergeCell ref="A71:A74"/>
    <mergeCell ref="D71:D72"/>
    <mergeCell ref="T71:T72"/>
    <mergeCell ref="U71:U72"/>
    <mergeCell ref="V71:V72"/>
    <mergeCell ref="T65:T66"/>
    <mergeCell ref="U65:U66"/>
    <mergeCell ref="V65:V66"/>
    <mergeCell ref="W65:W66"/>
    <mergeCell ref="A67:A70"/>
    <mergeCell ref="D67:D68"/>
    <mergeCell ref="T67:T68"/>
    <mergeCell ref="U67:U68"/>
    <mergeCell ref="V67:V68"/>
    <mergeCell ref="W67:W68"/>
    <mergeCell ref="W71:W72"/>
    <mergeCell ref="D73:D74"/>
    <mergeCell ref="T73:T74"/>
    <mergeCell ref="U73:U74"/>
    <mergeCell ref="V73:V74"/>
    <mergeCell ref="W73:W74"/>
    <mergeCell ref="D69:D70"/>
    <mergeCell ref="T69:T70"/>
    <mergeCell ref="U69:U70"/>
    <mergeCell ref="V69:V70"/>
    <mergeCell ref="W69:W70"/>
    <mergeCell ref="W77:W78"/>
    <mergeCell ref="A79:A82"/>
    <mergeCell ref="D79:D80"/>
    <mergeCell ref="T79:T80"/>
    <mergeCell ref="U79:U80"/>
    <mergeCell ref="V79:V80"/>
    <mergeCell ref="W79:W80"/>
    <mergeCell ref="D81:D82"/>
    <mergeCell ref="T81:T82"/>
    <mergeCell ref="U81:U82"/>
    <mergeCell ref="A75:A78"/>
    <mergeCell ref="D75:D76"/>
    <mergeCell ref="T75:T76"/>
    <mergeCell ref="U75:U76"/>
    <mergeCell ref="V75:V76"/>
    <mergeCell ref="W75:W76"/>
    <mergeCell ref="D77:D78"/>
    <mergeCell ref="T77:T78"/>
    <mergeCell ref="U77:U78"/>
    <mergeCell ref="V77:V78"/>
    <mergeCell ref="V81:V82"/>
    <mergeCell ref="W81:W82"/>
    <mergeCell ref="A83:A86"/>
    <mergeCell ref="D83:D84"/>
    <mergeCell ref="T83:T84"/>
    <mergeCell ref="U83:U84"/>
    <mergeCell ref="V83:V84"/>
    <mergeCell ref="W83:W84"/>
    <mergeCell ref="D85:D86"/>
    <mergeCell ref="T85:T86"/>
    <mergeCell ref="U85:U86"/>
    <mergeCell ref="V85:V86"/>
    <mergeCell ref="W85:W86"/>
    <mergeCell ref="A87:A90"/>
    <mergeCell ref="D87:D88"/>
    <mergeCell ref="T87:T88"/>
    <mergeCell ref="U87:U88"/>
    <mergeCell ref="V87:V88"/>
    <mergeCell ref="W87:W88"/>
    <mergeCell ref="D89:D90"/>
    <mergeCell ref="A95:A98"/>
    <mergeCell ref="D95:D96"/>
    <mergeCell ref="T95:T96"/>
    <mergeCell ref="U95:U96"/>
    <mergeCell ref="V95:V96"/>
    <mergeCell ref="T89:T90"/>
    <mergeCell ref="U89:U90"/>
    <mergeCell ref="V89:V90"/>
    <mergeCell ref="W89:W90"/>
    <mergeCell ref="A91:A94"/>
    <mergeCell ref="D91:D92"/>
    <mergeCell ref="T91:T92"/>
    <mergeCell ref="U91:U92"/>
    <mergeCell ref="V91:V92"/>
    <mergeCell ref="W91:W92"/>
    <mergeCell ref="W95:W96"/>
    <mergeCell ref="D97:D98"/>
    <mergeCell ref="T97:T98"/>
    <mergeCell ref="U97:U98"/>
    <mergeCell ref="V97:V98"/>
    <mergeCell ref="W97:W98"/>
    <mergeCell ref="D93:D94"/>
    <mergeCell ref="T93:T94"/>
    <mergeCell ref="U93:U94"/>
    <mergeCell ref="V93:V94"/>
    <mergeCell ref="W93:W94"/>
    <mergeCell ref="V105:V106"/>
    <mergeCell ref="W105:W106"/>
    <mergeCell ref="W101:W102"/>
    <mergeCell ref="A103:A106"/>
    <mergeCell ref="D103:D104"/>
    <mergeCell ref="T103:T104"/>
    <mergeCell ref="U103:U104"/>
    <mergeCell ref="V103:V104"/>
    <mergeCell ref="W103:W104"/>
    <mergeCell ref="D105:D106"/>
    <mergeCell ref="T105:T106"/>
    <mergeCell ref="U105:U106"/>
    <mergeCell ref="A99:A102"/>
    <mergeCell ref="D99:D100"/>
    <mergeCell ref="T99:T100"/>
    <mergeCell ref="U99:U100"/>
    <mergeCell ref="V99:V100"/>
    <mergeCell ref="W99:W100"/>
    <mergeCell ref="D101:D102"/>
    <mergeCell ref="T101:T102"/>
    <mergeCell ref="U101:U102"/>
    <mergeCell ref="V101:V102"/>
  </mergeCells>
  <conditionalFormatting sqref="T3:W106">
    <cfRule type="colorScale" priority="1">
      <colorScale>
        <cfvo type="num" val="-1"/>
        <cfvo type="num" val="0"/>
        <cfvo type="num" val="1"/>
        <color rgb="FF92D050"/>
        <color rgb="FFFFC000"/>
        <color rgb="FFFF0000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02F5-82A4-405C-AD3D-698C2181DEB2}">
  <dimension ref="A1:W107"/>
  <sheetViews>
    <sheetView workbookViewId="0">
      <selection activeCell="C43" sqref="C43:C44"/>
    </sheetView>
  </sheetViews>
  <sheetFormatPr baseColWidth="10" defaultRowHeight="15" x14ac:dyDescent="0.25"/>
  <cols>
    <col min="2" max="2" width="12" bestFit="1" customWidth="1"/>
    <col min="7" max="7" width="18.85546875" bestFit="1" customWidth="1"/>
    <col min="19" max="19" width="9.5703125" bestFit="1" customWidth="1"/>
  </cols>
  <sheetData>
    <row r="1" spans="1:23" x14ac:dyDescent="0.25">
      <c r="A1" s="105" t="s">
        <v>97</v>
      </c>
      <c r="B1" s="122" t="s">
        <v>171</v>
      </c>
      <c r="C1" s="122" t="s">
        <v>172</v>
      </c>
      <c r="D1" s="105" t="s">
        <v>98</v>
      </c>
      <c r="E1" s="131" t="s">
        <v>117</v>
      </c>
      <c r="F1" s="105" t="s">
        <v>100</v>
      </c>
      <c r="G1" s="105" t="s">
        <v>173</v>
      </c>
      <c r="H1" s="105" t="s">
        <v>101</v>
      </c>
      <c r="I1" s="105"/>
      <c r="J1" s="105"/>
      <c r="K1" s="105" t="s">
        <v>102</v>
      </c>
      <c r="L1" s="105"/>
      <c r="M1" s="105"/>
      <c r="N1" s="105" t="s">
        <v>103</v>
      </c>
      <c r="O1" s="105"/>
      <c r="P1" s="105"/>
      <c r="Q1" s="104" t="s">
        <v>174</v>
      </c>
      <c r="R1" s="104"/>
      <c r="S1" s="104"/>
      <c r="T1" s="105" t="s">
        <v>104</v>
      </c>
      <c r="U1" s="105"/>
      <c r="V1" s="105"/>
      <c r="W1" s="105"/>
    </row>
    <row r="2" spans="1:23" x14ac:dyDescent="0.25">
      <c r="A2" s="105"/>
      <c r="B2" s="123"/>
      <c r="C2" s="127"/>
      <c r="D2" s="105"/>
      <c r="E2" s="132"/>
      <c r="F2" s="105"/>
      <c r="G2" s="105"/>
      <c r="H2" s="15" t="s">
        <v>105</v>
      </c>
      <c r="I2" s="15" t="s">
        <v>106</v>
      </c>
      <c r="J2" s="15" t="s">
        <v>107</v>
      </c>
      <c r="K2" s="15" t="s">
        <v>108</v>
      </c>
      <c r="L2" s="15" t="s">
        <v>109</v>
      </c>
      <c r="M2" s="15" t="s">
        <v>110</v>
      </c>
      <c r="N2" s="15" t="s">
        <v>108</v>
      </c>
      <c r="O2" s="15" t="s">
        <v>109</v>
      </c>
      <c r="P2" s="15" t="s">
        <v>110</v>
      </c>
      <c r="Q2" s="40" t="s">
        <v>108</v>
      </c>
      <c r="R2" s="40" t="s">
        <v>109</v>
      </c>
      <c r="S2" s="40" t="s">
        <v>110</v>
      </c>
      <c r="T2" s="15" t="s">
        <v>100</v>
      </c>
      <c r="U2" s="15" t="s">
        <v>108</v>
      </c>
      <c r="V2" s="15" t="s">
        <v>109</v>
      </c>
      <c r="W2" s="15" t="s">
        <v>110</v>
      </c>
    </row>
    <row r="3" spans="1:23" x14ac:dyDescent="0.25">
      <c r="A3" s="133" t="s">
        <v>156</v>
      </c>
      <c r="B3" s="45">
        <v>10000000000</v>
      </c>
      <c r="C3" s="46">
        <f>100000000/B3</f>
        <v>0.01</v>
      </c>
      <c r="D3" s="97" t="s">
        <v>111</v>
      </c>
      <c r="E3" s="6" t="s">
        <v>175</v>
      </c>
      <c r="F3" s="37">
        <v>42.225999999999999</v>
      </c>
      <c r="G3" s="41">
        <f>F3*C3</f>
        <v>0.42226000000000002</v>
      </c>
      <c r="H3" s="43">
        <v>4.4000000000000004</v>
      </c>
      <c r="I3" s="43">
        <v>24.4</v>
      </c>
      <c r="J3" s="43">
        <v>140.44999999999999</v>
      </c>
      <c r="K3" s="42">
        <v>185.7944</v>
      </c>
      <c r="L3" s="43">
        <v>1030.3144</v>
      </c>
      <c r="M3" s="43">
        <v>5930.6416999999992</v>
      </c>
      <c r="N3" s="42">
        <v>146.94648000000001</v>
      </c>
      <c r="O3" s="43">
        <v>1005.82332</v>
      </c>
      <c r="P3" s="43">
        <v>1939.8624400000001</v>
      </c>
      <c r="Q3" s="42">
        <f>N3*C3</f>
        <v>1.4694648000000001</v>
      </c>
      <c r="R3" s="43">
        <f>O3*C3</f>
        <v>10.0582332</v>
      </c>
      <c r="S3" s="44">
        <f>P3*C3</f>
        <v>19.398624400000003</v>
      </c>
      <c r="T3" s="128">
        <f>(G3-G4)/G4</f>
        <v>-0.99537735642502145</v>
      </c>
      <c r="U3" s="129">
        <f>(Q3-Q4)/Q4</f>
        <v>-0.99602795070594419</v>
      </c>
      <c r="V3" s="129">
        <f>(R3-R4)/R4</f>
        <v>-0.99478886086341745</v>
      </c>
      <c r="W3" s="130">
        <f>(S3-S4)/S4</f>
        <v>-0.99524060408259707</v>
      </c>
    </row>
    <row r="4" spans="1:23" x14ac:dyDescent="0.25">
      <c r="A4" s="133"/>
      <c r="B4" s="45">
        <v>100000000</v>
      </c>
      <c r="C4" s="46">
        <f t="shared" ref="C4:C67" si="0">100000000/B4</f>
        <v>1</v>
      </c>
      <c r="D4" s="97"/>
      <c r="E4" s="6" t="s">
        <v>176</v>
      </c>
      <c r="F4" s="37">
        <v>91.346000000000004</v>
      </c>
      <c r="G4" s="41">
        <f t="shared" ref="G4:G67" si="1">F4*C4</f>
        <v>91.346000000000004</v>
      </c>
      <c r="H4" s="17">
        <v>5.48</v>
      </c>
      <c r="I4" s="17">
        <v>22.29</v>
      </c>
      <c r="J4" s="17">
        <v>133.41</v>
      </c>
      <c r="K4" s="18">
        <v>500.57607999999999</v>
      </c>
      <c r="L4" s="17">
        <v>2036.1023399999999</v>
      </c>
      <c r="M4" s="17">
        <v>12186.469859999999</v>
      </c>
      <c r="N4" s="18">
        <v>369.9513</v>
      </c>
      <c r="O4" s="17">
        <v>1930.1409799999999</v>
      </c>
      <c r="P4" s="17">
        <v>4075.8585200000002</v>
      </c>
      <c r="Q4" s="42">
        <f t="shared" ref="Q4:Q67" si="2">N4*C4</f>
        <v>369.9513</v>
      </c>
      <c r="R4" s="43">
        <f t="shared" ref="R4:R67" si="3">O4*C4</f>
        <v>1930.1409799999999</v>
      </c>
      <c r="S4" s="44">
        <f t="shared" ref="S4:S67" si="4">P4*C4</f>
        <v>4075.8585200000002</v>
      </c>
      <c r="T4" s="98"/>
      <c r="U4" s="99"/>
      <c r="V4" s="99"/>
      <c r="W4" s="100"/>
    </row>
    <row r="5" spans="1:23" x14ac:dyDescent="0.25">
      <c r="A5" s="133"/>
      <c r="B5" s="45">
        <v>10000000000</v>
      </c>
      <c r="C5" s="46">
        <f t="shared" si="0"/>
        <v>0.01</v>
      </c>
      <c r="D5" s="97" t="s">
        <v>114</v>
      </c>
      <c r="E5" s="6" t="s">
        <v>175</v>
      </c>
      <c r="F5" s="37">
        <v>42.030999999999999</v>
      </c>
      <c r="G5" s="41">
        <f t="shared" si="1"/>
        <v>0.42031000000000002</v>
      </c>
      <c r="H5" s="17">
        <v>4.46</v>
      </c>
      <c r="I5" s="17">
        <v>20.63</v>
      </c>
      <c r="J5" s="17">
        <v>140.88</v>
      </c>
      <c r="K5" s="18">
        <v>187.45826</v>
      </c>
      <c r="L5" s="17">
        <v>867.09952999999996</v>
      </c>
      <c r="M5" s="17">
        <v>5921.3272800000004</v>
      </c>
      <c r="N5" s="18">
        <v>148.78973999999999</v>
      </c>
      <c r="O5" s="17">
        <v>842.72154999999998</v>
      </c>
      <c r="P5" s="17">
        <v>1948.97747</v>
      </c>
      <c r="Q5" s="42">
        <f t="shared" si="2"/>
        <v>1.4878974</v>
      </c>
      <c r="R5" s="43">
        <f t="shared" si="3"/>
        <v>8.4272154999999991</v>
      </c>
      <c r="S5" s="44">
        <f t="shared" si="4"/>
        <v>19.489774700000002</v>
      </c>
      <c r="T5" s="128">
        <f>(G5-G6)/G6</f>
        <v>-0.9784566888774987</v>
      </c>
      <c r="U5" s="129">
        <f>(Q5-Q6)/Q6</f>
        <v>-0.9812620832005764</v>
      </c>
      <c r="V5" s="129">
        <f>(R5-R6)/R6</f>
        <v>-0.98178222741433363</v>
      </c>
      <c r="W5" s="130">
        <f>(S5-S6)/S6</f>
        <v>-0.98031599336452446</v>
      </c>
    </row>
    <row r="6" spans="1:23" x14ac:dyDescent="0.25">
      <c r="A6" s="133"/>
      <c r="B6" s="45">
        <v>100000000</v>
      </c>
      <c r="C6" s="46">
        <f t="shared" si="0"/>
        <v>1</v>
      </c>
      <c r="D6" s="97"/>
      <c r="E6" s="6" t="s">
        <v>176</v>
      </c>
      <c r="F6" s="37">
        <v>19.510000000000002</v>
      </c>
      <c r="G6" s="41">
        <f t="shared" si="1"/>
        <v>19.510000000000002</v>
      </c>
      <c r="H6" s="17">
        <v>5.5</v>
      </c>
      <c r="I6" s="17">
        <v>24.87</v>
      </c>
      <c r="J6" s="17">
        <v>139.54</v>
      </c>
      <c r="K6" s="18">
        <v>107.30500000000001</v>
      </c>
      <c r="L6" s="17">
        <v>485.21370000000007</v>
      </c>
      <c r="M6" s="17">
        <v>2722.4254000000001</v>
      </c>
      <c r="N6" s="18">
        <v>79.40570000000001</v>
      </c>
      <c r="O6" s="17">
        <v>462.58210000000003</v>
      </c>
      <c r="P6" s="17">
        <v>990.13250000000005</v>
      </c>
      <c r="Q6" s="42">
        <f t="shared" si="2"/>
        <v>79.40570000000001</v>
      </c>
      <c r="R6" s="43">
        <f t="shared" si="3"/>
        <v>462.58210000000003</v>
      </c>
      <c r="S6" s="44">
        <f t="shared" si="4"/>
        <v>990.13250000000005</v>
      </c>
      <c r="T6" s="98"/>
      <c r="U6" s="99"/>
      <c r="V6" s="99"/>
      <c r="W6" s="100"/>
    </row>
    <row r="7" spans="1:23" x14ac:dyDescent="0.25">
      <c r="A7" s="133" t="s">
        <v>157</v>
      </c>
      <c r="B7" s="45">
        <v>100000000</v>
      </c>
      <c r="C7" s="46">
        <f t="shared" si="0"/>
        <v>1</v>
      </c>
      <c r="D7" s="97" t="s">
        <v>111</v>
      </c>
      <c r="E7" s="6" t="s">
        <v>175</v>
      </c>
      <c r="F7" s="37">
        <v>134.08600000000001</v>
      </c>
      <c r="G7" s="41">
        <f t="shared" si="1"/>
        <v>134.08600000000001</v>
      </c>
      <c r="H7" s="17">
        <v>5.46</v>
      </c>
      <c r="I7" s="17">
        <v>25.17</v>
      </c>
      <c r="J7" s="17">
        <v>141.69999999999999</v>
      </c>
      <c r="K7" s="18">
        <v>732.1095600000001</v>
      </c>
      <c r="L7" s="17">
        <v>3374.9446200000011</v>
      </c>
      <c r="M7" s="17">
        <v>18999.986199999999</v>
      </c>
      <c r="N7" s="18">
        <v>506.84508</v>
      </c>
      <c r="O7" s="17">
        <v>3297.1747399999999</v>
      </c>
      <c r="P7" s="17">
        <v>7300.9827000000014</v>
      </c>
      <c r="Q7" s="42">
        <f t="shared" si="2"/>
        <v>506.84508</v>
      </c>
      <c r="R7" s="43">
        <f t="shared" si="3"/>
        <v>3297.1747399999999</v>
      </c>
      <c r="S7" s="44">
        <f t="shared" si="4"/>
        <v>7300.9827000000014</v>
      </c>
      <c r="T7" s="128">
        <f>(G7-G8)/G8</f>
        <v>-0.94920369135652793</v>
      </c>
      <c r="U7" s="129">
        <f>(Q7-Q8)/Q8</f>
        <v>-0.96799832555461274</v>
      </c>
      <c r="V7" s="129">
        <f>(R7-R8)/R8</f>
        <v>-0.96119660672435614</v>
      </c>
      <c r="W7" s="130">
        <f>(S7-S8)/S8</f>
        <v>-0.95049473768324599</v>
      </c>
    </row>
    <row r="8" spans="1:23" x14ac:dyDescent="0.25">
      <c r="A8" s="133"/>
      <c r="B8" s="45">
        <v>10000000</v>
      </c>
      <c r="C8" s="46">
        <f t="shared" si="0"/>
        <v>10</v>
      </c>
      <c r="D8" s="97"/>
      <c r="E8" s="6" t="s">
        <v>176</v>
      </c>
      <c r="F8" s="37">
        <v>263.96800000000002</v>
      </c>
      <c r="G8" s="41">
        <f t="shared" si="1"/>
        <v>2639.6800000000003</v>
      </c>
      <c r="H8" s="1">
        <v>10.43</v>
      </c>
      <c r="I8" s="17">
        <v>32.979999999999997</v>
      </c>
      <c r="J8" s="17">
        <v>147.44</v>
      </c>
      <c r="K8" s="18">
        <v>2753.18624</v>
      </c>
      <c r="L8" s="17">
        <v>8705.6646399999991</v>
      </c>
      <c r="M8" s="17">
        <v>38919.441919999997</v>
      </c>
      <c r="N8" s="18">
        <v>1583.808</v>
      </c>
      <c r="O8" s="17">
        <v>8497.1299199999994</v>
      </c>
      <c r="P8" s="17">
        <v>14747.892159999999</v>
      </c>
      <c r="Q8" s="42">
        <f t="shared" si="2"/>
        <v>15838.08</v>
      </c>
      <c r="R8" s="43">
        <f t="shared" si="3"/>
        <v>84971.299199999994</v>
      </c>
      <c r="S8" s="44">
        <f t="shared" si="4"/>
        <v>147478.9216</v>
      </c>
      <c r="T8" s="98"/>
      <c r="U8" s="99"/>
      <c r="V8" s="99"/>
      <c r="W8" s="100"/>
    </row>
    <row r="9" spans="1:23" x14ac:dyDescent="0.25">
      <c r="A9" s="133"/>
      <c r="B9" s="45">
        <v>100000000</v>
      </c>
      <c r="C9" s="46">
        <f t="shared" si="0"/>
        <v>1</v>
      </c>
      <c r="D9" s="97" t="s">
        <v>114</v>
      </c>
      <c r="E9" s="6" t="s">
        <v>175</v>
      </c>
      <c r="F9" s="37">
        <v>41.554000000000002</v>
      </c>
      <c r="G9" s="41">
        <f t="shared" si="1"/>
        <v>41.554000000000002</v>
      </c>
      <c r="H9" s="17">
        <v>5.47</v>
      </c>
      <c r="I9" s="17">
        <v>24.57</v>
      </c>
      <c r="J9" s="19">
        <v>139.1</v>
      </c>
      <c r="K9" s="18">
        <v>227.30037999999999</v>
      </c>
      <c r="L9" s="17">
        <v>1020.98178</v>
      </c>
      <c r="M9" s="17">
        <v>5780.1614</v>
      </c>
      <c r="N9" s="18">
        <v>157.48965999999999</v>
      </c>
      <c r="O9" s="17">
        <v>996.88045999999997</v>
      </c>
      <c r="P9" s="17">
        <v>2154.5749000000001</v>
      </c>
      <c r="Q9" s="42">
        <f t="shared" si="2"/>
        <v>157.48965999999999</v>
      </c>
      <c r="R9" s="43">
        <f t="shared" si="3"/>
        <v>996.88045999999997</v>
      </c>
      <c r="S9" s="44">
        <f t="shared" si="4"/>
        <v>2154.5749000000001</v>
      </c>
      <c r="T9" s="128">
        <f>(G9-G10)/G10</f>
        <v>-0.9834464681230779</v>
      </c>
      <c r="U9" s="129">
        <f>(Q9-Q10)/Q10</f>
        <v>-0.98523814451446245</v>
      </c>
      <c r="V9" s="129">
        <f>(R9-R10)/R10</f>
        <v>-0.98683291678622809</v>
      </c>
      <c r="W9" s="130">
        <f>(S9-S10)/S10</f>
        <v>-0.98454904360362894</v>
      </c>
    </row>
    <row r="10" spans="1:23" x14ac:dyDescent="0.25">
      <c r="A10" s="133"/>
      <c r="B10" s="45">
        <v>10000000</v>
      </c>
      <c r="C10" s="46">
        <f t="shared" si="0"/>
        <v>10</v>
      </c>
      <c r="D10" s="97"/>
      <c r="E10" s="6" t="s">
        <v>176</v>
      </c>
      <c r="F10" s="37">
        <v>251.02799999999999</v>
      </c>
      <c r="G10" s="41">
        <f t="shared" si="1"/>
        <v>2510.2799999999997</v>
      </c>
      <c r="H10" s="17">
        <v>8.68</v>
      </c>
      <c r="I10" s="17">
        <v>30.95</v>
      </c>
      <c r="J10" s="19">
        <v>147.13</v>
      </c>
      <c r="K10" s="18">
        <v>2178.9230400000001</v>
      </c>
      <c r="L10" s="17">
        <v>7769.3165999999992</v>
      </c>
      <c r="M10" s="17">
        <v>36933.749639999987</v>
      </c>
      <c r="N10" s="18">
        <v>1066.8689999999999</v>
      </c>
      <c r="O10" s="17">
        <v>7571.0044799999996</v>
      </c>
      <c r="P10" s="17">
        <v>13944.6054</v>
      </c>
      <c r="Q10" s="42">
        <f t="shared" si="2"/>
        <v>10668.689999999999</v>
      </c>
      <c r="R10" s="43">
        <f t="shared" si="3"/>
        <v>75710.044800000003</v>
      </c>
      <c r="S10" s="44">
        <f t="shared" si="4"/>
        <v>139446.054</v>
      </c>
      <c r="T10" s="98"/>
      <c r="U10" s="99"/>
      <c r="V10" s="99"/>
      <c r="W10" s="100"/>
    </row>
    <row r="11" spans="1:23" x14ac:dyDescent="0.25">
      <c r="A11" s="133" t="s">
        <v>158</v>
      </c>
      <c r="B11" s="45">
        <v>10000000000</v>
      </c>
      <c r="C11" s="46">
        <f t="shared" si="0"/>
        <v>0.01</v>
      </c>
      <c r="D11" s="97" t="s">
        <v>111</v>
      </c>
      <c r="E11" s="6" t="s">
        <v>175</v>
      </c>
      <c r="F11" s="37">
        <v>2.0939999999999999</v>
      </c>
      <c r="G11" s="41">
        <f t="shared" si="1"/>
        <v>2.094E-2</v>
      </c>
      <c r="H11" s="17">
        <v>5.35</v>
      </c>
      <c r="I11" s="17">
        <v>20.93</v>
      </c>
      <c r="J11" s="17">
        <v>136.58000000000001</v>
      </c>
      <c r="K11" s="18">
        <v>11.2029</v>
      </c>
      <c r="L11" s="17">
        <v>43.827419999999996</v>
      </c>
      <c r="M11" s="17">
        <v>285.99851999999998</v>
      </c>
      <c r="N11" s="18">
        <v>7.1614799999999992</v>
      </c>
      <c r="O11" s="17">
        <v>42.612900000000003</v>
      </c>
      <c r="P11" s="17">
        <v>94.837259999999986</v>
      </c>
      <c r="Q11" s="42">
        <f t="shared" si="2"/>
        <v>7.1614799999999992E-2</v>
      </c>
      <c r="R11" s="43">
        <f t="shared" si="3"/>
        <v>0.42612900000000004</v>
      </c>
      <c r="S11" s="44">
        <f t="shared" si="4"/>
        <v>0.9483725999999999</v>
      </c>
      <c r="T11" s="128">
        <f>(G11-G12)/G12</f>
        <v>-0.99563659095644919</v>
      </c>
      <c r="U11" s="129">
        <f>(Q11-Q12)/Q12</f>
        <v>-0.99592271613963301</v>
      </c>
      <c r="V11" s="129">
        <f>(R11-R12)/R12</f>
        <v>-0.99558012075479052</v>
      </c>
      <c r="W11" s="130">
        <f>(S11-S12)/S12</f>
        <v>-0.99579534477484233</v>
      </c>
    </row>
    <row r="12" spans="1:23" x14ac:dyDescent="0.25">
      <c r="A12" s="133"/>
      <c r="B12" s="45">
        <v>100000000</v>
      </c>
      <c r="C12" s="46">
        <f t="shared" si="0"/>
        <v>1</v>
      </c>
      <c r="D12" s="97"/>
      <c r="E12" s="6" t="s">
        <v>176</v>
      </c>
      <c r="F12" s="37">
        <v>4.7990000000000004</v>
      </c>
      <c r="G12" s="41">
        <f t="shared" si="1"/>
        <v>4.7990000000000004</v>
      </c>
      <c r="H12" s="17">
        <v>5.34</v>
      </c>
      <c r="I12" s="17">
        <v>20.67</v>
      </c>
      <c r="J12" s="17">
        <v>133.77000000000001</v>
      </c>
      <c r="K12" s="18">
        <v>25.626660000000001</v>
      </c>
      <c r="L12" s="17">
        <v>99.195330000000013</v>
      </c>
      <c r="M12" s="17">
        <v>641.96223000000009</v>
      </c>
      <c r="N12" s="18">
        <v>17.564340000000001</v>
      </c>
      <c r="O12" s="17">
        <v>96.411910000000006</v>
      </c>
      <c r="P12" s="17">
        <v>225.553</v>
      </c>
      <c r="Q12" s="42">
        <f t="shared" si="2"/>
        <v>17.564340000000001</v>
      </c>
      <c r="R12" s="43">
        <f t="shared" si="3"/>
        <v>96.411910000000006</v>
      </c>
      <c r="S12" s="44">
        <f t="shared" si="4"/>
        <v>225.553</v>
      </c>
      <c r="T12" s="98"/>
      <c r="U12" s="99"/>
      <c r="V12" s="99"/>
      <c r="W12" s="100"/>
    </row>
    <row r="13" spans="1:23" x14ac:dyDescent="0.25">
      <c r="A13" s="133"/>
      <c r="B13" s="45">
        <v>10000000000</v>
      </c>
      <c r="C13" s="46">
        <f t="shared" si="0"/>
        <v>0.01</v>
      </c>
      <c r="D13" s="97" t="s">
        <v>114</v>
      </c>
      <c r="E13" s="6" t="s">
        <v>175</v>
      </c>
      <c r="F13" s="37">
        <v>2.0939999999999999</v>
      </c>
      <c r="G13" s="41">
        <f t="shared" si="1"/>
        <v>2.094E-2</v>
      </c>
      <c r="H13" s="17">
        <v>5.34</v>
      </c>
      <c r="I13" s="17">
        <v>20.98</v>
      </c>
      <c r="J13" s="17">
        <v>136.94</v>
      </c>
      <c r="K13" s="18">
        <v>11.18196</v>
      </c>
      <c r="L13" s="17">
        <v>43.932119999999998</v>
      </c>
      <c r="M13" s="17">
        <v>286.75236000000001</v>
      </c>
      <c r="N13" s="18">
        <v>7.1405399999999997</v>
      </c>
      <c r="O13" s="17">
        <v>42.717599999999997</v>
      </c>
      <c r="P13" s="17">
        <v>95.591099999999997</v>
      </c>
      <c r="Q13" s="42">
        <f t="shared" si="2"/>
        <v>7.1405399999999994E-2</v>
      </c>
      <c r="R13" s="43">
        <f t="shared" si="3"/>
        <v>0.427176</v>
      </c>
      <c r="S13" s="44">
        <f t="shared" si="4"/>
        <v>0.95591099999999996</v>
      </c>
      <c r="T13" s="128">
        <f>(G13-G14)/G14</f>
        <v>-0.99566907962771445</v>
      </c>
      <c r="U13" s="129">
        <f>(Q13-Q14)/Q14</f>
        <v>-0.9959649075219964</v>
      </c>
      <c r="V13" s="129">
        <f>(R13-R14)/R14</f>
        <v>-0.99550377732342887</v>
      </c>
      <c r="W13" s="130">
        <f>(S13-S14)/S14</f>
        <v>-0.99567287119731174</v>
      </c>
    </row>
    <row r="14" spans="1:23" x14ac:dyDescent="0.25">
      <c r="A14" s="133"/>
      <c r="B14" s="45">
        <v>100000000</v>
      </c>
      <c r="C14" s="46">
        <f t="shared" si="0"/>
        <v>1</v>
      </c>
      <c r="D14" s="97"/>
      <c r="E14" s="6" t="s">
        <v>176</v>
      </c>
      <c r="F14" s="37">
        <v>4.835</v>
      </c>
      <c r="G14" s="41">
        <f t="shared" si="1"/>
        <v>4.835</v>
      </c>
      <c r="H14" s="17">
        <v>5.34</v>
      </c>
      <c r="I14" s="17">
        <v>20.23</v>
      </c>
      <c r="J14" s="17">
        <v>132.46</v>
      </c>
      <c r="K14" s="18">
        <v>25.818899999999999</v>
      </c>
      <c r="L14" s="17">
        <v>97.812049999999999</v>
      </c>
      <c r="M14" s="17">
        <v>640.44410000000005</v>
      </c>
      <c r="N14" s="18">
        <v>17.696100000000001</v>
      </c>
      <c r="O14" s="17">
        <v>95.007749999999987</v>
      </c>
      <c r="P14" s="17">
        <v>220.91114999999999</v>
      </c>
      <c r="Q14" s="42">
        <f t="shared" si="2"/>
        <v>17.696100000000001</v>
      </c>
      <c r="R14" s="43">
        <f t="shared" si="3"/>
        <v>95.007749999999987</v>
      </c>
      <c r="S14" s="44">
        <f t="shared" si="4"/>
        <v>220.91114999999999</v>
      </c>
      <c r="T14" s="98"/>
      <c r="U14" s="99"/>
      <c r="V14" s="99"/>
      <c r="W14" s="100"/>
    </row>
    <row r="15" spans="1:23" x14ac:dyDescent="0.25">
      <c r="A15" s="133" t="s">
        <v>160</v>
      </c>
      <c r="B15" s="45">
        <v>10000000000</v>
      </c>
      <c r="C15" s="46">
        <f t="shared" si="0"/>
        <v>0.01</v>
      </c>
      <c r="D15" s="97" t="s">
        <v>111</v>
      </c>
      <c r="E15" s="6" t="s">
        <v>175</v>
      </c>
      <c r="F15" s="37">
        <v>238.83500000000001</v>
      </c>
      <c r="G15" s="41">
        <f t="shared" si="1"/>
        <v>2.38835</v>
      </c>
      <c r="H15" s="17">
        <v>5.3</v>
      </c>
      <c r="I15" s="17">
        <v>25.94</v>
      </c>
      <c r="J15" s="17">
        <v>143.33000000000001</v>
      </c>
      <c r="K15" s="18">
        <v>1265.8254999999999</v>
      </c>
      <c r="L15" s="17">
        <v>6195.3799000000008</v>
      </c>
      <c r="M15" s="17">
        <v>34232.220550000013</v>
      </c>
      <c r="N15" s="18">
        <v>924.29145000000005</v>
      </c>
      <c r="O15" s="17">
        <v>6056.8555999999999</v>
      </c>
      <c r="P15" s="17">
        <v>13341.3231</v>
      </c>
      <c r="Q15" s="42">
        <f t="shared" si="2"/>
        <v>9.2429145000000013</v>
      </c>
      <c r="R15" s="43">
        <f t="shared" si="3"/>
        <v>60.568556000000001</v>
      </c>
      <c r="S15" s="44">
        <f t="shared" si="4"/>
        <v>133.413231</v>
      </c>
      <c r="T15" s="128">
        <f>(G15-G16)/G16</f>
        <v>-0.98596574215536492</v>
      </c>
      <c r="U15" s="129">
        <f>(Q15-Q16)/Q16</f>
        <v>-0.98596574215536492</v>
      </c>
      <c r="V15" s="129">
        <f>(R15-R16)/R16</f>
        <v>-0.98436253168102161</v>
      </c>
      <c r="W15" s="130">
        <f>(S15-S16)/S16</f>
        <v>-0.98442063507151589</v>
      </c>
    </row>
    <row r="16" spans="1:23" x14ac:dyDescent="0.25">
      <c r="A16" s="133"/>
      <c r="B16" s="45">
        <v>10000000</v>
      </c>
      <c r="C16" s="46">
        <f t="shared" si="0"/>
        <v>10</v>
      </c>
      <c r="D16" s="97"/>
      <c r="E16" s="6" t="s">
        <v>176</v>
      </c>
      <c r="F16" s="37">
        <v>17.018000000000001</v>
      </c>
      <c r="G16" s="41">
        <f t="shared" si="1"/>
        <v>170.18</v>
      </c>
      <c r="H16" s="17">
        <v>5.3</v>
      </c>
      <c r="I16" s="17">
        <v>23.34</v>
      </c>
      <c r="J16" s="17">
        <v>138.09</v>
      </c>
      <c r="K16" s="18">
        <v>90.195400000000006</v>
      </c>
      <c r="L16" s="17">
        <v>397.20012000000003</v>
      </c>
      <c r="M16" s="17">
        <v>2350.0156200000001</v>
      </c>
      <c r="N16" s="18">
        <v>65.859660000000005</v>
      </c>
      <c r="O16" s="17">
        <v>387.32968000000011</v>
      </c>
      <c r="P16" s="17">
        <v>856.34576000000004</v>
      </c>
      <c r="Q16" s="42">
        <f t="shared" si="2"/>
        <v>658.59660000000008</v>
      </c>
      <c r="R16" s="43">
        <f t="shared" si="3"/>
        <v>3873.296800000001</v>
      </c>
      <c r="S16" s="44">
        <f t="shared" si="4"/>
        <v>8563.4575999999997</v>
      </c>
      <c r="T16" s="98"/>
      <c r="U16" s="99"/>
      <c r="V16" s="99"/>
      <c r="W16" s="100"/>
    </row>
    <row r="17" spans="1:23" x14ac:dyDescent="0.25">
      <c r="A17" s="133"/>
      <c r="B17" s="45">
        <v>10000000000</v>
      </c>
      <c r="C17" s="46">
        <f t="shared" si="0"/>
        <v>0.01</v>
      </c>
      <c r="D17" s="97" t="s">
        <v>114</v>
      </c>
      <c r="E17" s="6" t="s">
        <v>175</v>
      </c>
      <c r="F17" s="37">
        <v>20.988</v>
      </c>
      <c r="G17" s="41">
        <f t="shared" si="1"/>
        <v>0.20988000000000001</v>
      </c>
      <c r="H17" s="17">
        <v>5.31</v>
      </c>
      <c r="I17" s="17">
        <v>23.56</v>
      </c>
      <c r="J17" s="17">
        <v>137.94999999999999</v>
      </c>
      <c r="K17" s="18">
        <v>111.44628</v>
      </c>
      <c r="L17" s="17">
        <v>494.47728000000001</v>
      </c>
      <c r="M17" s="17">
        <v>2895.2946000000002</v>
      </c>
      <c r="N17" s="18">
        <v>81.43343999999999</v>
      </c>
      <c r="O17" s="17">
        <v>482.30423999999999</v>
      </c>
      <c r="P17" s="17">
        <v>1059.47424</v>
      </c>
      <c r="Q17" s="42">
        <f t="shared" si="2"/>
        <v>0.8143343999999999</v>
      </c>
      <c r="R17" s="43">
        <f t="shared" si="3"/>
        <v>4.8230424000000003</v>
      </c>
      <c r="S17" s="44">
        <f t="shared" si="4"/>
        <v>10.594742399999999</v>
      </c>
      <c r="T17" s="128">
        <f>(G17-G18)/G18</f>
        <v>-0.99382160730055935</v>
      </c>
      <c r="U17" s="129">
        <f>(Q17-Q18)/Q18</f>
        <v>-0.99390021280564123</v>
      </c>
      <c r="V17" s="129">
        <f>(R17-R18)/R18</f>
        <v>-0.99268900802095028</v>
      </c>
      <c r="W17" s="130">
        <f>(S17-S18)/S18</f>
        <v>-0.99309988355159806</v>
      </c>
    </row>
    <row r="18" spans="1:23" x14ac:dyDescent="0.25">
      <c r="A18" s="133"/>
      <c r="B18" s="45">
        <v>10000000</v>
      </c>
      <c r="C18" s="46">
        <f t="shared" si="0"/>
        <v>10</v>
      </c>
      <c r="D18" s="97"/>
      <c r="E18" s="6" t="s">
        <v>176</v>
      </c>
      <c r="F18" s="37">
        <v>3.3969999999999998</v>
      </c>
      <c r="G18" s="41">
        <f t="shared" si="1"/>
        <v>33.97</v>
      </c>
      <c r="H18" s="17">
        <v>5.36</v>
      </c>
      <c r="I18" s="17">
        <v>20</v>
      </c>
      <c r="J18" s="17">
        <v>132.97</v>
      </c>
      <c r="K18" s="18">
        <v>18.207920000000001</v>
      </c>
      <c r="L18" s="17">
        <v>67.94</v>
      </c>
      <c r="M18" s="17">
        <v>451.69909000000001</v>
      </c>
      <c r="N18" s="18">
        <v>13.350210000000001</v>
      </c>
      <c r="O18" s="17">
        <v>65.969740000000002</v>
      </c>
      <c r="P18" s="17">
        <v>153.5444</v>
      </c>
      <c r="Q18" s="42">
        <f t="shared" si="2"/>
        <v>133.50210000000001</v>
      </c>
      <c r="R18" s="43">
        <f t="shared" si="3"/>
        <v>659.69740000000002</v>
      </c>
      <c r="S18" s="44">
        <f t="shared" si="4"/>
        <v>1535.444</v>
      </c>
      <c r="T18" s="98"/>
      <c r="U18" s="99"/>
      <c r="V18" s="99"/>
      <c r="W18" s="100"/>
    </row>
    <row r="19" spans="1:23" x14ac:dyDescent="0.25">
      <c r="A19" s="133" t="s">
        <v>159</v>
      </c>
      <c r="B19" s="45">
        <v>10000000000</v>
      </c>
      <c r="C19" s="46">
        <f t="shared" si="0"/>
        <v>0.01</v>
      </c>
      <c r="D19" s="97" t="s">
        <v>111</v>
      </c>
      <c r="E19" s="6" t="s">
        <v>175</v>
      </c>
      <c r="F19" s="37">
        <v>2.0939999999999999</v>
      </c>
      <c r="G19" s="41">
        <f t="shared" si="1"/>
        <v>2.094E-2</v>
      </c>
      <c r="H19" s="17">
        <v>5.32</v>
      </c>
      <c r="I19" s="17">
        <v>21.46</v>
      </c>
      <c r="J19" s="17">
        <v>140.21</v>
      </c>
      <c r="K19" s="18">
        <v>11.140079999999999</v>
      </c>
      <c r="L19" s="17">
        <v>44.937240000000003</v>
      </c>
      <c r="M19" s="17">
        <v>293.59974</v>
      </c>
      <c r="N19" s="18">
        <v>8.1456599999999995</v>
      </c>
      <c r="O19" s="17">
        <v>43.722720000000002</v>
      </c>
      <c r="P19" s="17">
        <v>104.46966</v>
      </c>
      <c r="Q19" s="42">
        <f t="shared" si="2"/>
        <v>8.145659999999999E-2</v>
      </c>
      <c r="R19" s="43">
        <f t="shared" si="3"/>
        <v>0.43722720000000004</v>
      </c>
      <c r="S19" s="44">
        <f t="shared" si="4"/>
        <v>1.0446966</v>
      </c>
      <c r="T19" s="128">
        <f>(G19-G20)/G20</f>
        <v>-0.99434054054054055</v>
      </c>
      <c r="U19" s="129">
        <f>(Q19-Q20)/Q20</f>
        <v>-0.99460409379968207</v>
      </c>
      <c r="V19" s="129">
        <f>(R19-R20)/R20</f>
        <v>-0.9945619183840998</v>
      </c>
      <c r="W19" s="130">
        <f>(S19-S20)/S20</f>
        <v>-0.99433486291267181</v>
      </c>
    </row>
    <row r="20" spans="1:23" x14ac:dyDescent="0.25">
      <c r="A20" s="133"/>
      <c r="B20" s="45">
        <v>100000000</v>
      </c>
      <c r="C20" s="46">
        <f t="shared" si="0"/>
        <v>1</v>
      </c>
      <c r="D20" s="97"/>
      <c r="E20" s="6" t="s">
        <v>176</v>
      </c>
      <c r="F20" s="37">
        <v>3.7</v>
      </c>
      <c r="G20" s="41">
        <f t="shared" si="1"/>
        <v>3.7</v>
      </c>
      <c r="H20" s="17">
        <v>7.93</v>
      </c>
      <c r="I20" s="17">
        <v>24.05</v>
      </c>
      <c r="J20" s="17">
        <v>144</v>
      </c>
      <c r="K20" s="18">
        <v>29.341000000000001</v>
      </c>
      <c r="L20" s="17">
        <v>88.985000000000014</v>
      </c>
      <c r="M20" s="17">
        <v>532.80000000000007</v>
      </c>
      <c r="N20" s="18">
        <v>15.096</v>
      </c>
      <c r="O20" s="17">
        <v>80.40100000000001</v>
      </c>
      <c r="P20" s="17">
        <v>184.40799999999999</v>
      </c>
      <c r="Q20" s="42">
        <f t="shared" si="2"/>
        <v>15.096</v>
      </c>
      <c r="R20" s="43">
        <f t="shared" si="3"/>
        <v>80.40100000000001</v>
      </c>
      <c r="S20" s="44">
        <f t="shared" si="4"/>
        <v>184.40799999999999</v>
      </c>
      <c r="T20" s="98"/>
      <c r="U20" s="99"/>
      <c r="V20" s="99"/>
      <c r="W20" s="100"/>
    </row>
    <row r="21" spans="1:23" x14ac:dyDescent="0.25">
      <c r="A21" s="133"/>
      <c r="B21" s="45">
        <v>10000000000</v>
      </c>
      <c r="C21" s="46">
        <f t="shared" si="0"/>
        <v>0.01</v>
      </c>
      <c r="D21" s="97" t="s">
        <v>114</v>
      </c>
      <c r="E21" s="6" t="s">
        <v>175</v>
      </c>
      <c r="F21" s="37">
        <v>2.0939999999999999</v>
      </c>
      <c r="G21" s="41">
        <f t="shared" si="1"/>
        <v>2.094E-2</v>
      </c>
      <c r="H21" s="17">
        <v>5.32</v>
      </c>
      <c r="I21" s="17">
        <v>21.43</v>
      </c>
      <c r="J21" s="17">
        <v>140.13999999999999</v>
      </c>
      <c r="K21" s="18">
        <v>11.140079999999999</v>
      </c>
      <c r="L21" s="17">
        <v>44.874419999999994</v>
      </c>
      <c r="M21" s="17">
        <v>293.45316000000003</v>
      </c>
      <c r="N21" s="18">
        <v>8.1456599999999995</v>
      </c>
      <c r="O21" s="17">
        <v>43.6599</v>
      </c>
      <c r="P21" s="17">
        <v>104.32308</v>
      </c>
      <c r="Q21" s="42">
        <f t="shared" si="2"/>
        <v>8.145659999999999E-2</v>
      </c>
      <c r="R21" s="43">
        <f t="shared" si="3"/>
        <v>0.43659900000000001</v>
      </c>
      <c r="S21" s="44">
        <f t="shared" si="4"/>
        <v>1.0432308000000001</v>
      </c>
      <c r="T21" s="128">
        <f>(G21-G22)/G22</f>
        <v>-0.99446909667194927</v>
      </c>
      <c r="U21" s="129">
        <f>(Q21-Q22)/Q22</f>
        <v>-0.99476515475763572</v>
      </c>
      <c r="V21" s="129">
        <f>(R21-R22)/R22</f>
        <v>-0.99463631002837871</v>
      </c>
      <c r="W21" s="130">
        <f>(S21-S22)/S22</f>
        <v>-0.99441528974861193</v>
      </c>
    </row>
    <row r="22" spans="1:23" x14ac:dyDescent="0.25">
      <c r="A22" s="133"/>
      <c r="B22" s="45">
        <v>100000000</v>
      </c>
      <c r="C22" s="46">
        <f t="shared" si="0"/>
        <v>1</v>
      </c>
      <c r="D22" s="97"/>
      <c r="E22" s="6" t="s">
        <v>176</v>
      </c>
      <c r="F22" s="37">
        <v>3.786</v>
      </c>
      <c r="G22" s="41">
        <f t="shared" si="1"/>
        <v>3.786</v>
      </c>
      <c r="H22" s="17">
        <v>7.96</v>
      </c>
      <c r="I22" s="17">
        <v>23.82</v>
      </c>
      <c r="J22" s="17">
        <v>143.5</v>
      </c>
      <c r="K22" s="18">
        <v>30.136559999999999</v>
      </c>
      <c r="L22" s="17">
        <v>90.182519999999997</v>
      </c>
      <c r="M22" s="17">
        <v>543.29100000000005</v>
      </c>
      <c r="N22" s="18">
        <v>15.560460000000001</v>
      </c>
      <c r="O22" s="17">
        <v>81.399000000000001</v>
      </c>
      <c r="P22" s="17">
        <v>186.80124000000001</v>
      </c>
      <c r="Q22" s="42">
        <f t="shared" si="2"/>
        <v>15.560460000000001</v>
      </c>
      <c r="R22" s="43">
        <f t="shared" si="3"/>
        <v>81.399000000000001</v>
      </c>
      <c r="S22" s="44">
        <f t="shared" si="4"/>
        <v>186.80124000000001</v>
      </c>
      <c r="T22" s="98"/>
      <c r="U22" s="99"/>
      <c r="V22" s="99"/>
      <c r="W22" s="100"/>
    </row>
    <row r="23" spans="1:23" x14ac:dyDescent="0.25">
      <c r="A23" s="133" t="s">
        <v>19</v>
      </c>
      <c r="B23" s="45">
        <v>100000000</v>
      </c>
      <c r="C23" s="46">
        <f t="shared" si="0"/>
        <v>1</v>
      </c>
      <c r="D23" s="97" t="s">
        <v>111</v>
      </c>
      <c r="E23" s="6" t="s">
        <v>175</v>
      </c>
      <c r="F23" s="37">
        <v>37.073</v>
      </c>
      <c r="G23" s="41">
        <f t="shared" si="1"/>
        <v>37.073</v>
      </c>
      <c r="H23" s="17">
        <v>5.3</v>
      </c>
      <c r="I23" s="17">
        <v>29.34</v>
      </c>
      <c r="J23" s="17">
        <v>153.56</v>
      </c>
      <c r="K23" s="18">
        <v>196.48689999999999</v>
      </c>
      <c r="L23" s="17">
        <v>1087.72182</v>
      </c>
      <c r="M23" s="17">
        <v>5692.9298800000006</v>
      </c>
      <c r="N23" s="18">
        <v>143.47251</v>
      </c>
      <c r="O23" s="17">
        <v>1066.21948</v>
      </c>
      <c r="P23" s="17">
        <v>2315.20885</v>
      </c>
      <c r="Q23" s="42">
        <f t="shared" si="2"/>
        <v>143.47251</v>
      </c>
      <c r="R23" s="43">
        <f t="shared" si="3"/>
        <v>1066.21948</v>
      </c>
      <c r="S23" s="44">
        <f t="shared" si="4"/>
        <v>2315.20885</v>
      </c>
      <c r="T23" s="128">
        <f>(G23-G24)/G24</f>
        <v>-0.58895011697397748</v>
      </c>
      <c r="U23" s="129">
        <f>(Q23-Q24)/Q24</f>
        <v>-0.58788522090396189</v>
      </c>
      <c r="V23" s="129">
        <f>(R23-R24)/R24</f>
        <v>-0.5540628202252581</v>
      </c>
      <c r="W23" s="130">
        <f>(S23-S24)/S24</f>
        <v>-0.5717373174011493</v>
      </c>
    </row>
    <row r="24" spans="1:23" x14ac:dyDescent="0.25">
      <c r="A24" s="133"/>
      <c r="B24" s="45">
        <v>100000000</v>
      </c>
      <c r="C24" s="46">
        <f t="shared" si="0"/>
        <v>1</v>
      </c>
      <c r="D24" s="97"/>
      <c r="E24" s="6" t="s">
        <v>176</v>
      </c>
      <c r="F24" s="37">
        <v>90.191000000000003</v>
      </c>
      <c r="G24" s="41">
        <f t="shared" si="1"/>
        <v>90.191000000000003</v>
      </c>
      <c r="H24" s="17">
        <v>5.29</v>
      </c>
      <c r="I24" s="17">
        <v>27.09</v>
      </c>
      <c r="J24" s="17">
        <v>148.47</v>
      </c>
      <c r="K24" s="18">
        <v>477.11039</v>
      </c>
      <c r="L24" s="17">
        <v>2443.2741900000001</v>
      </c>
      <c r="M24" s="17">
        <v>13390.65777</v>
      </c>
      <c r="N24" s="18">
        <v>348.13726000000003</v>
      </c>
      <c r="O24" s="17">
        <v>2390.9634099999998</v>
      </c>
      <c r="P24" s="17">
        <v>5406.0485399999998</v>
      </c>
      <c r="Q24" s="42">
        <f t="shared" si="2"/>
        <v>348.13726000000003</v>
      </c>
      <c r="R24" s="43">
        <f t="shared" si="3"/>
        <v>2390.9634099999998</v>
      </c>
      <c r="S24" s="44">
        <f t="shared" si="4"/>
        <v>5406.0485399999998</v>
      </c>
      <c r="T24" s="98"/>
      <c r="U24" s="99"/>
      <c r="V24" s="99"/>
      <c r="W24" s="100"/>
    </row>
    <row r="25" spans="1:23" x14ac:dyDescent="0.25">
      <c r="A25" s="133"/>
      <c r="B25" s="45">
        <v>10000000000</v>
      </c>
      <c r="C25" s="46">
        <f t="shared" si="0"/>
        <v>0.01</v>
      </c>
      <c r="D25" s="97" t="s">
        <v>114</v>
      </c>
      <c r="E25" s="6" t="s">
        <v>175</v>
      </c>
      <c r="F25" s="37">
        <v>2.1030000000000002</v>
      </c>
      <c r="G25" s="41">
        <f t="shared" si="1"/>
        <v>2.1030000000000004E-2</v>
      </c>
      <c r="H25" s="17">
        <v>5.36</v>
      </c>
      <c r="I25" s="17">
        <v>20.94</v>
      </c>
      <c r="J25" s="17">
        <v>137.58000000000001</v>
      </c>
      <c r="K25" s="18">
        <v>11.272080000000001</v>
      </c>
      <c r="L25" s="17">
        <v>44.036820000000013</v>
      </c>
      <c r="M25" s="17">
        <v>289.33073999999999</v>
      </c>
      <c r="N25" s="18">
        <v>8.2647900000000014</v>
      </c>
      <c r="O25" s="17">
        <v>42.817079999999997</v>
      </c>
      <c r="P25" s="17">
        <v>97.726410000000001</v>
      </c>
      <c r="Q25" s="42">
        <f t="shared" si="2"/>
        <v>8.264790000000001E-2</v>
      </c>
      <c r="R25" s="43">
        <f t="shared" si="3"/>
        <v>0.42817079999999996</v>
      </c>
      <c r="S25" s="44">
        <f t="shared" si="4"/>
        <v>0.97726410000000008</v>
      </c>
      <c r="T25" s="128">
        <f>(G25-G26)/G26</f>
        <v>-0.99461873080859775</v>
      </c>
      <c r="U25" s="129">
        <f>(Q25-Q26)/Q26</f>
        <v>-0.99459120513498445</v>
      </c>
      <c r="V25" s="129">
        <f>(R25-R26)/R26</f>
        <v>-0.99463454256919925</v>
      </c>
      <c r="W25" s="130">
        <f>(S25-S26)/S26</f>
        <v>-0.99463489424319962</v>
      </c>
    </row>
    <row r="26" spans="1:23" x14ac:dyDescent="0.25">
      <c r="A26" s="133"/>
      <c r="B26" s="45">
        <v>100000000</v>
      </c>
      <c r="C26" s="46">
        <f t="shared" si="0"/>
        <v>1</v>
      </c>
      <c r="D26" s="97"/>
      <c r="E26" s="6" t="s">
        <v>176</v>
      </c>
      <c r="F26" s="37">
        <v>3.9079999999999999</v>
      </c>
      <c r="G26" s="41">
        <f t="shared" si="1"/>
        <v>3.9079999999999999</v>
      </c>
      <c r="H26" s="17">
        <v>5.34</v>
      </c>
      <c r="I26" s="17">
        <v>21</v>
      </c>
      <c r="J26" s="17">
        <v>135.13999999999999</v>
      </c>
      <c r="K26" s="18">
        <v>20.86872</v>
      </c>
      <c r="L26" s="17">
        <v>82.067999999999998</v>
      </c>
      <c r="M26" s="17">
        <v>528.12711999999999</v>
      </c>
      <c r="N26" s="18">
        <v>15.280279999999999</v>
      </c>
      <c r="O26" s="17">
        <v>79.801360000000003</v>
      </c>
      <c r="P26" s="17">
        <v>182.15188000000001</v>
      </c>
      <c r="Q26" s="42">
        <f t="shared" si="2"/>
        <v>15.280279999999999</v>
      </c>
      <c r="R26" s="43">
        <f t="shared" si="3"/>
        <v>79.801360000000003</v>
      </c>
      <c r="S26" s="44">
        <f t="shared" si="4"/>
        <v>182.15188000000001</v>
      </c>
      <c r="T26" s="98"/>
      <c r="U26" s="99"/>
      <c r="V26" s="99"/>
      <c r="W26" s="100"/>
    </row>
    <row r="27" spans="1:23" x14ac:dyDescent="0.25">
      <c r="A27" s="133" t="s">
        <v>21</v>
      </c>
      <c r="B27" s="45">
        <v>10000000000</v>
      </c>
      <c r="C27" s="46">
        <f t="shared" si="0"/>
        <v>0.01</v>
      </c>
      <c r="D27" s="97" t="s">
        <v>111</v>
      </c>
      <c r="E27" s="6" t="s">
        <v>175</v>
      </c>
      <c r="F27" s="37">
        <v>21.390999999999998</v>
      </c>
      <c r="G27" s="41">
        <f t="shared" si="1"/>
        <v>0.21390999999999999</v>
      </c>
      <c r="H27" s="17">
        <v>5.29</v>
      </c>
      <c r="I27" s="17">
        <v>21.04</v>
      </c>
      <c r="J27" s="17">
        <v>132.51</v>
      </c>
      <c r="K27" s="18">
        <v>113.15839</v>
      </c>
      <c r="L27" s="17">
        <v>450.06663999999989</v>
      </c>
      <c r="M27" s="17">
        <v>2834.5214099999989</v>
      </c>
      <c r="N27" s="18">
        <v>82.569259999999986</v>
      </c>
      <c r="O27" s="17">
        <v>437.65985999999998</v>
      </c>
      <c r="P27" s="17">
        <v>926.01638999999989</v>
      </c>
      <c r="Q27" s="42">
        <f t="shared" si="2"/>
        <v>0.82569259999999989</v>
      </c>
      <c r="R27" s="43">
        <f t="shared" si="3"/>
        <v>4.3765986000000003</v>
      </c>
      <c r="S27" s="44">
        <f t="shared" si="4"/>
        <v>9.2601638999999984</v>
      </c>
      <c r="T27" s="128">
        <f>(G27-G28)/G28</f>
        <v>-0.98486878404187594</v>
      </c>
      <c r="U27" s="129">
        <f>(Q27-Q28)/Q28</f>
        <v>-0.98271997230817787</v>
      </c>
      <c r="V27" s="129">
        <f>(R27-R28)/R28</f>
        <v>-0.98902960033652654</v>
      </c>
      <c r="W27" s="130">
        <f>(S27-S28)/S28</f>
        <v>-0.98785406380813667</v>
      </c>
    </row>
    <row r="28" spans="1:23" x14ac:dyDescent="0.25">
      <c r="A28" s="133"/>
      <c r="B28" s="45">
        <v>100000000</v>
      </c>
      <c r="C28" s="46">
        <f t="shared" si="0"/>
        <v>1</v>
      </c>
      <c r="D28" s="97"/>
      <c r="E28" s="6" t="s">
        <v>176</v>
      </c>
      <c r="F28" s="37">
        <v>14.137</v>
      </c>
      <c r="G28" s="41">
        <f t="shared" si="1"/>
        <v>14.137</v>
      </c>
      <c r="H28" s="17">
        <v>4.3</v>
      </c>
      <c r="I28" s="17">
        <v>31.71</v>
      </c>
      <c r="J28" s="17">
        <v>146.94999999999999</v>
      </c>
      <c r="K28" s="18">
        <v>60.789099999999998</v>
      </c>
      <c r="L28" s="17">
        <v>448.28426999999999</v>
      </c>
      <c r="M28" s="17">
        <v>2077.4321500000001</v>
      </c>
      <c r="N28" s="18">
        <v>47.783059999999999</v>
      </c>
      <c r="O28" s="17">
        <v>398.94614000000001</v>
      </c>
      <c r="P28" s="17">
        <v>762.40841</v>
      </c>
      <c r="Q28" s="42">
        <f t="shared" si="2"/>
        <v>47.783059999999999</v>
      </c>
      <c r="R28" s="43">
        <f t="shared" si="3"/>
        <v>398.94614000000001</v>
      </c>
      <c r="S28" s="44">
        <f t="shared" si="4"/>
        <v>762.40841</v>
      </c>
      <c r="T28" s="98"/>
      <c r="U28" s="99"/>
      <c r="V28" s="99"/>
      <c r="W28" s="100"/>
    </row>
    <row r="29" spans="1:23" x14ac:dyDescent="0.25">
      <c r="A29" s="133"/>
      <c r="B29" s="45">
        <v>10000000000</v>
      </c>
      <c r="C29" s="46">
        <f t="shared" si="0"/>
        <v>0.01</v>
      </c>
      <c r="D29" s="97" t="s">
        <v>114</v>
      </c>
      <c r="E29" s="6" t="s">
        <v>175</v>
      </c>
      <c r="F29" s="37">
        <v>2.1030000000000002</v>
      </c>
      <c r="G29" s="41">
        <f t="shared" si="1"/>
        <v>2.1030000000000004E-2</v>
      </c>
      <c r="H29" s="17">
        <v>5.31</v>
      </c>
      <c r="I29" s="17">
        <v>21.35</v>
      </c>
      <c r="J29" s="17">
        <v>138.38999999999999</v>
      </c>
      <c r="K29" s="18">
        <v>11.166930000000001</v>
      </c>
      <c r="L29" s="17">
        <v>44.89905000000001</v>
      </c>
      <c r="M29" s="17">
        <v>291.03417000000002</v>
      </c>
      <c r="N29" s="18">
        <v>8.1596400000000013</v>
      </c>
      <c r="O29" s="17">
        <v>43.679310000000001</v>
      </c>
      <c r="P29" s="17">
        <v>103.38348000000001</v>
      </c>
      <c r="Q29" s="42">
        <f t="shared" si="2"/>
        <v>8.1596400000000013E-2</v>
      </c>
      <c r="R29" s="43">
        <f t="shared" si="3"/>
        <v>0.43679310000000005</v>
      </c>
      <c r="S29" s="44">
        <f t="shared" si="4"/>
        <v>1.0338348000000002</v>
      </c>
      <c r="T29" s="128">
        <f>(G29-G30)/G30</f>
        <v>-0.99779490405787985</v>
      </c>
      <c r="U29" s="129">
        <f>(Q29-Q30)/Q30</f>
        <v>-0.99742296016402832</v>
      </c>
      <c r="V29" s="129">
        <f>(R29-R30)/R30</f>
        <v>-0.99861254641872665</v>
      </c>
      <c r="W29" s="130">
        <f>(S29-S30)/S30</f>
        <v>-0.99808442275111098</v>
      </c>
    </row>
    <row r="30" spans="1:23" x14ac:dyDescent="0.25">
      <c r="A30" s="133"/>
      <c r="B30" s="45">
        <v>100000000</v>
      </c>
      <c r="C30" s="46">
        <f t="shared" si="0"/>
        <v>1</v>
      </c>
      <c r="D30" s="97"/>
      <c r="E30" s="6" t="s">
        <v>176</v>
      </c>
      <c r="F30" s="37">
        <v>9.5370000000000008</v>
      </c>
      <c r="G30" s="41">
        <f t="shared" si="1"/>
        <v>9.5370000000000008</v>
      </c>
      <c r="H30" s="17">
        <v>4.24</v>
      </c>
      <c r="I30" s="17">
        <v>36.5</v>
      </c>
      <c r="J30" s="17">
        <v>149.61000000000001</v>
      </c>
      <c r="K30" s="18">
        <v>40.436880000000002</v>
      </c>
      <c r="L30" s="17">
        <v>348.10050000000001</v>
      </c>
      <c r="M30" s="17">
        <v>1426.8305700000001</v>
      </c>
      <c r="N30" s="18">
        <v>31.662839999999999</v>
      </c>
      <c r="O30" s="17">
        <v>314.81637000000001</v>
      </c>
      <c r="P30" s="17">
        <v>539.69883000000004</v>
      </c>
      <c r="Q30" s="42">
        <f t="shared" si="2"/>
        <v>31.662839999999999</v>
      </c>
      <c r="R30" s="43">
        <f t="shared" si="3"/>
        <v>314.81637000000001</v>
      </c>
      <c r="S30" s="44">
        <f t="shared" si="4"/>
        <v>539.69883000000004</v>
      </c>
      <c r="T30" s="98"/>
      <c r="U30" s="99"/>
      <c r="V30" s="99"/>
      <c r="W30" s="100"/>
    </row>
    <row r="31" spans="1:23" x14ac:dyDescent="0.25">
      <c r="A31" s="133" t="s">
        <v>23</v>
      </c>
      <c r="B31" s="45">
        <v>10000000000</v>
      </c>
      <c r="C31" s="46">
        <f t="shared" si="0"/>
        <v>0.01</v>
      </c>
      <c r="D31" s="97" t="s">
        <v>111</v>
      </c>
      <c r="E31" s="6" t="s">
        <v>175</v>
      </c>
      <c r="F31" s="37">
        <v>2.0939999999999999</v>
      </c>
      <c r="G31" s="41">
        <f t="shared" si="1"/>
        <v>2.094E-2</v>
      </c>
      <c r="H31" s="17">
        <v>5.33</v>
      </c>
      <c r="I31" s="17">
        <v>21.07</v>
      </c>
      <c r="J31" s="17">
        <v>138.04</v>
      </c>
      <c r="K31" s="18">
        <v>11.161020000000001</v>
      </c>
      <c r="L31" s="17">
        <v>44.120579999999997</v>
      </c>
      <c r="M31" s="17">
        <v>289.05576000000002</v>
      </c>
      <c r="N31" s="18">
        <v>7.1195999999999993</v>
      </c>
      <c r="O31" s="17">
        <v>42.906059999999997</v>
      </c>
      <c r="P31" s="17">
        <v>96.700919999999996</v>
      </c>
      <c r="Q31" s="42">
        <f t="shared" si="2"/>
        <v>7.1195999999999995E-2</v>
      </c>
      <c r="R31" s="43">
        <f t="shared" si="3"/>
        <v>0.42906059999999996</v>
      </c>
      <c r="S31" s="44">
        <f t="shared" si="4"/>
        <v>0.96700920000000001</v>
      </c>
      <c r="T31" s="128">
        <f>(G31-G32)/G32</f>
        <v>-0.99847742310768561</v>
      </c>
      <c r="U31" s="129">
        <f>(Q31-Q32)/Q32</f>
        <v>-0.99866921299900535</v>
      </c>
      <c r="V31" s="129">
        <f>(R31-R32)/R32</f>
        <v>-0.99842277044876016</v>
      </c>
      <c r="W31" s="130">
        <f>(S31-S32)/S32</f>
        <v>-0.99835794953556567</v>
      </c>
    </row>
    <row r="32" spans="1:23" x14ac:dyDescent="0.25">
      <c r="A32" s="133"/>
      <c r="B32" s="45">
        <v>100000000</v>
      </c>
      <c r="C32" s="46">
        <f t="shared" si="0"/>
        <v>1</v>
      </c>
      <c r="D32" s="97"/>
      <c r="E32" s="6" t="s">
        <v>176</v>
      </c>
      <c r="F32" s="37">
        <v>13.753</v>
      </c>
      <c r="G32" s="41">
        <f t="shared" si="1"/>
        <v>13.753</v>
      </c>
      <c r="H32" s="17">
        <v>5.32</v>
      </c>
      <c r="I32" s="17">
        <v>20.36</v>
      </c>
      <c r="J32" s="17">
        <v>131.41999999999999</v>
      </c>
      <c r="K32" s="18">
        <v>73.165959999999998</v>
      </c>
      <c r="L32" s="17">
        <v>280.01107999999999</v>
      </c>
      <c r="M32" s="17">
        <v>1807.4192599999999</v>
      </c>
      <c r="N32" s="18">
        <v>53.499169999999999</v>
      </c>
      <c r="O32" s="17">
        <v>272.03433999999999</v>
      </c>
      <c r="P32" s="17">
        <v>588.90346</v>
      </c>
      <c r="Q32" s="42">
        <f t="shared" si="2"/>
        <v>53.499169999999999</v>
      </c>
      <c r="R32" s="43">
        <f t="shared" si="3"/>
        <v>272.03433999999999</v>
      </c>
      <c r="S32" s="44">
        <f t="shared" si="4"/>
        <v>588.90346</v>
      </c>
      <c r="T32" s="98"/>
      <c r="U32" s="99"/>
      <c r="V32" s="99"/>
      <c r="W32" s="100"/>
    </row>
    <row r="33" spans="1:23" x14ac:dyDescent="0.25">
      <c r="A33" s="133"/>
      <c r="B33" s="45">
        <v>10000000000</v>
      </c>
      <c r="C33" s="46">
        <f t="shared" si="0"/>
        <v>0.01</v>
      </c>
      <c r="D33" s="97" t="s">
        <v>114</v>
      </c>
      <c r="E33" s="6" t="s">
        <v>175</v>
      </c>
      <c r="F33" s="37">
        <v>2.0939999999999999</v>
      </c>
      <c r="G33" s="41">
        <f t="shared" si="1"/>
        <v>2.094E-2</v>
      </c>
      <c r="H33" s="17">
        <v>5.34</v>
      </c>
      <c r="I33" s="17">
        <v>21.08</v>
      </c>
      <c r="J33" s="17">
        <v>138.22999999999999</v>
      </c>
      <c r="K33" s="18">
        <v>11.18196</v>
      </c>
      <c r="L33" s="17">
        <v>44.141519999999993</v>
      </c>
      <c r="M33" s="17">
        <v>289.45361999999989</v>
      </c>
      <c r="N33" s="18">
        <v>7.1405399999999997</v>
      </c>
      <c r="O33" s="17">
        <v>42.927</v>
      </c>
      <c r="P33" s="17">
        <v>97.119720000000001</v>
      </c>
      <c r="Q33" s="42">
        <f t="shared" si="2"/>
        <v>7.1405399999999994E-2</v>
      </c>
      <c r="R33" s="43">
        <f t="shared" si="3"/>
        <v>0.42926999999999998</v>
      </c>
      <c r="S33" s="44">
        <f t="shared" si="4"/>
        <v>0.97119719999999998</v>
      </c>
      <c r="T33" s="128">
        <f>(G33-G34)/G34</f>
        <v>-0.997648776105996</v>
      </c>
      <c r="U33" s="129">
        <f>(Q33-Q34)/Q34</f>
        <v>-0.99793890141939479</v>
      </c>
      <c r="V33" s="129">
        <f>(R33-R34)/R34</f>
        <v>-0.99753578272867671</v>
      </c>
      <c r="W33" s="130">
        <f>(S33-S34)/S34</f>
        <v>-0.99743954533449386</v>
      </c>
    </row>
    <row r="34" spans="1:23" x14ac:dyDescent="0.25">
      <c r="A34" s="133"/>
      <c r="B34" s="45">
        <v>100000000</v>
      </c>
      <c r="C34" s="46">
        <f t="shared" si="0"/>
        <v>1</v>
      </c>
      <c r="D34" s="97"/>
      <c r="E34" s="6" t="s">
        <v>176</v>
      </c>
      <c r="F34" s="37">
        <v>8.9060000000000006</v>
      </c>
      <c r="G34" s="41">
        <f t="shared" si="1"/>
        <v>8.9060000000000006</v>
      </c>
      <c r="H34" s="17">
        <v>5.32</v>
      </c>
      <c r="I34" s="17">
        <v>20.14</v>
      </c>
      <c r="J34" s="17">
        <v>131.19</v>
      </c>
      <c r="K34" s="18">
        <v>47.379920000000013</v>
      </c>
      <c r="L34" s="17">
        <v>179.36684</v>
      </c>
      <c r="M34" s="17">
        <v>1168.37814</v>
      </c>
      <c r="N34" s="18">
        <v>34.644340000000007</v>
      </c>
      <c r="O34" s="17">
        <v>174.20135999999999</v>
      </c>
      <c r="P34" s="17">
        <v>379.30653999999998</v>
      </c>
      <c r="Q34" s="42">
        <f t="shared" si="2"/>
        <v>34.644340000000007</v>
      </c>
      <c r="R34" s="43">
        <f t="shared" si="3"/>
        <v>174.20135999999999</v>
      </c>
      <c r="S34" s="44">
        <f t="shared" si="4"/>
        <v>379.30653999999998</v>
      </c>
      <c r="T34" s="98"/>
      <c r="U34" s="99"/>
      <c r="V34" s="99"/>
      <c r="W34" s="100"/>
    </row>
    <row r="35" spans="1:23" x14ac:dyDescent="0.25">
      <c r="A35" s="133" t="s">
        <v>25</v>
      </c>
      <c r="B35" s="45">
        <v>10000000000</v>
      </c>
      <c r="C35" s="46">
        <f t="shared" si="0"/>
        <v>0.01</v>
      </c>
      <c r="D35" s="97" t="s">
        <v>111</v>
      </c>
      <c r="E35" s="6" t="s">
        <v>175</v>
      </c>
      <c r="F35" s="37">
        <v>10.996</v>
      </c>
      <c r="G35" s="41">
        <f t="shared" si="1"/>
        <v>0.10996</v>
      </c>
      <c r="H35" s="17">
        <v>5.3</v>
      </c>
      <c r="I35" s="17">
        <v>21.4</v>
      </c>
      <c r="J35" s="17">
        <v>133.66</v>
      </c>
      <c r="K35" s="18">
        <v>58.278799999999997</v>
      </c>
      <c r="L35" s="17">
        <v>235.31440000000001</v>
      </c>
      <c r="M35" s="17">
        <v>1469.7253599999999</v>
      </c>
      <c r="N35" s="18">
        <v>39.805520000000001</v>
      </c>
      <c r="O35" s="17">
        <v>228.93672000000001</v>
      </c>
      <c r="P35" s="17">
        <v>504.27656000000002</v>
      </c>
      <c r="Q35" s="42">
        <f t="shared" si="2"/>
        <v>0.3980552</v>
      </c>
      <c r="R35" s="43">
        <f t="shared" si="3"/>
        <v>2.2893672</v>
      </c>
      <c r="S35" s="44">
        <f t="shared" si="4"/>
        <v>5.0427656000000001</v>
      </c>
      <c r="T35" s="128">
        <f>(G35-G36)/G36</f>
        <v>-0.99953196560824042</v>
      </c>
      <c r="U35" s="129">
        <f>(Q35-Q36)/Q36</f>
        <v>-0.99958876589850243</v>
      </c>
      <c r="V35" s="129">
        <f>(R35-R36)/R36</f>
        <v>-0.99953575626315228</v>
      </c>
      <c r="W35" s="130">
        <f>(S35-S36)/S36</f>
        <v>-0.99950337674210799</v>
      </c>
    </row>
    <row r="36" spans="1:23" x14ac:dyDescent="0.25">
      <c r="A36" s="133"/>
      <c r="B36" s="45">
        <v>10000000</v>
      </c>
      <c r="C36" s="46">
        <f t="shared" si="0"/>
        <v>10</v>
      </c>
      <c r="D36" s="97"/>
      <c r="E36" s="6" t="s">
        <v>176</v>
      </c>
      <c r="F36" s="37">
        <v>23.494</v>
      </c>
      <c r="G36" s="41">
        <f t="shared" si="1"/>
        <v>234.94</v>
      </c>
      <c r="H36" s="17">
        <v>5.29</v>
      </c>
      <c r="I36" s="17">
        <v>21.57</v>
      </c>
      <c r="J36" s="17">
        <v>133.66</v>
      </c>
      <c r="K36" s="18">
        <v>124.28326</v>
      </c>
      <c r="L36" s="17">
        <v>506.76558</v>
      </c>
      <c r="M36" s="17">
        <v>3140.20804</v>
      </c>
      <c r="N36" s="18">
        <v>96.795280000000005</v>
      </c>
      <c r="O36" s="17">
        <v>493.13905999999997</v>
      </c>
      <c r="P36" s="17">
        <v>1015.41068</v>
      </c>
      <c r="Q36" s="42">
        <f t="shared" si="2"/>
        <v>967.95280000000002</v>
      </c>
      <c r="R36" s="43">
        <f t="shared" si="3"/>
        <v>4931.3905999999997</v>
      </c>
      <c r="S36" s="44">
        <f t="shared" si="4"/>
        <v>10154.1068</v>
      </c>
      <c r="T36" s="98"/>
      <c r="U36" s="99"/>
      <c r="V36" s="99"/>
      <c r="W36" s="100"/>
    </row>
    <row r="37" spans="1:23" x14ac:dyDescent="0.25">
      <c r="A37" s="133"/>
      <c r="B37" s="45">
        <v>10000000000</v>
      </c>
      <c r="C37" s="46">
        <f t="shared" si="0"/>
        <v>0.01</v>
      </c>
      <c r="D37" s="97" t="s">
        <v>114</v>
      </c>
      <c r="E37" s="6" t="s">
        <v>175</v>
      </c>
      <c r="F37" s="37">
        <v>2.6179999999999999</v>
      </c>
      <c r="G37" s="41">
        <f t="shared" si="1"/>
        <v>2.6179999999999998E-2</v>
      </c>
      <c r="H37" s="17">
        <v>5.32</v>
      </c>
      <c r="I37" s="17">
        <v>22.11</v>
      </c>
      <c r="J37" s="17">
        <v>138.44</v>
      </c>
      <c r="K37" s="18">
        <v>13.927759999999999</v>
      </c>
      <c r="L37" s="17">
        <v>57.883979999999987</v>
      </c>
      <c r="M37" s="17">
        <v>362.43592000000001</v>
      </c>
      <c r="N37" s="18">
        <v>9.5295199999999998</v>
      </c>
      <c r="O37" s="17">
        <v>56.365540000000003</v>
      </c>
      <c r="P37" s="17">
        <v>132.54934</v>
      </c>
      <c r="Q37" s="42">
        <f t="shared" si="2"/>
        <v>9.5295199999999997E-2</v>
      </c>
      <c r="R37" s="43">
        <f t="shared" si="3"/>
        <v>0.56365540000000003</v>
      </c>
      <c r="S37" s="44">
        <f t="shared" si="4"/>
        <v>1.3254934</v>
      </c>
      <c r="T37" s="128">
        <f>(G37-G38)/G38</f>
        <v>-0.99988020499679686</v>
      </c>
      <c r="U37" s="129">
        <f>(Q37-Q38)/Q38</f>
        <v>-0.99989416169619927</v>
      </c>
      <c r="V37" s="129">
        <f>(R37-R38)/R38</f>
        <v>-0.99987653487702421</v>
      </c>
      <c r="W37" s="130">
        <f>(S37-S38)/S38</f>
        <v>-0.99986321107324827</v>
      </c>
    </row>
    <row r="38" spans="1:23" x14ac:dyDescent="0.25">
      <c r="A38" s="133"/>
      <c r="B38" s="45">
        <v>10000000</v>
      </c>
      <c r="C38" s="46">
        <f t="shared" si="0"/>
        <v>10</v>
      </c>
      <c r="D38" s="97"/>
      <c r="E38" s="6" t="s">
        <v>176</v>
      </c>
      <c r="F38" s="37">
        <v>21.853999999999999</v>
      </c>
      <c r="G38" s="41">
        <f t="shared" si="1"/>
        <v>218.54</v>
      </c>
      <c r="H38" s="17">
        <v>5.29</v>
      </c>
      <c r="I38" s="17">
        <v>21.47</v>
      </c>
      <c r="J38" s="17">
        <v>134.78</v>
      </c>
      <c r="K38" s="18">
        <v>115.60766</v>
      </c>
      <c r="L38" s="17">
        <v>469.20537999999988</v>
      </c>
      <c r="M38" s="17">
        <v>2945.4821200000001</v>
      </c>
      <c r="N38" s="18">
        <v>90.038479999999993</v>
      </c>
      <c r="O38" s="17">
        <v>456.53005999999999</v>
      </c>
      <c r="P38" s="17">
        <v>969.00636000000009</v>
      </c>
      <c r="Q38" s="42">
        <f t="shared" si="2"/>
        <v>900.38479999999993</v>
      </c>
      <c r="R38" s="43">
        <f t="shared" si="3"/>
        <v>4565.3005999999996</v>
      </c>
      <c r="S38" s="44">
        <f t="shared" si="4"/>
        <v>9690.0636000000013</v>
      </c>
      <c r="T38" s="98"/>
      <c r="U38" s="99"/>
      <c r="V38" s="99"/>
      <c r="W38" s="100"/>
    </row>
    <row r="39" spans="1:23" x14ac:dyDescent="0.25">
      <c r="A39" s="133" t="s">
        <v>31</v>
      </c>
      <c r="B39" s="45">
        <v>10000000000</v>
      </c>
      <c r="C39" s="46">
        <f t="shared" si="0"/>
        <v>0.01</v>
      </c>
      <c r="D39" s="97" t="s">
        <v>111</v>
      </c>
      <c r="E39" s="6" t="s">
        <v>175</v>
      </c>
      <c r="F39" s="37">
        <v>1.571</v>
      </c>
      <c r="G39" s="41">
        <f t="shared" si="1"/>
        <v>1.5709999999999998E-2</v>
      </c>
      <c r="H39" s="17">
        <v>5.33</v>
      </c>
      <c r="I39" s="17">
        <v>19.12</v>
      </c>
      <c r="J39" s="17">
        <v>136.19</v>
      </c>
      <c r="K39" s="18">
        <v>8.373429999999999</v>
      </c>
      <c r="L39" s="17">
        <v>30.037520000000001</v>
      </c>
      <c r="M39" s="17">
        <v>213.95448999999999</v>
      </c>
      <c r="N39" s="18">
        <v>5.3413999999999993</v>
      </c>
      <c r="O39" s="17">
        <v>29.126339999999999</v>
      </c>
      <c r="P39" s="17">
        <v>72.234579999999994</v>
      </c>
      <c r="Q39" s="42">
        <f t="shared" si="2"/>
        <v>5.3413999999999996E-2</v>
      </c>
      <c r="R39" s="43">
        <f t="shared" si="3"/>
        <v>0.29126340000000001</v>
      </c>
      <c r="S39" s="44">
        <f t="shared" si="4"/>
        <v>0.72234579999999993</v>
      </c>
      <c r="T39" s="128">
        <f>(G39-G40)/G40</f>
        <v>-0.99793044394677899</v>
      </c>
      <c r="U39" s="129">
        <f>(Q39-Q40)/Q40</f>
        <v>-0.99817707497902819</v>
      </c>
      <c r="V39" s="129">
        <f>(R39-R40)/R40</f>
        <v>-0.99808056181957405</v>
      </c>
      <c r="W39" s="130">
        <f>(S39-S40)/S40</f>
        <v>-0.99780792012607455</v>
      </c>
    </row>
    <row r="40" spans="1:23" x14ac:dyDescent="0.25">
      <c r="A40" s="133"/>
      <c r="B40" s="45">
        <v>100000000</v>
      </c>
      <c r="C40" s="46">
        <f t="shared" si="0"/>
        <v>1</v>
      </c>
      <c r="D40" s="97"/>
      <c r="E40" s="6" t="s">
        <v>176</v>
      </c>
      <c r="F40" s="37">
        <v>7.5910000000000002</v>
      </c>
      <c r="G40" s="41">
        <f t="shared" si="1"/>
        <v>7.5910000000000002</v>
      </c>
      <c r="H40" s="17">
        <v>5.29</v>
      </c>
      <c r="I40" s="17">
        <v>20.57</v>
      </c>
      <c r="J40" s="17">
        <v>132.16</v>
      </c>
      <c r="K40" s="18">
        <v>40.156390000000002</v>
      </c>
      <c r="L40" s="17">
        <v>156.14687000000001</v>
      </c>
      <c r="M40" s="17">
        <v>1003.2265599999999</v>
      </c>
      <c r="N40" s="18">
        <v>29.301259999999999</v>
      </c>
      <c r="O40" s="17">
        <v>151.74409</v>
      </c>
      <c r="P40" s="17">
        <v>329.52530999999999</v>
      </c>
      <c r="Q40" s="42">
        <f t="shared" si="2"/>
        <v>29.301259999999999</v>
      </c>
      <c r="R40" s="43">
        <f t="shared" si="3"/>
        <v>151.74409</v>
      </c>
      <c r="S40" s="44">
        <f t="shared" si="4"/>
        <v>329.52530999999999</v>
      </c>
      <c r="T40" s="98"/>
      <c r="U40" s="99"/>
      <c r="V40" s="99"/>
      <c r="W40" s="100"/>
    </row>
    <row r="41" spans="1:23" x14ac:dyDescent="0.25">
      <c r="A41" s="133"/>
      <c r="B41" s="45">
        <v>10000000000</v>
      </c>
      <c r="C41" s="46">
        <f t="shared" si="0"/>
        <v>0.01</v>
      </c>
      <c r="D41" s="97" t="s">
        <v>114</v>
      </c>
      <c r="E41" s="6" t="s">
        <v>175</v>
      </c>
      <c r="F41" s="37">
        <v>2.0950000000000002</v>
      </c>
      <c r="G41" s="41">
        <f t="shared" si="1"/>
        <v>2.0950000000000003E-2</v>
      </c>
      <c r="H41" s="17">
        <v>5.32</v>
      </c>
      <c r="I41" s="17">
        <v>20.86</v>
      </c>
      <c r="J41" s="17">
        <v>138.63</v>
      </c>
      <c r="K41" s="18">
        <v>11.1454</v>
      </c>
      <c r="L41" s="17">
        <v>43.701700000000002</v>
      </c>
      <c r="M41" s="17">
        <v>290.42984999999999</v>
      </c>
      <c r="N41" s="18">
        <v>7.1020500000000011</v>
      </c>
      <c r="O41" s="17">
        <v>42.486600000000003</v>
      </c>
      <c r="P41" s="17">
        <v>101.46084999999999</v>
      </c>
      <c r="Q41" s="42">
        <f t="shared" si="2"/>
        <v>7.1020500000000014E-2</v>
      </c>
      <c r="R41" s="43">
        <f t="shared" si="3"/>
        <v>0.42486600000000002</v>
      </c>
      <c r="S41" s="44">
        <f t="shared" si="4"/>
        <v>1.0146085</v>
      </c>
      <c r="T41" s="128">
        <f>(G41-G42)/G42</f>
        <v>-0.99767944173681888</v>
      </c>
      <c r="U41" s="129">
        <f>(Q41-Q42)/Q42</f>
        <v>-0.9979672629167482</v>
      </c>
      <c r="V41" s="129">
        <f>(R41-R42)/R42</f>
        <v>-0.99760015698228888</v>
      </c>
      <c r="W41" s="130">
        <f>(S41-S42)/S42</f>
        <v>-0.99741049224226108</v>
      </c>
    </row>
    <row r="42" spans="1:23" x14ac:dyDescent="0.25">
      <c r="A42" s="133"/>
      <c r="B42" s="45">
        <v>100000000</v>
      </c>
      <c r="C42" s="46">
        <f t="shared" si="0"/>
        <v>1</v>
      </c>
      <c r="D42" s="97"/>
      <c r="E42" s="6" t="s">
        <v>176</v>
      </c>
      <c r="F42" s="37">
        <v>9.0280000000000005</v>
      </c>
      <c r="G42" s="41">
        <f t="shared" si="1"/>
        <v>9.0280000000000005</v>
      </c>
      <c r="H42" s="17">
        <v>5.3</v>
      </c>
      <c r="I42" s="17">
        <v>20.190000000000001</v>
      </c>
      <c r="J42" s="17">
        <v>132.16</v>
      </c>
      <c r="K42" s="18">
        <v>47.848399999999998</v>
      </c>
      <c r="L42" s="17">
        <v>182.27531999999999</v>
      </c>
      <c r="M42" s="17">
        <v>1193.14048</v>
      </c>
      <c r="N42" s="18">
        <v>34.938360000000003</v>
      </c>
      <c r="O42" s="17">
        <v>177.03908000000001</v>
      </c>
      <c r="P42" s="17">
        <v>391.8152</v>
      </c>
      <c r="Q42" s="42">
        <f t="shared" si="2"/>
        <v>34.938360000000003</v>
      </c>
      <c r="R42" s="43">
        <f t="shared" si="3"/>
        <v>177.03908000000001</v>
      </c>
      <c r="S42" s="44">
        <f t="shared" si="4"/>
        <v>391.8152</v>
      </c>
      <c r="T42" s="98"/>
      <c r="U42" s="99"/>
      <c r="V42" s="99"/>
      <c r="W42" s="100"/>
    </row>
    <row r="43" spans="1:23" x14ac:dyDescent="0.25">
      <c r="A43" s="133" t="s">
        <v>33</v>
      </c>
      <c r="B43" s="45">
        <v>10000000000</v>
      </c>
      <c r="C43" s="46">
        <f t="shared" si="0"/>
        <v>0.01</v>
      </c>
      <c r="D43" s="97" t="s">
        <v>111</v>
      </c>
      <c r="E43" s="6" t="s">
        <v>175</v>
      </c>
      <c r="F43" s="37">
        <v>2.0950000000000002</v>
      </c>
      <c r="G43" s="41">
        <f t="shared" si="1"/>
        <v>2.0950000000000003E-2</v>
      </c>
      <c r="H43" s="17">
        <v>5.29</v>
      </c>
      <c r="I43" s="17">
        <v>20.92</v>
      </c>
      <c r="J43" s="17">
        <v>137.5</v>
      </c>
      <c r="K43" s="18">
        <v>11.082549999999999</v>
      </c>
      <c r="L43" s="17">
        <v>43.827399999999997</v>
      </c>
      <c r="M43" s="17">
        <v>288.0625</v>
      </c>
      <c r="N43" s="18">
        <v>7.5629500000000007</v>
      </c>
      <c r="O43" s="17">
        <v>42.612299999999998</v>
      </c>
      <c r="P43" s="17">
        <v>97.187050000000013</v>
      </c>
      <c r="Q43" s="42">
        <f t="shared" si="2"/>
        <v>7.5629500000000002E-2</v>
      </c>
      <c r="R43" s="43">
        <f t="shared" si="3"/>
        <v>0.42612299999999997</v>
      </c>
      <c r="S43" s="44">
        <f t="shared" si="4"/>
        <v>0.97187050000000019</v>
      </c>
      <c r="T43" s="128">
        <f>(G43-G44)/G44</f>
        <v>-0.99775214592274686</v>
      </c>
      <c r="U43" s="129">
        <f>(Q43-Q44)/Q44</f>
        <v>-0.997892271891199</v>
      </c>
      <c r="V43" s="129">
        <f>(R43-R44)/R44</f>
        <v>-0.99766489520268997</v>
      </c>
      <c r="W43" s="130">
        <f>(S43-S44)/S44</f>
        <v>-0.9975452459829619</v>
      </c>
    </row>
    <row r="44" spans="1:23" x14ac:dyDescent="0.25">
      <c r="A44" s="133"/>
      <c r="B44" s="45">
        <v>100000000</v>
      </c>
      <c r="C44" s="46">
        <f t="shared" si="0"/>
        <v>1</v>
      </c>
      <c r="D44" s="97"/>
      <c r="E44" s="6" t="s">
        <v>176</v>
      </c>
      <c r="F44" s="37">
        <v>9.32</v>
      </c>
      <c r="G44" s="41">
        <f t="shared" si="1"/>
        <v>9.32</v>
      </c>
      <c r="H44" s="17">
        <v>5.28</v>
      </c>
      <c r="I44" s="17">
        <v>20.16</v>
      </c>
      <c r="J44" s="17">
        <v>130.83000000000001</v>
      </c>
      <c r="K44" s="18">
        <v>49.209600000000002</v>
      </c>
      <c r="L44" s="17">
        <v>187.8912</v>
      </c>
      <c r="M44" s="17">
        <v>1219.3356000000001</v>
      </c>
      <c r="N44" s="18">
        <v>35.882000000000012</v>
      </c>
      <c r="O44" s="17">
        <v>182.48560000000001</v>
      </c>
      <c r="P44" s="17">
        <v>395.91359999999997</v>
      </c>
      <c r="Q44" s="42">
        <f t="shared" si="2"/>
        <v>35.882000000000012</v>
      </c>
      <c r="R44" s="43">
        <f t="shared" si="3"/>
        <v>182.48560000000001</v>
      </c>
      <c r="S44" s="44">
        <f t="shared" si="4"/>
        <v>395.91359999999997</v>
      </c>
      <c r="T44" s="98"/>
      <c r="U44" s="99"/>
      <c r="V44" s="99"/>
      <c r="W44" s="100"/>
    </row>
    <row r="45" spans="1:23" x14ac:dyDescent="0.25">
      <c r="A45" s="133"/>
      <c r="B45" s="45">
        <v>10000000000</v>
      </c>
      <c r="C45" s="46">
        <f t="shared" si="0"/>
        <v>0.01</v>
      </c>
      <c r="D45" s="97" t="s">
        <v>114</v>
      </c>
      <c r="E45" s="6" t="s">
        <v>175</v>
      </c>
      <c r="F45" s="37">
        <v>2.0939999999999999</v>
      </c>
      <c r="G45" s="41">
        <f t="shared" si="1"/>
        <v>2.094E-2</v>
      </c>
      <c r="H45" s="17">
        <v>5.3</v>
      </c>
      <c r="I45" s="17">
        <v>20.98</v>
      </c>
      <c r="J45" s="17">
        <v>137.30000000000001</v>
      </c>
      <c r="K45" s="18">
        <v>11.0982</v>
      </c>
      <c r="L45" s="17">
        <v>43.932119999999998</v>
      </c>
      <c r="M45" s="17">
        <v>287.50619999999998</v>
      </c>
      <c r="N45" s="18">
        <v>7.5802800000000001</v>
      </c>
      <c r="O45" s="17">
        <v>42.717599999999997</v>
      </c>
      <c r="P45" s="17">
        <v>96.721859999999992</v>
      </c>
      <c r="Q45" s="42">
        <f t="shared" si="2"/>
        <v>7.5802800000000004E-2</v>
      </c>
      <c r="R45" s="43">
        <f t="shared" si="3"/>
        <v>0.427176</v>
      </c>
      <c r="S45" s="44">
        <f t="shared" si="4"/>
        <v>0.96721859999999993</v>
      </c>
      <c r="T45" s="128">
        <f>(G45-G46)/G46</f>
        <v>-0.99762665759945601</v>
      </c>
      <c r="U45" s="129">
        <f>(Q45-Q46)/Q46</f>
        <v>-0.9977742229300598</v>
      </c>
      <c r="V45" s="129">
        <f>(R45-R46)/R46</f>
        <v>-0.99752220138326009</v>
      </c>
      <c r="W45" s="130">
        <f>(S45-S46)/S46</f>
        <v>-0.99741755746805338</v>
      </c>
    </row>
    <row r="46" spans="1:23" x14ac:dyDescent="0.25">
      <c r="A46" s="133"/>
      <c r="B46" s="45">
        <v>100000000</v>
      </c>
      <c r="C46" s="46">
        <f t="shared" si="0"/>
        <v>1</v>
      </c>
      <c r="D46" s="97"/>
      <c r="E46" s="6" t="s">
        <v>176</v>
      </c>
      <c r="F46" s="37">
        <v>8.8230000000000004</v>
      </c>
      <c r="G46" s="41">
        <f t="shared" si="1"/>
        <v>8.8230000000000004</v>
      </c>
      <c r="H46" s="17">
        <v>5.29</v>
      </c>
      <c r="I46" s="17">
        <v>20.12</v>
      </c>
      <c r="J46" s="17">
        <v>130.81</v>
      </c>
      <c r="K46" s="18">
        <v>46.673670000000001</v>
      </c>
      <c r="L46" s="17">
        <v>177.51875999999999</v>
      </c>
      <c r="M46" s="17">
        <v>1154.13663</v>
      </c>
      <c r="N46" s="18">
        <v>34.056780000000003</v>
      </c>
      <c r="O46" s="17">
        <v>172.40142</v>
      </c>
      <c r="P46" s="17">
        <v>374.53635000000003</v>
      </c>
      <c r="Q46" s="42">
        <f t="shared" si="2"/>
        <v>34.056780000000003</v>
      </c>
      <c r="R46" s="43">
        <f t="shared" si="3"/>
        <v>172.40142</v>
      </c>
      <c r="S46" s="44">
        <f t="shared" si="4"/>
        <v>374.53635000000003</v>
      </c>
      <c r="T46" s="98"/>
      <c r="U46" s="99"/>
      <c r="V46" s="99"/>
      <c r="W46" s="100"/>
    </row>
    <row r="47" spans="1:23" x14ac:dyDescent="0.25">
      <c r="A47" s="134" t="s">
        <v>37</v>
      </c>
      <c r="B47" s="45">
        <v>100000000</v>
      </c>
      <c r="C47" s="46">
        <f t="shared" si="0"/>
        <v>1</v>
      </c>
      <c r="D47" s="97" t="s">
        <v>111</v>
      </c>
      <c r="E47" s="6" t="s">
        <v>175</v>
      </c>
      <c r="F47" s="37">
        <v>2.0419999999999998</v>
      </c>
      <c r="G47" s="41">
        <f t="shared" si="1"/>
        <v>2.0419999999999998</v>
      </c>
      <c r="H47" s="17">
        <v>5.31</v>
      </c>
      <c r="I47" s="17">
        <v>17.18</v>
      </c>
      <c r="J47" s="17">
        <v>128.63</v>
      </c>
      <c r="K47" s="18">
        <v>10.843019999999999</v>
      </c>
      <c r="L47" s="17">
        <v>35.081560000000003</v>
      </c>
      <c r="M47" s="17">
        <v>262.66246000000001</v>
      </c>
      <c r="N47" s="18">
        <v>7.9229599999999989</v>
      </c>
      <c r="O47" s="17">
        <v>33.897199999999998</v>
      </c>
      <c r="P47" s="17">
        <v>93.176459999999992</v>
      </c>
      <c r="Q47" s="42">
        <f t="shared" si="2"/>
        <v>7.9229599999999989</v>
      </c>
      <c r="R47" s="43">
        <f t="shared" si="3"/>
        <v>33.897199999999998</v>
      </c>
      <c r="S47" s="44">
        <f t="shared" si="4"/>
        <v>93.176459999999992</v>
      </c>
      <c r="T47" s="128">
        <f>(G47-G48)/G48</f>
        <v>-0.96605718085106385</v>
      </c>
      <c r="U47" s="129">
        <f>(Q47-Q48)/Q48</f>
        <v>-0.96543355950187082</v>
      </c>
      <c r="V47" s="129">
        <f>(R47-R48)/R48</f>
        <v>-0.97722510922100492</v>
      </c>
      <c r="W47" s="130">
        <f>(S47-S48)/S48</f>
        <v>-0.97079919234981227</v>
      </c>
    </row>
    <row r="48" spans="1:23" x14ac:dyDescent="0.25">
      <c r="A48" s="135"/>
      <c r="B48" s="45">
        <v>100000000</v>
      </c>
      <c r="C48" s="46">
        <f t="shared" si="0"/>
        <v>1</v>
      </c>
      <c r="D48" s="97"/>
      <c r="E48" s="6" t="s">
        <v>176</v>
      </c>
      <c r="F48" s="37">
        <v>60.16</v>
      </c>
      <c r="G48" s="41">
        <f t="shared" si="1"/>
        <v>60.16</v>
      </c>
      <c r="H48" s="17">
        <v>5.24</v>
      </c>
      <c r="I48" s="17">
        <v>25.32</v>
      </c>
      <c r="J48" s="17">
        <v>142.30000000000001</v>
      </c>
      <c r="K48" s="18">
        <v>315.23840000000001</v>
      </c>
      <c r="L48" s="17">
        <v>1523.2511999999999</v>
      </c>
      <c r="M48" s="17">
        <v>8560.768</v>
      </c>
      <c r="N48" s="18">
        <v>229.20959999999999</v>
      </c>
      <c r="O48" s="17">
        <v>1488.3584000000001</v>
      </c>
      <c r="P48" s="17">
        <v>3190.8863999999999</v>
      </c>
      <c r="Q48" s="42">
        <f t="shared" si="2"/>
        <v>229.20959999999999</v>
      </c>
      <c r="R48" s="43">
        <f t="shared" si="3"/>
        <v>1488.3584000000001</v>
      </c>
      <c r="S48" s="44">
        <f t="shared" si="4"/>
        <v>3190.8863999999999</v>
      </c>
      <c r="T48" s="98"/>
      <c r="U48" s="99"/>
      <c r="V48" s="99"/>
      <c r="W48" s="100"/>
    </row>
    <row r="49" spans="1:23" x14ac:dyDescent="0.25">
      <c r="A49" s="135"/>
      <c r="B49" s="45">
        <v>100000000</v>
      </c>
      <c r="C49" s="46">
        <f t="shared" si="0"/>
        <v>1</v>
      </c>
      <c r="D49" s="97" t="s">
        <v>114</v>
      </c>
      <c r="E49" s="6" t="s">
        <v>175</v>
      </c>
      <c r="F49" s="37">
        <v>1.571</v>
      </c>
      <c r="G49" s="41">
        <f t="shared" si="1"/>
        <v>1.571</v>
      </c>
      <c r="H49" s="17">
        <v>5.3</v>
      </c>
      <c r="I49" s="17">
        <v>19.62</v>
      </c>
      <c r="J49" s="17">
        <v>134.02000000000001</v>
      </c>
      <c r="K49" s="18">
        <v>8.3262999999999998</v>
      </c>
      <c r="L49" s="17">
        <v>30.82302</v>
      </c>
      <c r="M49" s="17">
        <v>210.54542000000001</v>
      </c>
      <c r="N49" s="18">
        <v>6.0797699999999999</v>
      </c>
      <c r="O49" s="17">
        <v>29.911840000000002</v>
      </c>
      <c r="P49" s="17">
        <v>80.152420000000006</v>
      </c>
      <c r="Q49" s="42">
        <f t="shared" si="2"/>
        <v>6.0797699999999999</v>
      </c>
      <c r="R49" s="43">
        <f t="shared" si="3"/>
        <v>29.911840000000002</v>
      </c>
      <c r="S49" s="44">
        <f t="shared" si="4"/>
        <v>80.152420000000006</v>
      </c>
      <c r="T49" s="128">
        <f>(G49-G50)/G50</f>
        <v>-0.97070396270396275</v>
      </c>
      <c r="U49" s="129">
        <f>(Q49-Q50)/Q50</f>
        <v>-0.97032050671841252</v>
      </c>
      <c r="V49" s="129">
        <f>(R49-R50)/R50</f>
        <v>-0.97757150984654007</v>
      </c>
      <c r="W49" s="130">
        <f>(S49-S50)/S50</f>
        <v>-0.9728288706990762</v>
      </c>
    </row>
    <row r="50" spans="1:23" x14ac:dyDescent="0.25">
      <c r="A50" s="136"/>
      <c r="B50" s="45">
        <v>100000000</v>
      </c>
      <c r="C50" s="46">
        <f t="shared" si="0"/>
        <v>1</v>
      </c>
      <c r="D50" s="97"/>
      <c r="E50" s="6" t="s">
        <v>176</v>
      </c>
      <c r="F50" s="37">
        <v>53.625</v>
      </c>
      <c r="G50" s="41">
        <f t="shared" si="1"/>
        <v>53.625</v>
      </c>
      <c r="H50" s="17">
        <v>5.25</v>
      </c>
      <c r="I50" s="17">
        <v>25.45</v>
      </c>
      <c r="J50" s="17">
        <v>144.27000000000001</v>
      </c>
      <c r="K50" s="18">
        <v>281.53125</v>
      </c>
      <c r="L50" s="17">
        <v>1364.7562499999999</v>
      </c>
      <c r="M50" s="17">
        <v>7736.4787500000002</v>
      </c>
      <c r="N50" s="18">
        <v>204.8475</v>
      </c>
      <c r="O50" s="17">
        <v>1333.6537499999999</v>
      </c>
      <c r="P50" s="17">
        <v>2949.9112500000001</v>
      </c>
      <c r="Q50" s="42">
        <f t="shared" si="2"/>
        <v>204.8475</v>
      </c>
      <c r="R50" s="43">
        <f t="shared" si="3"/>
        <v>1333.6537499999999</v>
      </c>
      <c r="S50" s="44">
        <f t="shared" si="4"/>
        <v>2949.9112500000001</v>
      </c>
      <c r="T50" s="98"/>
      <c r="U50" s="99"/>
      <c r="V50" s="99"/>
      <c r="W50" s="100"/>
    </row>
    <row r="51" spans="1:23" x14ac:dyDescent="0.25">
      <c r="A51" s="133" t="s">
        <v>39</v>
      </c>
      <c r="B51" s="45">
        <v>10000000000</v>
      </c>
      <c r="C51" s="46">
        <f t="shared" si="0"/>
        <v>0.01</v>
      </c>
      <c r="D51" s="97" t="s">
        <v>111</v>
      </c>
      <c r="E51" s="6" t="s">
        <v>175</v>
      </c>
      <c r="F51" s="37">
        <v>49.673000000000002</v>
      </c>
      <c r="G51" s="41">
        <f t="shared" si="1"/>
        <v>0.49673</v>
      </c>
      <c r="H51" s="17">
        <v>5.22</v>
      </c>
      <c r="I51" s="17">
        <v>24.12</v>
      </c>
      <c r="J51" s="17">
        <v>139.56</v>
      </c>
      <c r="K51" s="18">
        <v>259.29306000000003</v>
      </c>
      <c r="L51" s="17">
        <v>1198.11276</v>
      </c>
      <c r="M51" s="17">
        <v>6932.3638800000008</v>
      </c>
      <c r="N51" s="18">
        <v>188.26067</v>
      </c>
      <c r="O51" s="17">
        <v>1169.30242</v>
      </c>
      <c r="P51" s="17">
        <v>2467.7546400000001</v>
      </c>
      <c r="Q51" s="42">
        <f t="shared" si="2"/>
        <v>1.8826067000000002</v>
      </c>
      <c r="R51" s="43">
        <f t="shared" si="3"/>
        <v>11.6930242</v>
      </c>
      <c r="S51" s="44">
        <f t="shared" si="4"/>
        <v>24.677546400000001</v>
      </c>
      <c r="T51" s="128">
        <f>(G51-G52)/G52</f>
        <v>-0.98309349579660321</v>
      </c>
      <c r="U51" s="129">
        <f>(Q51-Q52)/Q52</f>
        <v>-0.98398108726728162</v>
      </c>
      <c r="V51" s="129">
        <f>(R51-R52)/R52</f>
        <v>-0.98416318706932115</v>
      </c>
      <c r="W51" s="130">
        <f>(S51-S52)/S52</f>
        <v>-0.98458871323257335</v>
      </c>
    </row>
    <row r="52" spans="1:23" x14ac:dyDescent="0.25">
      <c r="A52" s="133"/>
      <c r="B52" s="45">
        <v>100000000</v>
      </c>
      <c r="C52" s="46">
        <f t="shared" si="0"/>
        <v>1</v>
      </c>
      <c r="D52" s="97"/>
      <c r="E52" s="6" t="s">
        <v>176</v>
      </c>
      <c r="F52" s="37">
        <v>29.381</v>
      </c>
      <c r="G52" s="41">
        <f t="shared" si="1"/>
        <v>29.381</v>
      </c>
      <c r="H52" s="17">
        <v>5.17</v>
      </c>
      <c r="I52" s="17">
        <v>25.71</v>
      </c>
      <c r="J52" s="17">
        <v>143.65</v>
      </c>
      <c r="K52" s="18">
        <v>151.89976999999999</v>
      </c>
      <c r="L52" s="17">
        <v>755.38551000000007</v>
      </c>
      <c r="M52" s="17">
        <v>4220.5806499999999</v>
      </c>
      <c r="N52" s="18">
        <v>117.524</v>
      </c>
      <c r="O52" s="17">
        <v>738.34452999999996</v>
      </c>
      <c r="P52" s="17">
        <v>1601.2645</v>
      </c>
      <c r="Q52" s="42">
        <f t="shared" si="2"/>
        <v>117.524</v>
      </c>
      <c r="R52" s="43">
        <f t="shared" si="3"/>
        <v>738.34452999999996</v>
      </c>
      <c r="S52" s="44">
        <f t="shared" si="4"/>
        <v>1601.2645</v>
      </c>
      <c r="T52" s="98"/>
      <c r="U52" s="99"/>
      <c r="V52" s="99"/>
      <c r="W52" s="100"/>
    </row>
    <row r="53" spans="1:23" x14ac:dyDescent="0.25">
      <c r="A53" s="133"/>
      <c r="B53" s="45">
        <v>10000000000</v>
      </c>
      <c r="C53" s="46">
        <f t="shared" si="0"/>
        <v>0.01</v>
      </c>
      <c r="D53" s="97" t="s">
        <v>114</v>
      </c>
      <c r="E53" s="6" t="s">
        <v>175</v>
      </c>
      <c r="F53" s="37">
        <v>107.682</v>
      </c>
      <c r="G53" s="41">
        <f t="shared" si="1"/>
        <v>1.0768200000000001</v>
      </c>
      <c r="H53" s="17">
        <v>5.23</v>
      </c>
      <c r="I53" s="17">
        <v>19.899999999999999</v>
      </c>
      <c r="J53" s="17">
        <v>130.02000000000001</v>
      </c>
      <c r="K53" s="18">
        <v>563.17686000000003</v>
      </c>
      <c r="L53" s="17">
        <v>2142.8717999999999</v>
      </c>
      <c r="M53" s="17">
        <v>14000.81364</v>
      </c>
      <c r="N53" s="18">
        <v>409.19159999999999</v>
      </c>
      <c r="O53" s="17">
        <v>2080.41624</v>
      </c>
      <c r="P53" s="17">
        <v>4322.3554800000002</v>
      </c>
      <c r="Q53" s="42">
        <f t="shared" si="2"/>
        <v>4.0919160000000003</v>
      </c>
      <c r="R53" s="43">
        <f t="shared" si="3"/>
        <v>20.804162399999999</v>
      </c>
      <c r="S53" s="44">
        <f t="shared" si="4"/>
        <v>43.223554800000002</v>
      </c>
      <c r="T53" s="128">
        <f>(G53-G54)/G54</f>
        <v>-0.94883979475484603</v>
      </c>
      <c r="U53" s="129">
        <f>(Q53-Q54)/Q54</f>
        <v>-0.95163960698219285</v>
      </c>
      <c r="V53" s="129">
        <f>(R53-R54)/R54</f>
        <v>-0.96030461183388061</v>
      </c>
      <c r="W53" s="130">
        <f>(S53-S54)/S54</f>
        <v>-0.96173708517718492</v>
      </c>
    </row>
    <row r="54" spans="1:23" x14ac:dyDescent="0.25">
      <c r="A54" s="133"/>
      <c r="B54" s="45">
        <v>100000000</v>
      </c>
      <c r="C54" s="46">
        <f t="shared" si="0"/>
        <v>1</v>
      </c>
      <c r="D54" s="97"/>
      <c r="E54" s="6" t="s">
        <v>176</v>
      </c>
      <c r="F54" s="37">
        <v>21.047999999999998</v>
      </c>
      <c r="G54" s="41">
        <f t="shared" si="1"/>
        <v>21.047999999999998</v>
      </c>
      <c r="H54" s="17">
        <v>5.19</v>
      </c>
      <c r="I54" s="17">
        <v>25.48</v>
      </c>
      <c r="J54" s="17">
        <v>142.83000000000001</v>
      </c>
      <c r="K54" s="18">
        <v>109.23912</v>
      </c>
      <c r="L54" s="17">
        <v>536.30304000000001</v>
      </c>
      <c r="M54" s="17">
        <v>3006.28584</v>
      </c>
      <c r="N54" s="18">
        <v>84.612959999999987</v>
      </c>
      <c r="O54" s="17">
        <v>524.09519999999998</v>
      </c>
      <c r="P54" s="17">
        <v>1129.64616</v>
      </c>
      <c r="Q54" s="42">
        <f t="shared" si="2"/>
        <v>84.612959999999987</v>
      </c>
      <c r="R54" s="43">
        <f t="shared" si="3"/>
        <v>524.09519999999998</v>
      </c>
      <c r="S54" s="44">
        <f t="shared" si="4"/>
        <v>1129.64616</v>
      </c>
      <c r="T54" s="98"/>
      <c r="U54" s="99"/>
      <c r="V54" s="99"/>
      <c r="W54" s="100"/>
    </row>
    <row r="55" spans="1:23" x14ac:dyDescent="0.25">
      <c r="A55" s="133" t="s">
        <v>49</v>
      </c>
      <c r="B55" s="45">
        <v>100000000</v>
      </c>
      <c r="C55" s="46">
        <f t="shared" si="0"/>
        <v>1</v>
      </c>
      <c r="D55" s="97" t="s">
        <v>111</v>
      </c>
      <c r="E55" s="6" t="s">
        <v>175</v>
      </c>
      <c r="F55" s="37">
        <v>1.0469999999999999</v>
      </c>
      <c r="G55" s="41">
        <f t="shared" si="1"/>
        <v>1.0469999999999999</v>
      </c>
      <c r="H55" s="17">
        <v>3.44</v>
      </c>
      <c r="I55" s="17">
        <v>19.39</v>
      </c>
      <c r="J55" s="17">
        <v>146.25</v>
      </c>
      <c r="K55" s="18">
        <v>3.60168</v>
      </c>
      <c r="L55" s="17">
        <v>20.30133</v>
      </c>
      <c r="M55" s="17">
        <v>153.12375</v>
      </c>
      <c r="N55" s="18">
        <v>3.16194</v>
      </c>
      <c r="O55" s="17">
        <v>19.69407</v>
      </c>
      <c r="P55" s="17">
        <v>51.334409999999998</v>
      </c>
      <c r="Q55" s="42">
        <f t="shared" si="2"/>
        <v>3.16194</v>
      </c>
      <c r="R55" s="43">
        <f t="shared" si="3"/>
        <v>19.69407</v>
      </c>
      <c r="S55" s="44">
        <f t="shared" si="4"/>
        <v>51.334409999999998</v>
      </c>
      <c r="T55" s="128">
        <f>(G55-G56)/G56</f>
        <v>-0.98508610743130642</v>
      </c>
      <c r="U55" s="129">
        <f>(Q55-Q56)/Q56</f>
        <v>-0.98862627384912749</v>
      </c>
      <c r="V55" s="129">
        <f>(R55-R56)/R56</f>
        <v>-0.9887472796142347</v>
      </c>
      <c r="W55" s="130">
        <f>(S55-S56)/S56</f>
        <v>-0.98666128871501191</v>
      </c>
    </row>
    <row r="56" spans="1:23" x14ac:dyDescent="0.25">
      <c r="A56" s="133"/>
      <c r="B56" s="45">
        <v>100000000</v>
      </c>
      <c r="C56" s="46">
        <f t="shared" si="0"/>
        <v>1</v>
      </c>
      <c r="D56" s="97"/>
      <c r="E56" s="6" t="s">
        <v>176</v>
      </c>
      <c r="F56" s="37">
        <v>70.203000000000003</v>
      </c>
      <c r="G56" s="41">
        <f t="shared" si="1"/>
        <v>70.203000000000003</v>
      </c>
      <c r="H56" s="17">
        <v>5.13</v>
      </c>
      <c r="I56" s="17">
        <v>25.51</v>
      </c>
      <c r="J56" s="17">
        <v>142.77000000000001</v>
      </c>
      <c r="K56" s="18">
        <v>360.14139</v>
      </c>
      <c r="L56" s="17">
        <v>1790.87853</v>
      </c>
      <c r="M56" s="17">
        <v>10022.882310000001</v>
      </c>
      <c r="N56" s="18">
        <v>278.00387999999998</v>
      </c>
      <c r="O56" s="17">
        <v>1750.1607899999999</v>
      </c>
      <c r="P56" s="17">
        <v>3848.52846</v>
      </c>
      <c r="Q56" s="42">
        <f t="shared" si="2"/>
        <v>278.00387999999998</v>
      </c>
      <c r="R56" s="43">
        <f t="shared" si="3"/>
        <v>1750.1607899999999</v>
      </c>
      <c r="S56" s="44">
        <f t="shared" si="4"/>
        <v>3848.52846</v>
      </c>
      <c r="T56" s="98"/>
      <c r="U56" s="99"/>
      <c r="V56" s="99"/>
      <c r="W56" s="100"/>
    </row>
    <row r="57" spans="1:23" x14ac:dyDescent="0.25">
      <c r="A57" s="133"/>
      <c r="B57" s="45">
        <v>100000000</v>
      </c>
      <c r="C57" s="46">
        <f t="shared" si="0"/>
        <v>1</v>
      </c>
      <c r="D57" s="97" t="s">
        <v>114</v>
      </c>
      <c r="E57" s="6" t="s">
        <v>175</v>
      </c>
      <c r="F57" s="37">
        <v>1.1870000000000001</v>
      </c>
      <c r="G57" s="41">
        <f t="shared" si="1"/>
        <v>1.1870000000000001</v>
      </c>
      <c r="H57" s="17">
        <v>3.41</v>
      </c>
      <c r="I57" s="17">
        <v>18.420000000000002</v>
      </c>
      <c r="J57" s="17">
        <v>142.86000000000001</v>
      </c>
      <c r="K57" s="18">
        <v>4.0476700000000001</v>
      </c>
      <c r="L57" s="17">
        <v>21.864540000000002</v>
      </c>
      <c r="M57" s="17">
        <v>169.57481999999999</v>
      </c>
      <c r="N57" s="18">
        <v>3.5491299999999999</v>
      </c>
      <c r="O57" s="17">
        <v>21.176079999999999</v>
      </c>
      <c r="P57" s="17">
        <v>54.174680000000002</v>
      </c>
      <c r="Q57" s="42">
        <f t="shared" si="2"/>
        <v>3.5491299999999999</v>
      </c>
      <c r="R57" s="43">
        <f t="shared" si="3"/>
        <v>21.176079999999999</v>
      </c>
      <c r="S57" s="44">
        <f t="shared" si="4"/>
        <v>54.174680000000002</v>
      </c>
      <c r="T57" s="128">
        <f>(G57-G58)/G58</f>
        <v>-0.9831075311663916</v>
      </c>
      <c r="U57" s="129">
        <f>(Q57-Q58)/Q58</f>
        <v>-0.98721304257911668</v>
      </c>
      <c r="V57" s="129">
        <f>(R57-R58)/R58</f>
        <v>-0.98780406135202048</v>
      </c>
      <c r="W57" s="130">
        <f>(S57-S58)/S58</f>
        <v>-0.98592088609266082</v>
      </c>
    </row>
    <row r="58" spans="1:23" x14ac:dyDescent="0.25">
      <c r="A58" s="133"/>
      <c r="B58" s="45">
        <v>100000000</v>
      </c>
      <c r="C58" s="46">
        <f t="shared" si="0"/>
        <v>1</v>
      </c>
      <c r="D58" s="97"/>
      <c r="E58" s="6" t="s">
        <v>176</v>
      </c>
      <c r="F58" s="37">
        <v>70.268000000000001</v>
      </c>
      <c r="G58" s="41">
        <f t="shared" si="1"/>
        <v>70.268000000000001</v>
      </c>
      <c r="H58" s="17">
        <v>5.12</v>
      </c>
      <c r="I58" s="17">
        <v>25.29</v>
      </c>
      <c r="J58" s="17">
        <v>142.72</v>
      </c>
      <c r="K58" s="18">
        <v>359.77215999999999</v>
      </c>
      <c r="L58" s="17">
        <v>1777.07772</v>
      </c>
      <c r="M58" s="17">
        <v>10028.64896</v>
      </c>
      <c r="N58" s="18">
        <v>277.55860000000001</v>
      </c>
      <c r="O58" s="17">
        <v>1736.3222800000001</v>
      </c>
      <c r="P58" s="17">
        <v>3847.8756800000001</v>
      </c>
      <c r="Q58" s="42">
        <f t="shared" si="2"/>
        <v>277.55860000000001</v>
      </c>
      <c r="R58" s="43">
        <f t="shared" si="3"/>
        <v>1736.3222800000001</v>
      </c>
      <c r="S58" s="44">
        <f t="shared" si="4"/>
        <v>3847.8756800000001</v>
      </c>
      <c r="T58" s="98"/>
      <c r="U58" s="99"/>
      <c r="V58" s="99"/>
      <c r="W58" s="100"/>
    </row>
    <row r="59" spans="1:23" x14ac:dyDescent="0.25">
      <c r="A59" s="133" t="s">
        <v>51</v>
      </c>
      <c r="B59" s="45">
        <v>10000000000</v>
      </c>
      <c r="C59" s="46">
        <f t="shared" si="0"/>
        <v>0.01</v>
      </c>
      <c r="D59" s="97" t="s">
        <v>111</v>
      </c>
      <c r="E59" s="6" t="s">
        <v>175</v>
      </c>
      <c r="F59" s="37">
        <v>72.725999999999999</v>
      </c>
      <c r="G59" s="41">
        <f t="shared" si="1"/>
        <v>0.72726000000000002</v>
      </c>
      <c r="H59" s="17">
        <v>5.13</v>
      </c>
      <c r="I59" s="17">
        <v>25.42</v>
      </c>
      <c r="J59" s="17">
        <v>142.66</v>
      </c>
      <c r="K59" s="18">
        <v>373.08438000000001</v>
      </c>
      <c r="L59" s="17">
        <v>1848.6949199999999</v>
      </c>
      <c r="M59" s="17">
        <v>10375.09116</v>
      </c>
      <c r="N59" s="18">
        <v>269.08620000000002</v>
      </c>
      <c r="O59" s="17">
        <v>1806.5138400000001</v>
      </c>
      <c r="P59" s="17">
        <v>4034.8384799999999</v>
      </c>
      <c r="Q59" s="42">
        <f t="shared" si="2"/>
        <v>2.6908620000000001</v>
      </c>
      <c r="R59" s="43">
        <f t="shared" si="3"/>
        <v>18.065138400000002</v>
      </c>
      <c r="S59" s="44">
        <f t="shared" si="4"/>
        <v>40.348384799999998</v>
      </c>
      <c r="T59" s="128">
        <f>(G59-G60)/G60</f>
        <v>-0.99007207797526409</v>
      </c>
      <c r="U59" s="129">
        <f>(Q59-Q60)/Q60</f>
        <v>-0.99127474786424641</v>
      </c>
      <c r="V59" s="129">
        <f>(R59-R60)/R60</f>
        <v>-0.99025643685916875</v>
      </c>
      <c r="W59" s="130">
        <f>(S59-S60)/S60</f>
        <v>-0.98992129709181431</v>
      </c>
    </row>
    <row r="60" spans="1:23" x14ac:dyDescent="0.25">
      <c r="A60" s="133"/>
      <c r="B60" s="45">
        <v>100000000</v>
      </c>
      <c r="C60" s="46">
        <f t="shared" si="0"/>
        <v>1</v>
      </c>
      <c r="D60" s="97"/>
      <c r="E60" s="6" t="s">
        <v>176</v>
      </c>
      <c r="F60" s="37">
        <v>73.254000000000005</v>
      </c>
      <c r="G60" s="41">
        <f t="shared" si="1"/>
        <v>73.254000000000005</v>
      </c>
      <c r="H60" s="17">
        <v>5.13</v>
      </c>
      <c r="I60" s="17">
        <v>25.89</v>
      </c>
      <c r="J60" s="17">
        <v>144.13</v>
      </c>
      <c r="K60" s="18">
        <v>375.79302000000001</v>
      </c>
      <c r="L60" s="17">
        <v>1896.5460599999999</v>
      </c>
      <c r="M60" s="17">
        <v>10558.09902</v>
      </c>
      <c r="N60" s="18">
        <v>308.39934</v>
      </c>
      <c r="O60" s="17">
        <v>1854.0587399999999</v>
      </c>
      <c r="P60" s="17">
        <v>4003.3310999999999</v>
      </c>
      <c r="Q60" s="42">
        <f t="shared" si="2"/>
        <v>308.39934</v>
      </c>
      <c r="R60" s="43">
        <f t="shared" si="3"/>
        <v>1854.0587399999999</v>
      </c>
      <c r="S60" s="44">
        <f t="shared" si="4"/>
        <v>4003.3310999999999</v>
      </c>
      <c r="T60" s="98"/>
      <c r="U60" s="99"/>
      <c r="V60" s="99"/>
      <c r="W60" s="100"/>
    </row>
    <row r="61" spans="1:23" x14ac:dyDescent="0.25">
      <c r="A61" s="133"/>
      <c r="B61" s="45">
        <v>10000000000</v>
      </c>
      <c r="C61" s="46">
        <f t="shared" si="0"/>
        <v>0.01</v>
      </c>
      <c r="D61" s="97" t="s">
        <v>114</v>
      </c>
      <c r="E61" s="6" t="s">
        <v>175</v>
      </c>
      <c r="F61" s="37">
        <v>71.72</v>
      </c>
      <c r="G61" s="41">
        <f t="shared" si="1"/>
        <v>0.71719999999999995</v>
      </c>
      <c r="H61" s="17">
        <v>5.13</v>
      </c>
      <c r="I61" s="17">
        <v>25.45</v>
      </c>
      <c r="J61" s="17">
        <v>143.74</v>
      </c>
      <c r="K61" s="18">
        <v>367.92360000000002</v>
      </c>
      <c r="L61" s="17">
        <v>1825.2739999999999</v>
      </c>
      <c r="M61" s="17">
        <v>10309.032800000001</v>
      </c>
      <c r="N61" s="18">
        <v>265.36399999999998</v>
      </c>
      <c r="O61" s="17">
        <v>1783.6764000000001</v>
      </c>
      <c r="P61" s="17">
        <v>4057.2004000000002</v>
      </c>
      <c r="Q61" s="42">
        <f t="shared" si="2"/>
        <v>2.6536399999999998</v>
      </c>
      <c r="R61" s="43">
        <f t="shared" si="3"/>
        <v>17.836764000000002</v>
      </c>
      <c r="S61" s="44">
        <f t="shared" si="4"/>
        <v>40.572004</v>
      </c>
      <c r="T61" s="128">
        <f>(G61-G62)/G62</f>
        <v>-0.98654181756769443</v>
      </c>
      <c r="U61" s="129">
        <f>(Q61-Q62)/Q62</f>
        <v>-0.9881156861576299</v>
      </c>
      <c r="V61" s="129">
        <f>(R61-R62)/R62</f>
        <v>-0.98700174768576932</v>
      </c>
      <c r="W61" s="130">
        <f>(S61-S62)/S62</f>
        <v>-0.986353658716696</v>
      </c>
    </row>
    <row r="62" spans="1:23" x14ac:dyDescent="0.25">
      <c r="A62" s="133"/>
      <c r="B62" s="45">
        <v>100000000</v>
      </c>
      <c r="C62" s="46">
        <f t="shared" si="0"/>
        <v>1</v>
      </c>
      <c r="D62" s="97"/>
      <c r="E62" s="6" t="s">
        <v>176</v>
      </c>
      <c r="F62" s="37">
        <v>53.290999999999997</v>
      </c>
      <c r="G62" s="41">
        <f t="shared" si="1"/>
        <v>53.290999999999997</v>
      </c>
      <c r="H62" s="17">
        <v>5.1100000000000003</v>
      </c>
      <c r="I62" s="17">
        <v>26.33</v>
      </c>
      <c r="J62" s="17">
        <v>145.26</v>
      </c>
      <c r="K62" s="18">
        <v>272.31700999999998</v>
      </c>
      <c r="L62" s="17">
        <v>1403.15203</v>
      </c>
      <c r="M62" s="17">
        <v>7741.050659999999</v>
      </c>
      <c r="N62" s="18">
        <v>223.28928999999999</v>
      </c>
      <c r="O62" s="17">
        <v>1372.24325</v>
      </c>
      <c r="P62" s="17">
        <v>2973.1048900000001</v>
      </c>
      <c r="Q62" s="42">
        <f t="shared" si="2"/>
        <v>223.28928999999999</v>
      </c>
      <c r="R62" s="43">
        <f t="shared" si="3"/>
        <v>1372.24325</v>
      </c>
      <c r="S62" s="44">
        <f t="shared" si="4"/>
        <v>2973.1048900000001</v>
      </c>
      <c r="T62" s="98"/>
      <c r="U62" s="99"/>
      <c r="V62" s="99"/>
      <c r="W62" s="100"/>
    </row>
    <row r="63" spans="1:23" x14ac:dyDescent="0.25">
      <c r="A63" s="133" t="s">
        <v>55</v>
      </c>
      <c r="B63" s="45">
        <v>100000000</v>
      </c>
      <c r="C63" s="46">
        <f t="shared" si="0"/>
        <v>1</v>
      </c>
      <c r="D63" s="97" t="s">
        <v>111</v>
      </c>
      <c r="E63" s="6" t="s">
        <v>175</v>
      </c>
      <c r="F63" s="37">
        <v>1.0469999999999999</v>
      </c>
      <c r="G63" s="41">
        <f t="shared" si="1"/>
        <v>1.0469999999999999</v>
      </c>
      <c r="H63" s="17">
        <v>5.18</v>
      </c>
      <c r="I63" s="17">
        <v>19.100000000000001</v>
      </c>
      <c r="J63" s="17">
        <v>136.84</v>
      </c>
      <c r="K63" s="18">
        <v>5.4234600000000004</v>
      </c>
      <c r="L63" s="17">
        <v>19.997699999999998</v>
      </c>
      <c r="M63" s="17">
        <v>143.27148</v>
      </c>
      <c r="N63" s="18">
        <v>3.6644999999999999</v>
      </c>
      <c r="O63" s="17">
        <v>19.390440000000002</v>
      </c>
      <c r="P63" s="17">
        <v>52.192950000000003</v>
      </c>
      <c r="Q63" s="42">
        <f t="shared" si="2"/>
        <v>3.6644999999999999</v>
      </c>
      <c r="R63" s="43">
        <f t="shared" si="3"/>
        <v>19.390440000000002</v>
      </c>
      <c r="S63" s="44">
        <f t="shared" si="4"/>
        <v>52.192950000000003</v>
      </c>
      <c r="T63" s="128">
        <f>(G63-G64)/G64</f>
        <v>-0.98316503730383331</v>
      </c>
      <c r="U63" s="129">
        <f>(Q63-Q64)/Q64</f>
        <v>-0.98508294444643452</v>
      </c>
      <c r="V63" s="129">
        <f>(R63-R64)/R64</f>
        <v>-0.9874230129434044</v>
      </c>
      <c r="W63" s="130">
        <f>(S63-S64)/S64</f>
        <v>-0.98386420129967478</v>
      </c>
    </row>
    <row r="64" spans="1:23" x14ac:dyDescent="0.25">
      <c r="A64" s="133"/>
      <c r="B64" s="45">
        <v>100000000</v>
      </c>
      <c r="C64" s="46">
        <f t="shared" si="0"/>
        <v>1</v>
      </c>
      <c r="D64" s="97"/>
      <c r="E64" s="6" t="s">
        <v>176</v>
      </c>
      <c r="F64" s="37">
        <v>62.192</v>
      </c>
      <c r="G64" s="41">
        <f t="shared" si="1"/>
        <v>62.192</v>
      </c>
      <c r="H64" s="17">
        <v>5.12</v>
      </c>
      <c r="I64" s="17">
        <v>25.37</v>
      </c>
      <c r="J64" s="17">
        <v>142.85</v>
      </c>
      <c r="K64" s="18">
        <v>318.42304000000001</v>
      </c>
      <c r="L64" s="17">
        <v>1577.81104</v>
      </c>
      <c r="M64" s="17">
        <v>8884.127199999999</v>
      </c>
      <c r="N64" s="18">
        <v>245.6584</v>
      </c>
      <c r="O64" s="17">
        <v>1541.7396799999999</v>
      </c>
      <c r="P64" s="17">
        <v>3234.60592</v>
      </c>
      <c r="Q64" s="42">
        <f t="shared" si="2"/>
        <v>245.6584</v>
      </c>
      <c r="R64" s="43">
        <f t="shared" si="3"/>
        <v>1541.7396799999999</v>
      </c>
      <c r="S64" s="44">
        <f t="shared" si="4"/>
        <v>3234.60592</v>
      </c>
      <c r="T64" s="98"/>
      <c r="U64" s="99"/>
      <c r="V64" s="99"/>
      <c r="W64" s="100"/>
    </row>
    <row r="65" spans="1:23" x14ac:dyDescent="0.25">
      <c r="A65" s="133"/>
      <c r="B65" s="45">
        <v>100000000</v>
      </c>
      <c r="C65" s="46">
        <f t="shared" si="0"/>
        <v>1</v>
      </c>
      <c r="D65" s="97" t="s">
        <v>114</v>
      </c>
      <c r="E65" s="6" t="s">
        <v>175</v>
      </c>
      <c r="F65" s="37">
        <v>1.57</v>
      </c>
      <c r="G65" s="41">
        <f t="shared" si="1"/>
        <v>1.57</v>
      </c>
      <c r="H65" s="17">
        <v>5.16</v>
      </c>
      <c r="I65" s="17">
        <v>17.239999999999998</v>
      </c>
      <c r="J65" s="17">
        <v>131.09</v>
      </c>
      <c r="K65" s="18">
        <v>8.1012000000000004</v>
      </c>
      <c r="L65" s="17">
        <v>27.066800000000001</v>
      </c>
      <c r="M65" s="17">
        <v>205.81129999999999</v>
      </c>
      <c r="N65" s="18">
        <v>5.4635999999999996</v>
      </c>
      <c r="O65" s="17">
        <v>26.156199999999998</v>
      </c>
      <c r="P65" s="17">
        <v>69.237000000000009</v>
      </c>
      <c r="Q65" s="42">
        <f t="shared" si="2"/>
        <v>5.4635999999999996</v>
      </c>
      <c r="R65" s="43">
        <f t="shared" si="3"/>
        <v>26.156199999999998</v>
      </c>
      <c r="S65" s="44">
        <f t="shared" si="4"/>
        <v>69.237000000000009</v>
      </c>
      <c r="T65" s="128">
        <f>(G65-G66)/G66</f>
        <v>-0.98051891650432443</v>
      </c>
      <c r="U65" s="129">
        <f>(Q65-Q66)/Q66</f>
        <v>-0.98283691884431612</v>
      </c>
      <c r="V65" s="129">
        <f>(R65-R66)/R66</f>
        <v>-0.98713105269476786</v>
      </c>
      <c r="W65" s="130">
        <f>(S65-S66)/S66</f>
        <v>-0.98395375827121223</v>
      </c>
    </row>
    <row r="66" spans="1:23" x14ac:dyDescent="0.25">
      <c r="A66" s="133"/>
      <c r="B66" s="45">
        <v>100000000</v>
      </c>
      <c r="C66" s="46">
        <f t="shared" si="0"/>
        <v>1</v>
      </c>
      <c r="D66" s="97"/>
      <c r="E66" s="6" t="s">
        <v>176</v>
      </c>
      <c r="F66" s="37">
        <v>80.590999999999994</v>
      </c>
      <c r="G66" s="41">
        <f t="shared" si="1"/>
        <v>80.590999999999994</v>
      </c>
      <c r="H66" s="17">
        <v>5.12</v>
      </c>
      <c r="I66" s="17">
        <v>25.8</v>
      </c>
      <c r="J66" s="17">
        <v>144.38</v>
      </c>
      <c r="K66" s="18">
        <v>412.62592000000001</v>
      </c>
      <c r="L66" s="17">
        <v>2079.2478000000001</v>
      </c>
      <c r="M66" s="17">
        <v>11635.728580000001</v>
      </c>
      <c r="N66" s="18">
        <v>318.33445</v>
      </c>
      <c r="O66" s="17">
        <v>2032.5050200000001</v>
      </c>
      <c r="P66" s="17">
        <v>4314.8421399999997</v>
      </c>
      <c r="Q66" s="42">
        <f t="shared" si="2"/>
        <v>318.33445</v>
      </c>
      <c r="R66" s="43">
        <f t="shared" si="3"/>
        <v>2032.5050200000001</v>
      </c>
      <c r="S66" s="44">
        <f t="shared" si="4"/>
        <v>4314.8421399999997</v>
      </c>
      <c r="T66" s="98"/>
      <c r="U66" s="99"/>
      <c r="V66" s="99"/>
      <c r="W66" s="100"/>
    </row>
    <row r="67" spans="1:23" x14ac:dyDescent="0.25">
      <c r="A67" s="133" t="s">
        <v>57</v>
      </c>
      <c r="B67" s="45">
        <v>10000000000</v>
      </c>
      <c r="C67" s="46">
        <f t="shared" si="0"/>
        <v>0.01</v>
      </c>
      <c r="D67" s="97" t="s">
        <v>111</v>
      </c>
      <c r="E67" s="6" t="s">
        <v>175</v>
      </c>
      <c r="F67" s="37">
        <v>1.571</v>
      </c>
      <c r="G67" s="41">
        <f t="shared" si="1"/>
        <v>1.5709999999999998E-2</v>
      </c>
      <c r="H67" s="17">
        <v>5.15</v>
      </c>
      <c r="I67" s="17">
        <v>18.95</v>
      </c>
      <c r="J67" s="17">
        <v>134.29</v>
      </c>
      <c r="K67" s="18">
        <v>8.0906500000000001</v>
      </c>
      <c r="L67" s="17">
        <v>29.77045</v>
      </c>
      <c r="M67" s="17">
        <v>210.96959000000001</v>
      </c>
      <c r="N67" s="18">
        <v>5.8441200000000002</v>
      </c>
      <c r="O67" s="17">
        <v>28.874980000000001</v>
      </c>
      <c r="P67" s="17">
        <v>70.962069999999997</v>
      </c>
      <c r="Q67" s="42">
        <f t="shared" si="2"/>
        <v>5.8441200000000006E-2</v>
      </c>
      <c r="R67" s="43">
        <f t="shared" si="3"/>
        <v>0.2887498</v>
      </c>
      <c r="S67" s="44">
        <f t="shared" si="4"/>
        <v>0.70962069999999999</v>
      </c>
      <c r="T67" s="128">
        <f>(G67-G68)/G68</f>
        <v>-0.99587122207621559</v>
      </c>
      <c r="U67" s="129">
        <f>(Q67-Q68)/Q68</f>
        <v>-0.99588229118593075</v>
      </c>
      <c r="V67" s="129">
        <f>(R67-R68)/R68</f>
        <v>-0.99607413666636524</v>
      </c>
      <c r="W67" s="130">
        <f>(S67-S68)/S68</f>
        <v>-0.99575081114565178</v>
      </c>
    </row>
    <row r="68" spans="1:23" x14ac:dyDescent="0.25">
      <c r="A68" s="133"/>
      <c r="B68" s="45">
        <v>100000000</v>
      </c>
      <c r="C68" s="46">
        <f t="shared" ref="C68:C106" si="5">100000000/B68</f>
        <v>1</v>
      </c>
      <c r="D68" s="97"/>
      <c r="E68" s="6" t="s">
        <v>176</v>
      </c>
      <c r="F68" s="37">
        <v>3.8050000000000002</v>
      </c>
      <c r="G68" s="41">
        <f t="shared" ref="G68:G106" si="6">F68*C68</f>
        <v>3.8050000000000002</v>
      </c>
      <c r="H68" s="17">
        <v>5.16</v>
      </c>
      <c r="I68" s="17">
        <v>19.91</v>
      </c>
      <c r="J68" s="17">
        <v>133.19</v>
      </c>
      <c r="K68" s="18">
        <v>19.633800000000001</v>
      </c>
      <c r="L68" s="17">
        <v>75.757550000000009</v>
      </c>
      <c r="M68" s="17">
        <v>506.78795000000002</v>
      </c>
      <c r="N68" s="18">
        <v>14.19265</v>
      </c>
      <c r="O68" s="17">
        <v>73.55064999999999</v>
      </c>
      <c r="P68" s="17">
        <v>167.00145000000001</v>
      </c>
      <c r="Q68" s="42">
        <f t="shared" ref="Q68:Q106" si="7">N68*C68</f>
        <v>14.19265</v>
      </c>
      <c r="R68" s="43">
        <f t="shared" ref="R68:R106" si="8">O68*C68</f>
        <v>73.55064999999999</v>
      </c>
      <c r="S68" s="44">
        <f t="shared" ref="S68:S107" si="9">P68*C68</f>
        <v>167.00145000000001</v>
      </c>
      <c r="T68" s="98"/>
      <c r="U68" s="99"/>
      <c r="V68" s="99"/>
      <c r="W68" s="100"/>
    </row>
    <row r="69" spans="1:23" x14ac:dyDescent="0.25">
      <c r="A69" s="133"/>
      <c r="B69" s="45">
        <v>10000000000</v>
      </c>
      <c r="C69" s="46">
        <f t="shared" si="5"/>
        <v>0.01</v>
      </c>
      <c r="D69" s="97" t="s">
        <v>114</v>
      </c>
      <c r="E69" s="6" t="s">
        <v>175</v>
      </c>
      <c r="F69" s="37">
        <v>1.57</v>
      </c>
      <c r="G69" s="41">
        <f t="shared" si="6"/>
        <v>1.5700000000000002E-2</v>
      </c>
      <c r="H69" s="17">
        <v>5.18</v>
      </c>
      <c r="I69" s="17">
        <v>18.940000000000001</v>
      </c>
      <c r="J69" s="17">
        <v>133.97</v>
      </c>
      <c r="K69" s="18">
        <v>8.1326000000000001</v>
      </c>
      <c r="L69" s="17">
        <v>29.735800000000001</v>
      </c>
      <c r="M69" s="17">
        <v>210.3329</v>
      </c>
      <c r="N69" s="18">
        <v>5.8875000000000002</v>
      </c>
      <c r="O69" s="17">
        <v>28.825199999999999</v>
      </c>
      <c r="P69" s="17">
        <v>70.398800000000008</v>
      </c>
      <c r="Q69" s="42">
        <f t="shared" si="7"/>
        <v>5.8875000000000004E-2</v>
      </c>
      <c r="R69" s="43">
        <f t="shared" si="8"/>
        <v>0.28825200000000001</v>
      </c>
      <c r="S69" s="44">
        <f t="shared" si="9"/>
        <v>0.70398800000000006</v>
      </c>
      <c r="T69" s="128">
        <f>(G69-G70)/G70</f>
        <v>-0.99598465473145781</v>
      </c>
      <c r="U69" s="129">
        <f>(Q69-Q70)/Q70</f>
        <v>-0.99596312473001791</v>
      </c>
      <c r="V69" s="129">
        <f>(R69-R70)/R70</f>
        <v>-0.99615832521467251</v>
      </c>
      <c r="W69" s="130">
        <f>(S69-S70)/S70</f>
        <v>-0.99581283530601317</v>
      </c>
    </row>
    <row r="70" spans="1:23" x14ac:dyDescent="0.25">
      <c r="A70" s="133"/>
      <c r="B70" s="45">
        <v>100000000</v>
      </c>
      <c r="C70" s="46">
        <f t="shared" si="5"/>
        <v>1</v>
      </c>
      <c r="D70" s="97"/>
      <c r="E70" s="6" t="s">
        <v>176</v>
      </c>
      <c r="F70" s="37">
        <v>3.91</v>
      </c>
      <c r="G70" s="41">
        <f t="shared" si="6"/>
        <v>3.91</v>
      </c>
      <c r="H70" s="17">
        <v>5.16</v>
      </c>
      <c r="I70" s="17">
        <v>19.77</v>
      </c>
      <c r="J70" s="17">
        <v>132.30000000000001</v>
      </c>
      <c r="K70" s="18">
        <v>20.175599999999999</v>
      </c>
      <c r="L70" s="17">
        <v>77.300700000000006</v>
      </c>
      <c r="M70" s="17">
        <v>517.29300000000012</v>
      </c>
      <c r="N70" s="18">
        <v>14.584300000000001</v>
      </c>
      <c r="O70" s="17">
        <v>75.032900000000012</v>
      </c>
      <c r="P70" s="17">
        <v>168.13</v>
      </c>
      <c r="Q70" s="42">
        <f t="shared" si="7"/>
        <v>14.584300000000001</v>
      </c>
      <c r="R70" s="43">
        <f t="shared" si="8"/>
        <v>75.032900000000012</v>
      </c>
      <c r="S70" s="44">
        <f t="shared" si="9"/>
        <v>168.13</v>
      </c>
      <c r="T70" s="98"/>
      <c r="U70" s="99"/>
      <c r="V70" s="99"/>
      <c r="W70" s="100"/>
    </row>
    <row r="71" spans="1:23" x14ac:dyDescent="0.25">
      <c r="A71" s="133" t="s">
        <v>61</v>
      </c>
      <c r="B71" s="45">
        <v>100000000</v>
      </c>
      <c r="C71" s="46">
        <f t="shared" si="5"/>
        <v>1</v>
      </c>
      <c r="D71" s="97" t="s">
        <v>111</v>
      </c>
      <c r="E71" s="6" t="s">
        <v>175</v>
      </c>
      <c r="F71" s="37">
        <v>66.290999999999997</v>
      </c>
      <c r="G71" s="41">
        <f t="shared" si="6"/>
        <v>66.290999999999997</v>
      </c>
      <c r="H71" s="17">
        <v>8.16</v>
      </c>
      <c r="I71" s="17">
        <v>32.9</v>
      </c>
      <c r="J71" s="17">
        <v>157.93</v>
      </c>
      <c r="K71" s="18">
        <v>540.93456000000003</v>
      </c>
      <c r="L71" s="17">
        <v>2180.9739</v>
      </c>
      <c r="M71" s="17">
        <v>10469.33763</v>
      </c>
      <c r="N71" s="18">
        <v>346.03901999999999</v>
      </c>
      <c r="O71" s="17">
        <v>1834.27197</v>
      </c>
      <c r="P71" s="17">
        <v>3828.9681599999999</v>
      </c>
      <c r="Q71" s="42">
        <f t="shared" si="7"/>
        <v>346.03901999999999</v>
      </c>
      <c r="R71" s="43">
        <f t="shared" si="8"/>
        <v>1834.27197</v>
      </c>
      <c r="S71" s="44">
        <f t="shared" si="9"/>
        <v>3828.9681599999999</v>
      </c>
      <c r="T71" s="128">
        <f>(G71-G72)/G72</f>
        <v>-0.80416248153618908</v>
      </c>
      <c r="U71" s="129">
        <f>(Q71-Q72)/Q72</f>
        <v>-0.77079106583383572</v>
      </c>
      <c r="V71" s="129">
        <f>(R71-R72)/R72</f>
        <v>-0.77048605947083237</v>
      </c>
      <c r="W71" s="130">
        <f>(S71-S72)/S72</f>
        <v>-0.76792008480776119</v>
      </c>
    </row>
    <row r="72" spans="1:23" x14ac:dyDescent="0.25">
      <c r="A72" s="133"/>
      <c r="B72" s="45">
        <v>10000000</v>
      </c>
      <c r="C72" s="46">
        <f t="shared" si="5"/>
        <v>10</v>
      </c>
      <c r="D72" s="97"/>
      <c r="E72" s="6" t="s">
        <v>176</v>
      </c>
      <c r="F72" s="37">
        <v>33.85</v>
      </c>
      <c r="G72" s="41">
        <f t="shared" si="6"/>
        <v>338.5</v>
      </c>
      <c r="H72" s="17">
        <v>8.64</v>
      </c>
      <c r="I72" s="17">
        <v>28.84</v>
      </c>
      <c r="J72" s="17">
        <v>140.68</v>
      </c>
      <c r="K72" s="18">
        <v>292.46400000000011</v>
      </c>
      <c r="L72" s="17">
        <v>976.23400000000004</v>
      </c>
      <c r="M72" s="17">
        <v>4762.018</v>
      </c>
      <c r="N72" s="18">
        <v>150.971</v>
      </c>
      <c r="O72" s="17">
        <v>799.19849999999997</v>
      </c>
      <c r="P72" s="17">
        <v>1649.8489999999999</v>
      </c>
      <c r="Q72" s="42">
        <f t="shared" si="7"/>
        <v>1509.71</v>
      </c>
      <c r="R72" s="43">
        <f t="shared" si="8"/>
        <v>7991.9849999999997</v>
      </c>
      <c r="S72" s="44">
        <f t="shared" si="9"/>
        <v>16498.489999999998</v>
      </c>
      <c r="T72" s="98"/>
      <c r="U72" s="99"/>
      <c r="V72" s="99"/>
      <c r="W72" s="100"/>
    </row>
    <row r="73" spans="1:23" x14ac:dyDescent="0.25">
      <c r="A73" s="133"/>
      <c r="B73" s="45">
        <v>100000000</v>
      </c>
      <c r="C73" s="46">
        <f t="shared" si="5"/>
        <v>1</v>
      </c>
      <c r="D73" s="97" t="s">
        <v>114</v>
      </c>
      <c r="E73" s="6" t="s">
        <v>175</v>
      </c>
      <c r="F73" s="37">
        <v>76.941999999999993</v>
      </c>
      <c r="G73" s="41">
        <f t="shared" si="6"/>
        <v>76.941999999999993</v>
      </c>
      <c r="H73" s="17">
        <v>7.88</v>
      </c>
      <c r="I73" s="17">
        <v>34.28</v>
      </c>
      <c r="J73" s="17">
        <v>162.94999999999999</v>
      </c>
      <c r="K73" s="18">
        <v>606.30295999999998</v>
      </c>
      <c r="L73" s="17">
        <v>2637.5717599999998</v>
      </c>
      <c r="M73" s="17">
        <v>12537.698899999999</v>
      </c>
      <c r="N73" s="18">
        <v>380.09348</v>
      </c>
      <c r="O73" s="17">
        <v>2235.1651000000002</v>
      </c>
      <c r="P73" s="17">
        <v>4830.4187599999996</v>
      </c>
      <c r="Q73" s="42">
        <f t="shared" si="7"/>
        <v>380.09348</v>
      </c>
      <c r="R73" s="43">
        <f t="shared" si="8"/>
        <v>2235.1651000000002</v>
      </c>
      <c r="S73" s="44">
        <f t="shared" si="9"/>
        <v>4830.4187599999996</v>
      </c>
      <c r="T73" s="128">
        <f>(G73-G74)/G74</f>
        <v>-0.84634034309907535</v>
      </c>
      <c r="U73" s="129">
        <f>(Q73-Q74)/Q74</f>
        <v>-0.83640545148910184</v>
      </c>
      <c r="V73" s="129">
        <f>(R73-R74)/R74</f>
        <v>-0.82597220144359218</v>
      </c>
      <c r="W73" s="130">
        <f>(S73-S74)/S74</f>
        <v>-0.82069231858289871</v>
      </c>
    </row>
    <row r="74" spans="1:23" x14ac:dyDescent="0.25">
      <c r="A74" s="133"/>
      <c r="B74" s="45">
        <v>10000000</v>
      </c>
      <c r="C74" s="46">
        <f t="shared" si="5"/>
        <v>10</v>
      </c>
      <c r="D74" s="97"/>
      <c r="E74" s="6" t="s">
        <v>176</v>
      </c>
      <c r="F74" s="37">
        <v>50.073</v>
      </c>
      <c r="G74" s="41">
        <f t="shared" si="6"/>
        <v>500.73</v>
      </c>
      <c r="H74" s="17">
        <v>8.82</v>
      </c>
      <c r="I74" s="17">
        <v>30.88</v>
      </c>
      <c r="J74" s="17">
        <v>145.74</v>
      </c>
      <c r="K74" s="18">
        <v>441.64386000000002</v>
      </c>
      <c r="L74" s="17">
        <v>1546.25424</v>
      </c>
      <c r="M74" s="17">
        <v>7297.6390200000014</v>
      </c>
      <c r="N74" s="18">
        <v>232.33872</v>
      </c>
      <c r="O74" s="17">
        <v>1284.3724500000001</v>
      </c>
      <c r="P74" s="17">
        <v>2693.9274</v>
      </c>
      <c r="Q74" s="42">
        <f t="shared" si="7"/>
        <v>2323.3872000000001</v>
      </c>
      <c r="R74" s="43">
        <f t="shared" si="8"/>
        <v>12843.7245</v>
      </c>
      <c r="S74" s="44">
        <f t="shared" si="9"/>
        <v>26939.274000000001</v>
      </c>
      <c r="T74" s="98"/>
      <c r="U74" s="99"/>
      <c r="V74" s="99"/>
      <c r="W74" s="100"/>
    </row>
    <row r="75" spans="1:23" x14ac:dyDescent="0.25">
      <c r="A75" s="133" t="s">
        <v>63</v>
      </c>
      <c r="B75" s="45">
        <v>10000000000</v>
      </c>
      <c r="C75" s="46">
        <f t="shared" si="5"/>
        <v>0.01</v>
      </c>
      <c r="D75" s="97" t="s">
        <v>111</v>
      </c>
      <c r="E75" s="6" t="s">
        <v>175</v>
      </c>
      <c r="F75" s="37">
        <v>2.0939999999999999</v>
      </c>
      <c r="G75" s="41">
        <f t="shared" si="6"/>
        <v>2.094E-2</v>
      </c>
      <c r="H75" s="17">
        <v>5.15</v>
      </c>
      <c r="I75" s="17">
        <v>20.81</v>
      </c>
      <c r="J75" s="17">
        <v>137.52000000000001</v>
      </c>
      <c r="K75" s="18">
        <v>10.7841</v>
      </c>
      <c r="L75" s="17">
        <v>43.576140000000002</v>
      </c>
      <c r="M75" s="17">
        <v>287.96688</v>
      </c>
      <c r="N75" s="18">
        <v>7.2661800000000003</v>
      </c>
      <c r="O75" s="17">
        <v>42.361619999999988</v>
      </c>
      <c r="P75" s="17">
        <v>102.33378</v>
      </c>
      <c r="Q75" s="42">
        <f t="shared" si="7"/>
        <v>7.2661799999999999E-2</v>
      </c>
      <c r="R75" s="43">
        <f t="shared" si="8"/>
        <v>0.42361619999999989</v>
      </c>
      <c r="S75" s="44">
        <f t="shared" si="9"/>
        <v>1.0233378</v>
      </c>
      <c r="T75" s="128">
        <f>(G75-G76)/G76</f>
        <v>-0.99428649386084589</v>
      </c>
      <c r="U75" s="129">
        <f>(Q75-Q76)/Q76</f>
        <v>-0.99430291198193532</v>
      </c>
      <c r="V75" s="129">
        <f>(R75-R76)/R76</f>
        <v>-0.9942236767018946</v>
      </c>
      <c r="W75" s="130">
        <f>(S75-S76)/S76</f>
        <v>-0.99402867739477185</v>
      </c>
    </row>
    <row r="76" spans="1:23" x14ac:dyDescent="0.25">
      <c r="A76" s="133"/>
      <c r="B76" s="45">
        <v>100000000</v>
      </c>
      <c r="C76" s="46">
        <f t="shared" si="5"/>
        <v>1</v>
      </c>
      <c r="D76" s="97"/>
      <c r="E76" s="6" t="s">
        <v>176</v>
      </c>
      <c r="F76" s="37">
        <v>3.665</v>
      </c>
      <c r="G76" s="41">
        <f t="shared" si="6"/>
        <v>3.665</v>
      </c>
      <c r="H76" s="17">
        <v>5.16</v>
      </c>
      <c r="I76" s="17">
        <v>20.59</v>
      </c>
      <c r="J76" s="17">
        <v>135</v>
      </c>
      <c r="K76" s="18">
        <v>18.9114</v>
      </c>
      <c r="L76" s="17">
        <v>75.462350000000001</v>
      </c>
      <c r="M76" s="17">
        <v>494.77499999999998</v>
      </c>
      <c r="N76" s="18">
        <v>12.754200000000001</v>
      </c>
      <c r="O76" s="17">
        <v>73.336650000000006</v>
      </c>
      <c r="P76" s="17">
        <v>171.37540000000001</v>
      </c>
      <c r="Q76" s="42">
        <f t="shared" si="7"/>
        <v>12.754200000000001</v>
      </c>
      <c r="R76" s="43">
        <f t="shared" si="8"/>
        <v>73.336650000000006</v>
      </c>
      <c r="S76" s="44">
        <f t="shared" si="9"/>
        <v>171.37540000000001</v>
      </c>
      <c r="T76" s="98"/>
      <c r="U76" s="99"/>
      <c r="V76" s="99"/>
      <c r="W76" s="100"/>
    </row>
    <row r="77" spans="1:23" x14ac:dyDescent="0.25">
      <c r="A77" s="133"/>
      <c r="B77" s="45">
        <v>10000000000</v>
      </c>
      <c r="C77" s="46">
        <f t="shared" si="5"/>
        <v>0.01</v>
      </c>
      <c r="D77" s="97" t="s">
        <v>114</v>
      </c>
      <c r="E77" s="6" t="s">
        <v>175</v>
      </c>
      <c r="F77" s="37">
        <v>1.571</v>
      </c>
      <c r="G77" s="41">
        <f t="shared" si="6"/>
        <v>1.5709999999999998E-2</v>
      </c>
      <c r="H77" s="17">
        <v>5.17</v>
      </c>
      <c r="I77" s="17">
        <v>18.899999999999999</v>
      </c>
      <c r="J77" s="17">
        <v>134.47999999999999</v>
      </c>
      <c r="K77" s="18">
        <v>8.122069999999999</v>
      </c>
      <c r="L77" s="17">
        <v>29.6919</v>
      </c>
      <c r="M77" s="17">
        <v>211.26808</v>
      </c>
      <c r="N77" s="18">
        <v>5.4827899999999996</v>
      </c>
      <c r="O77" s="17">
        <v>28.780719999999999</v>
      </c>
      <c r="P77" s="17">
        <v>71.983220000000003</v>
      </c>
      <c r="Q77" s="42">
        <f t="shared" si="7"/>
        <v>5.4827899999999999E-2</v>
      </c>
      <c r="R77" s="43">
        <f t="shared" si="8"/>
        <v>0.28780719999999999</v>
      </c>
      <c r="S77" s="44">
        <f t="shared" si="9"/>
        <v>0.71983220000000003</v>
      </c>
      <c r="T77" s="128">
        <f>(G77-G78)/G78</f>
        <v>-0.99623351714217201</v>
      </c>
      <c r="U77" s="129">
        <f>(Q77-Q78)/Q78</f>
        <v>-0.99622269391556928</v>
      </c>
      <c r="V77" s="129">
        <f>(R77-R78)/R78</f>
        <v>-0.9964578046224124</v>
      </c>
      <c r="W77" s="130">
        <f>(S77-S78)/S78</f>
        <v>-0.99611130589126462</v>
      </c>
    </row>
    <row r="78" spans="1:23" x14ac:dyDescent="0.25">
      <c r="A78" s="133"/>
      <c r="B78" s="45">
        <v>100000000</v>
      </c>
      <c r="C78" s="46">
        <f t="shared" si="5"/>
        <v>1</v>
      </c>
      <c r="D78" s="97"/>
      <c r="E78" s="6" t="s">
        <v>176</v>
      </c>
      <c r="F78" s="37">
        <v>4.1710000000000003</v>
      </c>
      <c r="G78" s="41">
        <f t="shared" si="6"/>
        <v>4.1710000000000003</v>
      </c>
      <c r="H78" s="17">
        <v>5.16</v>
      </c>
      <c r="I78" s="17">
        <v>20.059999999999999</v>
      </c>
      <c r="J78" s="17">
        <v>132.62</v>
      </c>
      <c r="K78" s="18">
        <v>21.522359999999999</v>
      </c>
      <c r="L78" s="17">
        <v>83.670259999999999</v>
      </c>
      <c r="M78" s="17">
        <v>553.15802000000008</v>
      </c>
      <c r="N78" s="18">
        <v>14.515079999999999</v>
      </c>
      <c r="O78" s="17">
        <v>81.251080000000002</v>
      </c>
      <c r="P78" s="17">
        <v>185.10898</v>
      </c>
      <c r="Q78" s="42">
        <f t="shared" si="7"/>
        <v>14.515079999999999</v>
      </c>
      <c r="R78" s="43">
        <f t="shared" si="8"/>
        <v>81.251080000000002</v>
      </c>
      <c r="S78" s="44">
        <f t="shared" si="9"/>
        <v>185.10898</v>
      </c>
      <c r="T78" s="98"/>
      <c r="U78" s="99"/>
      <c r="V78" s="99"/>
      <c r="W78" s="100"/>
    </row>
    <row r="79" spans="1:23" x14ac:dyDescent="0.25">
      <c r="A79" s="133" t="s">
        <v>65</v>
      </c>
      <c r="B79" s="45">
        <v>10000000000</v>
      </c>
      <c r="C79" s="46">
        <f t="shared" si="5"/>
        <v>0.01</v>
      </c>
      <c r="D79" s="97" t="s">
        <v>111</v>
      </c>
      <c r="E79" s="6" t="s">
        <v>175</v>
      </c>
      <c r="F79" s="37">
        <v>1.571</v>
      </c>
      <c r="G79" s="41">
        <f t="shared" si="6"/>
        <v>1.5709999999999998E-2</v>
      </c>
      <c r="H79" s="17">
        <v>5.18</v>
      </c>
      <c r="I79" s="17">
        <v>18.77</v>
      </c>
      <c r="J79" s="17">
        <v>135.15</v>
      </c>
      <c r="K79" s="18">
        <v>8.1377799999999993</v>
      </c>
      <c r="L79" s="17">
        <v>29.487670000000001</v>
      </c>
      <c r="M79" s="17">
        <v>212.32065</v>
      </c>
      <c r="N79" s="18">
        <v>6.2997099999999993</v>
      </c>
      <c r="O79" s="17">
        <v>28.57649</v>
      </c>
      <c r="P79" s="17">
        <v>67.144540000000006</v>
      </c>
      <c r="Q79" s="42">
        <f t="shared" si="7"/>
        <v>6.29971E-2</v>
      </c>
      <c r="R79" s="43">
        <f t="shared" si="8"/>
        <v>0.28576489999999999</v>
      </c>
      <c r="S79" s="44">
        <f t="shared" si="9"/>
        <v>0.67144540000000008</v>
      </c>
      <c r="T79" s="128">
        <f>(G79-G80)/G80</f>
        <v>-0.99886774774774767</v>
      </c>
      <c r="U79" s="129">
        <f>(Q79-Q80)/Q80</f>
        <v>-0.99882069310869315</v>
      </c>
      <c r="V79" s="129">
        <f>(R79-R80)/R80</f>
        <v>-0.99880466230595077</v>
      </c>
      <c r="W79" s="130">
        <f>(S79-S80)/S80</f>
        <v>-0.99892317620691451</v>
      </c>
    </row>
    <row r="80" spans="1:23" x14ac:dyDescent="0.25">
      <c r="A80" s="133"/>
      <c r="B80" s="45">
        <v>100000000</v>
      </c>
      <c r="C80" s="46">
        <f t="shared" si="5"/>
        <v>1</v>
      </c>
      <c r="D80" s="97"/>
      <c r="E80" s="6" t="s">
        <v>176</v>
      </c>
      <c r="F80" s="37">
        <v>13.875</v>
      </c>
      <c r="G80" s="41">
        <f t="shared" si="6"/>
        <v>13.875</v>
      </c>
      <c r="H80" s="17">
        <v>8.61</v>
      </c>
      <c r="I80" s="17">
        <v>20.14</v>
      </c>
      <c r="J80" s="17">
        <v>138.41</v>
      </c>
      <c r="K80" s="18">
        <v>119.46375</v>
      </c>
      <c r="L80" s="17">
        <v>279.4425</v>
      </c>
      <c r="M80" s="17">
        <v>1920.43875</v>
      </c>
      <c r="N80" s="18">
        <v>53.418750000000003</v>
      </c>
      <c r="O80" s="17">
        <v>239.06625</v>
      </c>
      <c r="P80" s="17">
        <v>623.54250000000002</v>
      </c>
      <c r="Q80" s="42">
        <f t="shared" si="7"/>
        <v>53.418750000000003</v>
      </c>
      <c r="R80" s="43">
        <f t="shared" si="8"/>
        <v>239.06625</v>
      </c>
      <c r="S80" s="44">
        <f t="shared" si="9"/>
        <v>623.54250000000002</v>
      </c>
      <c r="T80" s="98"/>
      <c r="U80" s="99"/>
      <c r="V80" s="99"/>
      <c r="W80" s="100"/>
    </row>
    <row r="81" spans="1:23" x14ac:dyDescent="0.25">
      <c r="A81" s="133"/>
      <c r="B81" s="45">
        <v>10000000000</v>
      </c>
      <c r="C81" s="46">
        <f t="shared" si="5"/>
        <v>0.01</v>
      </c>
      <c r="D81" s="97" t="s">
        <v>114</v>
      </c>
      <c r="E81" s="6" t="s">
        <v>175</v>
      </c>
      <c r="F81" s="37">
        <v>1.571</v>
      </c>
      <c r="G81" s="41">
        <f t="shared" si="6"/>
        <v>1.5709999999999998E-2</v>
      </c>
      <c r="H81" s="17">
        <v>5.16</v>
      </c>
      <c r="I81" s="17">
        <v>18.850000000000001</v>
      </c>
      <c r="J81" s="17">
        <v>135.94</v>
      </c>
      <c r="K81" s="18">
        <v>8.1063600000000005</v>
      </c>
      <c r="L81" s="17">
        <v>29.613350000000001</v>
      </c>
      <c r="M81" s="17">
        <v>213.56173999999999</v>
      </c>
      <c r="N81" s="18">
        <v>6.2682900000000004</v>
      </c>
      <c r="O81" s="17">
        <v>28.702169999999999</v>
      </c>
      <c r="P81" s="17">
        <v>68.385630000000006</v>
      </c>
      <c r="Q81" s="42">
        <f t="shared" si="7"/>
        <v>6.26829E-2</v>
      </c>
      <c r="R81" s="43">
        <f t="shared" si="8"/>
        <v>0.28702169999999999</v>
      </c>
      <c r="S81" s="44">
        <f t="shared" si="9"/>
        <v>0.68385630000000008</v>
      </c>
      <c r="T81" s="128">
        <f>(G81-G82)/G82</f>
        <v>-0.99882996946451175</v>
      </c>
      <c r="U81" s="129">
        <f>(Q81-Q82)/Q82</f>
        <v>-0.99882110559681869</v>
      </c>
      <c r="V81" s="129">
        <f>(R81-R82)/R82</f>
        <v>-0.99883316277929213</v>
      </c>
      <c r="W81" s="130">
        <f>(S81-S82)/S82</f>
        <v>-0.99884770522149768</v>
      </c>
    </row>
    <row r="82" spans="1:23" x14ac:dyDescent="0.25">
      <c r="A82" s="133"/>
      <c r="B82" s="45">
        <v>100000000</v>
      </c>
      <c r="C82" s="46">
        <f t="shared" si="5"/>
        <v>1</v>
      </c>
      <c r="D82" s="97"/>
      <c r="E82" s="6" t="s">
        <v>176</v>
      </c>
      <c r="F82" s="37">
        <v>13.427</v>
      </c>
      <c r="G82" s="41">
        <f t="shared" si="6"/>
        <v>13.427</v>
      </c>
      <c r="H82" s="17">
        <v>8.7200000000000006</v>
      </c>
      <c r="I82" s="17">
        <v>21.23</v>
      </c>
      <c r="J82" s="17">
        <v>137.66999999999999</v>
      </c>
      <c r="K82" s="18">
        <v>117.08344</v>
      </c>
      <c r="L82" s="17">
        <v>285.05520999999999</v>
      </c>
      <c r="M82" s="17">
        <v>1848.4950899999999</v>
      </c>
      <c r="N82" s="18">
        <v>53.170920000000002</v>
      </c>
      <c r="O82" s="17">
        <v>245.98264</v>
      </c>
      <c r="P82" s="17">
        <v>593.47339999999997</v>
      </c>
      <c r="Q82" s="42">
        <f t="shared" si="7"/>
        <v>53.170920000000002</v>
      </c>
      <c r="R82" s="43">
        <f t="shared" si="8"/>
        <v>245.98264</v>
      </c>
      <c r="S82" s="44">
        <f t="shared" si="9"/>
        <v>593.47339999999997</v>
      </c>
      <c r="T82" s="98"/>
      <c r="U82" s="99"/>
      <c r="V82" s="99"/>
      <c r="W82" s="100"/>
    </row>
    <row r="83" spans="1:23" x14ac:dyDescent="0.25">
      <c r="A83" s="133" t="s">
        <v>71</v>
      </c>
      <c r="B83" s="45">
        <v>10000000000</v>
      </c>
      <c r="C83" s="46">
        <f t="shared" si="5"/>
        <v>0.01</v>
      </c>
      <c r="D83" s="97" t="s">
        <v>111</v>
      </c>
      <c r="E83" s="6" t="s">
        <v>175</v>
      </c>
      <c r="F83" s="37">
        <v>59.052</v>
      </c>
      <c r="G83" s="41">
        <f t="shared" si="6"/>
        <v>0.59052000000000004</v>
      </c>
      <c r="H83" s="17">
        <v>5.0999999999999996</v>
      </c>
      <c r="I83" s="17">
        <v>24.85</v>
      </c>
      <c r="J83" s="17">
        <v>143.66</v>
      </c>
      <c r="K83" s="18">
        <v>301.16520000000003</v>
      </c>
      <c r="L83" s="17">
        <v>1467.4422</v>
      </c>
      <c r="M83" s="17">
        <v>8483.410319999999</v>
      </c>
      <c r="N83" s="18">
        <v>232.07436000000001</v>
      </c>
      <c r="O83" s="17">
        <v>1433.1920399999999</v>
      </c>
      <c r="P83" s="17">
        <v>3086.0575199999998</v>
      </c>
      <c r="Q83" s="42">
        <f t="shared" si="7"/>
        <v>2.3207436000000001</v>
      </c>
      <c r="R83" s="43">
        <f t="shared" si="8"/>
        <v>14.3319204</v>
      </c>
      <c r="S83" s="44">
        <f t="shared" si="9"/>
        <v>30.8605752</v>
      </c>
      <c r="T83" s="128">
        <f>(G83-G84)/G84</f>
        <v>-0.97372897944656989</v>
      </c>
      <c r="U83" s="129">
        <f>(Q83-Q84)/Q84</f>
        <v>-0.97179095334016941</v>
      </c>
      <c r="V83" s="129">
        <f>(R83-R84)/R84</f>
        <v>-0.97384751153274229</v>
      </c>
      <c r="W83" s="130">
        <f>(S83-S84)/S84</f>
        <v>-0.97421739842023936</v>
      </c>
    </row>
    <row r="84" spans="1:23" x14ac:dyDescent="0.25">
      <c r="A84" s="133"/>
      <c r="B84" s="45">
        <v>100000000</v>
      </c>
      <c r="C84" s="46">
        <f t="shared" si="5"/>
        <v>1</v>
      </c>
      <c r="D84" s="97"/>
      <c r="E84" s="6" t="s">
        <v>176</v>
      </c>
      <c r="F84" s="37">
        <v>22.478000000000002</v>
      </c>
      <c r="G84" s="41">
        <f t="shared" si="6"/>
        <v>22.478000000000002</v>
      </c>
      <c r="H84" s="17">
        <v>5.09</v>
      </c>
      <c r="I84" s="17">
        <v>24.96</v>
      </c>
      <c r="J84" s="17">
        <v>143.47999999999999</v>
      </c>
      <c r="K84" s="18">
        <v>114.41302</v>
      </c>
      <c r="L84" s="17">
        <v>561.05088000000001</v>
      </c>
      <c r="M84" s="17">
        <v>3225.1434399999998</v>
      </c>
      <c r="N84" s="18">
        <v>82.269480000000016</v>
      </c>
      <c r="O84" s="17">
        <v>548.01364000000001</v>
      </c>
      <c r="P84" s="17">
        <v>1196.9535000000001</v>
      </c>
      <c r="Q84" s="42">
        <f t="shared" si="7"/>
        <v>82.269480000000016</v>
      </c>
      <c r="R84" s="43">
        <f t="shared" si="8"/>
        <v>548.01364000000001</v>
      </c>
      <c r="S84" s="44">
        <f t="shared" si="9"/>
        <v>1196.9535000000001</v>
      </c>
      <c r="T84" s="98"/>
      <c r="U84" s="99"/>
      <c r="V84" s="99"/>
      <c r="W84" s="100"/>
    </row>
    <row r="85" spans="1:23" x14ac:dyDescent="0.25">
      <c r="A85" s="133"/>
      <c r="B85" s="45">
        <v>10000000000</v>
      </c>
      <c r="C85" s="46">
        <f t="shared" si="5"/>
        <v>0.01</v>
      </c>
      <c r="D85" s="97" t="s">
        <v>114</v>
      </c>
      <c r="E85" s="6" t="s">
        <v>175</v>
      </c>
      <c r="F85" s="37">
        <v>54.884999999999998</v>
      </c>
      <c r="G85" s="41">
        <f t="shared" si="6"/>
        <v>0.54884999999999995</v>
      </c>
      <c r="H85" s="17">
        <v>5.0999999999999996</v>
      </c>
      <c r="I85" s="17">
        <v>25.24</v>
      </c>
      <c r="J85" s="17">
        <v>143.4</v>
      </c>
      <c r="K85" s="18">
        <v>279.91349999999989</v>
      </c>
      <c r="L85" s="17">
        <v>1385.2973999999999</v>
      </c>
      <c r="M85" s="17">
        <v>7870.509</v>
      </c>
      <c r="N85" s="18">
        <v>215.69804999999999</v>
      </c>
      <c r="O85" s="17">
        <v>1353.4640999999999</v>
      </c>
      <c r="P85" s="17">
        <v>2854.5688500000001</v>
      </c>
      <c r="Q85" s="42">
        <f t="shared" si="7"/>
        <v>2.1569805</v>
      </c>
      <c r="R85" s="43">
        <f t="shared" si="8"/>
        <v>13.534640999999999</v>
      </c>
      <c r="S85" s="44">
        <f t="shared" si="9"/>
        <v>28.545688500000001</v>
      </c>
      <c r="T85" s="128">
        <f>(G85-G86)/G86</f>
        <v>-0.97102929532858262</v>
      </c>
      <c r="U85" s="129">
        <f>(Q85-Q86)/Q86</f>
        <v>-0.96897687483414985</v>
      </c>
      <c r="V85" s="129">
        <f>(R85-R86)/R86</f>
        <v>-0.97028213073223168</v>
      </c>
      <c r="W85" s="130">
        <f>(S85-S86)/S86</f>
        <v>-0.97159188631296356</v>
      </c>
    </row>
    <row r="86" spans="1:23" x14ac:dyDescent="0.25">
      <c r="A86" s="133"/>
      <c r="B86" s="45">
        <v>100000000</v>
      </c>
      <c r="C86" s="46">
        <f t="shared" si="5"/>
        <v>1</v>
      </c>
      <c r="D86" s="97"/>
      <c r="E86" s="6" t="s">
        <v>176</v>
      </c>
      <c r="F86" s="37">
        <v>18.945</v>
      </c>
      <c r="G86" s="41">
        <f t="shared" si="6"/>
        <v>18.945</v>
      </c>
      <c r="H86" s="17">
        <v>5.0999999999999996</v>
      </c>
      <c r="I86" s="17">
        <v>24.62</v>
      </c>
      <c r="J86" s="17">
        <v>143.28</v>
      </c>
      <c r="K86" s="18">
        <v>96.619499999999988</v>
      </c>
      <c r="L86" s="17">
        <v>466.42590000000001</v>
      </c>
      <c r="M86" s="17">
        <v>2714.4396000000002</v>
      </c>
      <c r="N86" s="18">
        <v>69.528149999999997</v>
      </c>
      <c r="O86" s="17">
        <v>455.43779999999998</v>
      </c>
      <c r="P86" s="17">
        <v>1004.8428</v>
      </c>
      <c r="Q86" s="42">
        <f t="shared" si="7"/>
        <v>69.528149999999997</v>
      </c>
      <c r="R86" s="43">
        <f t="shared" si="8"/>
        <v>455.43779999999998</v>
      </c>
      <c r="S86" s="44">
        <f t="shared" si="9"/>
        <v>1004.8428</v>
      </c>
      <c r="T86" s="98"/>
      <c r="U86" s="99"/>
      <c r="V86" s="99"/>
      <c r="W86" s="100"/>
    </row>
    <row r="87" spans="1:23" x14ac:dyDescent="0.25">
      <c r="A87" s="133" t="s">
        <v>79</v>
      </c>
      <c r="B87" s="45">
        <v>10000000000</v>
      </c>
      <c r="C87" s="46">
        <f t="shared" si="5"/>
        <v>0.01</v>
      </c>
      <c r="D87" s="97" t="s">
        <v>111</v>
      </c>
      <c r="E87" s="6" t="s">
        <v>175</v>
      </c>
      <c r="F87" s="37">
        <v>82.471000000000004</v>
      </c>
      <c r="G87" s="41">
        <f t="shared" si="6"/>
        <v>0.82471000000000005</v>
      </c>
      <c r="H87" s="17">
        <v>6.6</v>
      </c>
      <c r="I87" s="17">
        <v>32.6</v>
      </c>
      <c r="J87" s="17">
        <v>152.63999999999999</v>
      </c>
      <c r="K87" s="18">
        <v>544.30859999999996</v>
      </c>
      <c r="L87" s="17">
        <v>2688.5545999999999</v>
      </c>
      <c r="M87" s="17">
        <v>12588.373439999999</v>
      </c>
      <c r="N87" s="18">
        <v>385.13956999999999</v>
      </c>
      <c r="O87" s="17">
        <v>2448.5639900000001</v>
      </c>
      <c r="P87" s="17">
        <v>4750.3296</v>
      </c>
      <c r="Q87" s="42">
        <f t="shared" si="7"/>
        <v>3.8513956999999999</v>
      </c>
      <c r="R87" s="43">
        <f t="shared" si="8"/>
        <v>24.485639900000002</v>
      </c>
      <c r="S87" s="44">
        <f t="shared" si="9"/>
        <v>47.503295999999999</v>
      </c>
      <c r="T87" s="128">
        <f>(G87-G88)/G88</f>
        <v>-0.99603447612636431</v>
      </c>
      <c r="U87" s="129">
        <f>(Q87-Q88)/Q88</f>
        <v>-0.99489834807441369</v>
      </c>
      <c r="V87" s="129">
        <f>(R87-R88)/R88</f>
        <v>-0.99442271891007861</v>
      </c>
      <c r="W87" s="130">
        <f>(S87-S88)/S88</f>
        <v>-0.99512560445750287</v>
      </c>
    </row>
    <row r="88" spans="1:23" x14ac:dyDescent="0.25">
      <c r="A88" s="133"/>
      <c r="B88" s="45">
        <v>10000000</v>
      </c>
      <c r="C88" s="46">
        <f t="shared" si="5"/>
        <v>10</v>
      </c>
      <c r="D88" s="97"/>
      <c r="E88" s="6" t="s">
        <v>176</v>
      </c>
      <c r="F88" s="37">
        <v>20.797000000000001</v>
      </c>
      <c r="G88" s="41">
        <f t="shared" si="6"/>
        <v>207.97</v>
      </c>
      <c r="H88" s="17">
        <v>5.0599999999999996</v>
      </c>
      <c r="I88" s="17">
        <v>21.69</v>
      </c>
      <c r="J88" s="17">
        <v>134.19</v>
      </c>
      <c r="K88" s="18">
        <v>105.23282</v>
      </c>
      <c r="L88" s="17">
        <v>451.08693000000011</v>
      </c>
      <c r="M88" s="17">
        <v>2790.7494299999998</v>
      </c>
      <c r="N88" s="18">
        <v>75.493110000000001</v>
      </c>
      <c r="O88" s="17">
        <v>439.02467000000001</v>
      </c>
      <c r="P88" s="17">
        <v>974.54741999999999</v>
      </c>
      <c r="Q88" s="42">
        <f t="shared" si="7"/>
        <v>754.93110000000001</v>
      </c>
      <c r="R88" s="43">
        <f t="shared" si="8"/>
        <v>4390.2466999999997</v>
      </c>
      <c r="S88" s="44">
        <f t="shared" si="9"/>
        <v>9745.4742000000006</v>
      </c>
      <c r="T88" s="98"/>
      <c r="U88" s="99"/>
      <c r="V88" s="99"/>
      <c r="W88" s="100"/>
    </row>
    <row r="89" spans="1:23" x14ac:dyDescent="0.25">
      <c r="A89" s="133"/>
      <c r="B89" s="45">
        <v>10000000000</v>
      </c>
      <c r="C89" s="46">
        <f t="shared" si="5"/>
        <v>0.01</v>
      </c>
      <c r="D89" s="97" t="s">
        <v>114</v>
      </c>
      <c r="E89" s="6" t="s">
        <v>175</v>
      </c>
      <c r="F89" s="37">
        <v>82.043000000000006</v>
      </c>
      <c r="G89" s="41">
        <f t="shared" si="6"/>
        <v>0.8204300000000001</v>
      </c>
      <c r="H89" s="17">
        <v>6.5</v>
      </c>
      <c r="I89" s="17">
        <v>32.21</v>
      </c>
      <c r="J89" s="17">
        <v>151.51</v>
      </c>
      <c r="K89" s="18">
        <v>533.2795000000001</v>
      </c>
      <c r="L89" s="17">
        <v>2642.6050300000002</v>
      </c>
      <c r="M89" s="17">
        <v>12430.334930000001</v>
      </c>
      <c r="N89" s="18">
        <v>374.93651000000011</v>
      </c>
      <c r="O89" s="17">
        <v>2403.8598999999999</v>
      </c>
      <c r="P89" s="17">
        <v>4632.96821</v>
      </c>
      <c r="Q89" s="42">
        <f t="shared" si="7"/>
        <v>3.7493651000000012</v>
      </c>
      <c r="R89" s="43">
        <f t="shared" si="8"/>
        <v>24.038599000000001</v>
      </c>
      <c r="S89" s="44">
        <f t="shared" si="9"/>
        <v>46.329682099999999</v>
      </c>
      <c r="T89" s="128">
        <f>(G89-G90)/G90</f>
        <v>-0.98439357047745857</v>
      </c>
      <c r="U89" s="129">
        <f>(Q89-Q90)/Q90</f>
        <v>-0.98051328335573384</v>
      </c>
      <c r="V89" s="129">
        <f>(R89-R90)/R90</f>
        <v>-0.97922451681006539</v>
      </c>
      <c r="W89" s="130">
        <f>(S89-S90)/S90</f>
        <v>-0.98291732748327376</v>
      </c>
    </row>
    <row r="90" spans="1:23" x14ac:dyDescent="0.25">
      <c r="A90" s="133"/>
      <c r="B90" s="45">
        <v>10000000</v>
      </c>
      <c r="C90" s="46">
        <f t="shared" si="5"/>
        <v>10</v>
      </c>
      <c r="D90" s="97"/>
      <c r="E90" s="6" t="s">
        <v>176</v>
      </c>
      <c r="F90" s="37">
        <v>5.2569999999999997</v>
      </c>
      <c r="G90" s="41">
        <f t="shared" si="6"/>
        <v>52.569999999999993</v>
      </c>
      <c r="H90" s="17">
        <v>5.09</v>
      </c>
      <c r="I90" s="17">
        <v>22.59</v>
      </c>
      <c r="J90" s="17">
        <v>138.91999999999999</v>
      </c>
      <c r="K90" s="18">
        <v>26.758130000000001</v>
      </c>
      <c r="L90" s="17">
        <v>118.75563</v>
      </c>
      <c r="M90" s="17">
        <v>730.30243999999993</v>
      </c>
      <c r="N90" s="18">
        <v>19.24062</v>
      </c>
      <c r="O90" s="17">
        <v>115.70657</v>
      </c>
      <c r="P90" s="17">
        <v>271.20863000000003</v>
      </c>
      <c r="Q90" s="42">
        <f t="shared" si="7"/>
        <v>192.40620000000001</v>
      </c>
      <c r="R90" s="43">
        <f t="shared" si="8"/>
        <v>1157.0657000000001</v>
      </c>
      <c r="S90" s="44">
        <f t="shared" si="9"/>
        <v>2712.0863000000004</v>
      </c>
      <c r="T90" s="98"/>
      <c r="U90" s="99"/>
      <c r="V90" s="99"/>
      <c r="W90" s="100"/>
    </row>
    <row r="91" spans="1:23" x14ac:dyDescent="0.25">
      <c r="A91" s="133" t="s">
        <v>87</v>
      </c>
      <c r="B91" s="45">
        <v>10000000000</v>
      </c>
      <c r="C91" s="46">
        <f t="shared" si="5"/>
        <v>0.01</v>
      </c>
      <c r="D91" s="97" t="s">
        <v>111</v>
      </c>
      <c r="E91" s="6" t="s">
        <v>175</v>
      </c>
      <c r="F91" s="37">
        <v>1.571</v>
      </c>
      <c r="G91" s="41">
        <f t="shared" si="6"/>
        <v>1.5709999999999998E-2</v>
      </c>
      <c r="H91" s="17">
        <v>5.0999999999999996</v>
      </c>
      <c r="I91" s="17">
        <v>18.89</v>
      </c>
      <c r="J91" s="17">
        <v>135.86000000000001</v>
      </c>
      <c r="K91" s="18">
        <v>8.0120999999999984</v>
      </c>
      <c r="L91" s="17">
        <v>29.676189999999998</v>
      </c>
      <c r="M91" s="17">
        <v>213.43606</v>
      </c>
      <c r="N91" s="18">
        <v>5.7655699999999994</v>
      </c>
      <c r="O91" s="17">
        <v>28.76501</v>
      </c>
      <c r="P91" s="17">
        <v>71.103459999999998</v>
      </c>
      <c r="Q91" s="42">
        <f t="shared" si="7"/>
        <v>5.7655699999999997E-2</v>
      </c>
      <c r="R91" s="43">
        <f t="shared" si="8"/>
        <v>0.28765010000000002</v>
      </c>
      <c r="S91" s="44">
        <f t="shared" si="9"/>
        <v>0.71103459999999996</v>
      </c>
      <c r="T91" s="128">
        <f>(G91-G92)/G92</f>
        <v>-0.9959635149023639</v>
      </c>
      <c r="U91" s="129">
        <f>(Q91-Q92)/Q92</f>
        <v>-0.99625911608375639</v>
      </c>
      <c r="V91" s="129">
        <f>(R91-R92)/R92</f>
        <v>-0.99648391807146919</v>
      </c>
      <c r="W91" s="130">
        <f>(S91-S92)/S92</f>
        <v>-0.99593838782750077</v>
      </c>
    </row>
    <row r="92" spans="1:23" x14ac:dyDescent="0.25">
      <c r="A92" s="133"/>
      <c r="B92" s="45">
        <v>100000000</v>
      </c>
      <c r="C92" s="46">
        <f t="shared" si="5"/>
        <v>1</v>
      </c>
      <c r="D92" s="97"/>
      <c r="E92" s="6" t="s">
        <v>176</v>
      </c>
      <c r="F92" s="37">
        <v>3.8919999999999999</v>
      </c>
      <c r="G92" s="41">
        <f t="shared" si="6"/>
        <v>3.8919999999999999</v>
      </c>
      <c r="H92" s="17">
        <v>8.14</v>
      </c>
      <c r="I92" s="17">
        <v>24.51</v>
      </c>
      <c r="J92" s="17">
        <v>139.97</v>
      </c>
      <c r="K92" s="18">
        <v>31.680879999999998</v>
      </c>
      <c r="L92" s="17">
        <v>95.392920000000004</v>
      </c>
      <c r="M92" s="17">
        <v>544.76324</v>
      </c>
      <c r="N92" s="18">
        <v>15.412319999999999</v>
      </c>
      <c r="O92" s="17">
        <v>81.809839999999994</v>
      </c>
      <c r="P92" s="17">
        <v>175.06216000000001</v>
      </c>
      <c r="Q92" s="42">
        <f t="shared" si="7"/>
        <v>15.412319999999999</v>
      </c>
      <c r="R92" s="43">
        <f t="shared" si="8"/>
        <v>81.809839999999994</v>
      </c>
      <c r="S92" s="44">
        <f t="shared" si="9"/>
        <v>175.06216000000001</v>
      </c>
      <c r="T92" s="98"/>
      <c r="U92" s="99"/>
      <c r="V92" s="99"/>
      <c r="W92" s="100"/>
    </row>
    <row r="93" spans="1:23" x14ac:dyDescent="0.25">
      <c r="A93" s="133"/>
      <c r="B93" s="45">
        <v>10000000000</v>
      </c>
      <c r="C93" s="46">
        <f t="shared" si="5"/>
        <v>0.01</v>
      </c>
      <c r="D93" s="97" t="s">
        <v>114</v>
      </c>
      <c r="E93" s="6" t="s">
        <v>175</v>
      </c>
      <c r="F93" s="37">
        <v>1.57</v>
      </c>
      <c r="G93" s="41">
        <f t="shared" si="6"/>
        <v>1.5700000000000002E-2</v>
      </c>
      <c r="H93" s="17">
        <v>5.1100000000000003</v>
      </c>
      <c r="I93" s="17">
        <v>18.95</v>
      </c>
      <c r="J93" s="17">
        <v>135.16999999999999</v>
      </c>
      <c r="K93" s="18">
        <v>8.0227000000000004</v>
      </c>
      <c r="L93" s="17">
        <v>29.7515</v>
      </c>
      <c r="M93" s="17">
        <v>212.21690000000001</v>
      </c>
      <c r="N93" s="18">
        <v>5.7776000000000014</v>
      </c>
      <c r="O93" s="17">
        <v>28.840900000000001</v>
      </c>
      <c r="P93" s="17">
        <v>69.974900000000005</v>
      </c>
      <c r="Q93" s="42">
        <f t="shared" si="7"/>
        <v>5.7776000000000015E-2</v>
      </c>
      <c r="R93" s="43">
        <f t="shared" si="8"/>
        <v>0.28840900000000003</v>
      </c>
      <c r="S93" s="44">
        <f t="shared" si="9"/>
        <v>0.69974900000000007</v>
      </c>
      <c r="T93" s="128">
        <f>(G93-G94)/G94</f>
        <v>-0.99612249938256359</v>
      </c>
      <c r="U93" s="129">
        <f>(Q93-Q94)/Q94</f>
        <v>-0.99651970676288637</v>
      </c>
      <c r="V93" s="129">
        <f>(R93-R94)/R94</f>
        <v>-0.99660001497172757</v>
      </c>
      <c r="W93" s="130">
        <f>(S93-S94)/S94</f>
        <v>-0.9962969744478436</v>
      </c>
    </row>
    <row r="94" spans="1:23" x14ac:dyDescent="0.25">
      <c r="A94" s="133"/>
      <c r="B94" s="45">
        <v>100000000</v>
      </c>
      <c r="C94" s="46">
        <f t="shared" si="5"/>
        <v>1</v>
      </c>
      <c r="D94" s="97"/>
      <c r="E94" s="6" t="s">
        <v>176</v>
      </c>
      <c r="F94" s="37">
        <v>4.0490000000000004</v>
      </c>
      <c r="G94" s="41">
        <f t="shared" si="6"/>
        <v>4.0490000000000004</v>
      </c>
      <c r="H94" s="17">
        <v>8.2799999999999994</v>
      </c>
      <c r="I94" s="17">
        <v>24.44</v>
      </c>
      <c r="J94" s="17">
        <v>141.66999999999999</v>
      </c>
      <c r="K94" s="18">
        <v>33.52572</v>
      </c>
      <c r="L94" s="17">
        <v>98.957560000000015</v>
      </c>
      <c r="M94" s="17">
        <v>573.62183000000005</v>
      </c>
      <c r="N94" s="18">
        <v>16.600899999999999</v>
      </c>
      <c r="O94" s="17">
        <v>84.826550000000012</v>
      </c>
      <c r="P94" s="17">
        <v>188.96682999999999</v>
      </c>
      <c r="Q94" s="42">
        <f t="shared" si="7"/>
        <v>16.600899999999999</v>
      </c>
      <c r="R94" s="43">
        <f t="shared" si="8"/>
        <v>84.826550000000012</v>
      </c>
      <c r="S94" s="44">
        <f t="shared" si="9"/>
        <v>188.96682999999999</v>
      </c>
      <c r="T94" s="98"/>
      <c r="U94" s="99"/>
      <c r="V94" s="99"/>
      <c r="W94" s="100"/>
    </row>
    <row r="95" spans="1:23" x14ac:dyDescent="0.25">
      <c r="A95" s="133" t="s">
        <v>91</v>
      </c>
      <c r="B95" s="45">
        <v>10000000000</v>
      </c>
      <c r="C95" s="46">
        <f t="shared" si="5"/>
        <v>0.01</v>
      </c>
      <c r="D95" s="97" t="s">
        <v>111</v>
      </c>
      <c r="E95" s="6" t="s">
        <v>175</v>
      </c>
      <c r="F95" s="37">
        <v>97.989000000000004</v>
      </c>
      <c r="G95" s="41">
        <f t="shared" si="6"/>
        <v>0.97989000000000004</v>
      </c>
      <c r="H95" s="17">
        <v>5.03</v>
      </c>
      <c r="I95" s="17">
        <v>24.58</v>
      </c>
      <c r="J95" s="17">
        <v>142.38</v>
      </c>
      <c r="K95" s="18">
        <v>492.88467000000003</v>
      </c>
      <c r="L95" s="17">
        <v>2408.5696200000002</v>
      </c>
      <c r="M95" s="17">
        <v>13951.67382</v>
      </c>
      <c r="N95" s="18">
        <v>402.73478999999998</v>
      </c>
      <c r="O95" s="17">
        <v>2351.7359999999999</v>
      </c>
      <c r="P95" s="17">
        <v>5152.2616200000002</v>
      </c>
      <c r="Q95" s="42">
        <f t="shared" si="7"/>
        <v>4.0273478999999996</v>
      </c>
      <c r="R95" s="43">
        <f t="shared" si="8"/>
        <v>23.51736</v>
      </c>
      <c r="S95" s="44">
        <f t="shared" si="9"/>
        <v>51.522616200000002</v>
      </c>
      <c r="T95" s="128">
        <f>(G95-G96)/G96</f>
        <v>-0.97295586895923614</v>
      </c>
      <c r="U95" s="129">
        <f>(Q95-Q96)/Q96</f>
        <v>-0.97105432849543238</v>
      </c>
      <c r="V95" s="129">
        <f>(R95-R96)/R96</f>
        <v>-0.97399602784541928</v>
      </c>
      <c r="W95" s="130">
        <f>(S95-S96)/S96</f>
        <v>-0.97416929318576995</v>
      </c>
    </row>
    <row r="96" spans="1:23" x14ac:dyDescent="0.25">
      <c r="A96" s="133"/>
      <c r="B96" s="45">
        <v>100000000</v>
      </c>
      <c r="C96" s="46">
        <f t="shared" si="5"/>
        <v>1</v>
      </c>
      <c r="D96" s="97"/>
      <c r="E96" s="6" t="s">
        <v>176</v>
      </c>
      <c r="F96" s="37">
        <v>36.232999999999997</v>
      </c>
      <c r="G96" s="41">
        <f t="shared" si="6"/>
        <v>36.232999999999997</v>
      </c>
      <c r="H96" s="17">
        <v>5.01</v>
      </c>
      <c r="I96" s="17">
        <v>25.54</v>
      </c>
      <c r="J96" s="17">
        <v>143.76</v>
      </c>
      <c r="K96" s="18">
        <v>181.52733000000001</v>
      </c>
      <c r="L96" s="17">
        <v>925.39081999999985</v>
      </c>
      <c r="M96" s="17">
        <v>5208.8560799999996</v>
      </c>
      <c r="N96" s="18">
        <v>139.13471999999999</v>
      </c>
      <c r="O96" s="17">
        <v>904.37567999999999</v>
      </c>
      <c r="P96" s="17">
        <v>1994.6266499999999</v>
      </c>
      <c r="Q96" s="42">
        <f t="shared" si="7"/>
        <v>139.13471999999999</v>
      </c>
      <c r="R96" s="43">
        <f t="shared" si="8"/>
        <v>904.37567999999999</v>
      </c>
      <c r="S96" s="44">
        <f t="shared" si="9"/>
        <v>1994.6266499999999</v>
      </c>
      <c r="T96" s="98"/>
      <c r="U96" s="99"/>
      <c r="V96" s="99"/>
      <c r="W96" s="100"/>
    </row>
    <row r="97" spans="1:23" x14ac:dyDescent="0.25">
      <c r="A97" s="133"/>
      <c r="B97" s="45">
        <v>10000000000</v>
      </c>
      <c r="C97" s="46">
        <f t="shared" si="5"/>
        <v>0.01</v>
      </c>
      <c r="D97" s="97" t="s">
        <v>114</v>
      </c>
      <c r="E97" s="6" t="s">
        <v>175</v>
      </c>
      <c r="F97" s="37">
        <v>50.768999999999998</v>
      </c>
      <c r="G97" s="41">
        <f t="shared" si="6"/>
        <v>0.50768999999999997</v>
      </c>
      <c r="H97" s="17">
        <v>5.04</v>
      </c>
      <c r="I97" s="17">
        <v>24.54</v>
      </c>
      <c r="J97" s="17">
        <v>141.66</v>
      </c>
      <c r="K97" s="18">
        <v>255.87576000000001</v>
      </c>
      <c r="L97" s="17">
        <v>1245.8712599999999</v>
      </c>
      <c r="M97" s="17">
        <v>7191.9365399999997</v>
      </c>
      <c r="N97" s="18">
        <v>209.16828000000001</v>
      </c>
      <c r="O97" s="17">
        <v>1216.42524</v>
      </c>
      <c r="P97" s="17">
        <v>2632.3726499999998</v>
      </c>
      <c r="Q97" s="42">
        <f t="shared" si="7"/>
        <v>2.0916828000000001</v>
      </c>
      <c r="R97" s="43">
        <f t="shared" si="8"/>
        <v>12.164252400000001</v>
      </c>
      <c r="S97" s="44">
        <f t="shared" si="9"/>
        <v>26.323726499999999</v>
      </c>
      <c r="T97" s="128">
        <f>(G97-G98)/G98</f>
        <v>-0.96563857868020309</v>
      </c>
      <c r="U97" s="129">
        <f>(Q97-Q98)/Q98</f>
        <v>-0.96332407879855864</v>
      </c>
      <c r="V97" s="129">
        <f>(R97-R98)/R98</f>
        <v>-0.96654613348954344</v>
      </c>
      <c r="W97" s="130">
        <f>(S97-S98)/S98</f>
        <v>-0.9674288903943058</v>
      </c>
    </row>
    <row r="98" spans="1:23" x14ac:dyDescent="0.25">
      <c r="A98" s="133"/>
      <c r="B98" s="45">
        <v>100000000</v>
      </c>
      <c r="C98" s="46">
        <f t="shared" si="5"/>
        <v>1</v>
      </c>
      <c r="D98" s="97"/>
      <c r="E98" s="6" t="s">
        <v>176</v>
      </c>
      <c r="F98" s="37">
        <v>14.775</v>
      </c>
      <c r="G98" s="41">
        <f t="shared" si="6"/>
        <v>14.775</v>
      </c>
      <c r="H98" s="17">
        <v>5.03</v>
      </c>
      <c r="I98" s="17">
        <v>25.19</v>
      </c>
      <c r="J98" s="17">
        <v>143.41999999999999</v>
      </c>
      <c r="K98" s="18">
        <v>74.318250000000006</v>
      </c>
      <c r="L98" s="17">
        <v>372.18225000000001</v>
      </c>
      <c r="M98" s="17">
        <v>2119.0304999999998</v>
      </c>
      <c r="N98" s="18">
        <v>57.031500000000001</v>
      </c>
      <c r="O98" s="17">
        <v>363.61275000000001</v>
      </c>
      <c r="P98" s="17">
        <v>808.19250000000011</v>
      </c>
      <c r="Q98" s="42">
        <f t="shared" si="7"/>
        <v>57.031500000000001</v>
      </c>
      <c r="R98" s="43">
        <f t="shared" si="8"/>
        <v>363.61275000000001</v>
      </c>
      <c r="S98" s="44">
        <f t="shared" si="9"/>
        <v>808.19250000000011</v>
      </c>
      <c r="T98" s="98"/>
      <c r="U98" s="99"/>
      <c r="V98" s="99"/>
      <c r="W98" s="100"/>
    </row>
    <row r="99" spans="1:23" x14ac:dyDescent="0.25">
      <c r="A99" s="133" t="s">
        <v>93</v>
      </c>
      <c r="B99" s="45">
        <v>100000000</v>
      </c>
      <c r="C99" s="46">
        <f t="shared" si="5"/>
        <v>1</v>
      </c>
      <c r="D99" s="97" t="s">
        <v>111</v>
      </c>
      <c r="E99" s="6" t="s">
        <v>175</v>
      </c>
      <c r="F99" s="37">
        <v>223.875</v>
      </c>
      <c r="G99" s="41">
        <f t="shared" si="6"/>
        <v>223.875</v>
      </c>
      <c r="H99" s="17">
        <v>5</v>
      </c>
      <c r="I99" s="17">
        <v>28.31</v>
      </c>
      <c r="J99" s="19">
        <v>154.83000000000001</v>
      </c>
      <c r="K99" s="18">
        <v>1119.375</v>
      </c>
      <c r="L99" s="17">
        <v>6337.9012499999999</v>
      </c>
      <c r="M99" s="17">
        <v>34662.566250000003</v>
      </c>
      <c r="N99" s="18">
        <v>913.41</v>
      </c>
      <c r="O99" s="17">
        <v>6208.05375</v>
      </c>
      <c r="P99" s="17">
        <v>14422.0275</v>
      </c>
      <c r="Q99" s="42">
        <f t="shared" si="7"/>
        <v>913.41</v>
      </c>
      <c r="R99" s="43">
        <f t="shared" si="8"/>
        <v>6208.05375</v>
      </c>
      <c r="S99" s="44">
        <f t="shared" si="9"/>
        <v>14422.0275</v>
      </c>
      <c r="T99" s="128">
        <f>(G99-G100)/G100</f>
        <v>-0.89823077237786553</v>
      </c>
      <c r="U99" s="129">
        <f>(Q99-Q100)/Q100</f>
        <v>-0.8913040710213852</v>
      </c>
      <c r="V99" s="129">
        <f>(R99-R100)/R100</f>
        <v>-0.89166753620108297</v>
      </c>
      <c r="W99" s="130">
        <f>(S99-S100)/S100</f>
        <v>-0.88398560177989915</v>
      </c>
    </row>
    <row r="100" spans="1:23" x14ac:dyDescent="0.25">
      <c r="A100" s="133"/>
      <c r="B100" s="45">
        <v>10000000</v>
      </c>
      <c r="C100" s="46">
        <f t="shared" si="5"/>
        <v>10</v>
      </c>
      <c r="D100" s="97"/>
      <c r="E100" s="6" t="s">
        <v>176</v>
      </c>
      <c r="F100" s="37">
        <v>219.983</v>
      </c>
      <c r="G100" s="41">
        <f t="shared" si="6"/>
        <v>2199.83</v>
      </c>
      <c r="H100" s="17">
        <v>4.99</v>
      </c>
      <c r="I100" s="17">
        <v>26.63</v>
      </c>
      <c r="J100" s="19">
        <v>147.1</v>
      </c>
      <c r="K100" s="18">
        <v>1097.7151699999999</v>
      </c>
      <c r="L100" s="17">
        <v>5858.1472899999999</v>
      </c>
      <c r="M100" s="17">
        <v>32359.499299999999</v>
      </c>
      <c r="N100" s="18">
        <v>840.33506</v>
      </c>
      <c r="O100" s="17">
        <v>5730.5571500000005</v>
      </c>
      <c r="P100" s="17">
        <v>12431.23933</v>
      </c>
      <c r="Q100" s="42">
        <f t="shared" si="7"/>
        <v>8403.3505999999998</v>
      </c>
      <c r="R100" s="43">
        <f t="shared" si="8"/>
        <v>57305.571500000005</v>
      </c>
      <c r="S100" s="44">
        <f t="shared" si="9"/>
        <v>124312.3933</v>
      </c>
      <c r="T100" s="98"/>
      <c r="U100" s="99"/>
      <c r="V100" s="99"/>
      <c r="W100" s="100"/>
    </row>
    <row r="101" spans="1:23" x14ac:dyDescent="0.25">
      <c r="A101" s="133"/>
      <c r="B101" s="45">
        <v>100000000</v>
      </c>
      <c r="C101" s="46">
        <f t="shared" si="5"/>
        <v>1</v>
      </c>
      <c r="D101" s="97" t="s">
        <v>114</v>
      </c>
      <c r="E101" s="6" t="s">
        <v>175</v>
      </c>
      <c r="F101" s="37">
        <v>167.07400000000001</v>
      </c>
      <c r="G101" s="41">
        <f t="shared" si="6"/>
        <v>167.07400000000001</v>
      </c>
      <c r="H101" s="17">
        <v>5</v>
      </c>
      <c r="I101" s="17">
        <v>29.67</v>
      </c>
      <c r="J101" s="19">
        <v>159.34</v>
      </c>
      <c r="K101" s="18">
        <v>835.37000000000012</v>
      </c>
      <c r="L101" s="17">
        <v>4957.0855800000008</v>
      </c>
      <c r="M101" s="17">
        <v>26621.57116</v>
      </c>
      <c r="N101" s="18">
        <v>681.66192000000001</v>
      </c>
      <c r="O101" s="17">
        <v>4860.1826600000004</v>
      </c>
      <c r="P101" s="17">
        <v>11516.410819999999</v>
      </c>
      <c r="Q101" s="42">
        <f t="shared" si="7"/>
        <v>681.66192000000001</v>
      </c>
      <c r="R101" s="43">
        <f t="shared" si="8"/>
        <v>4860.1826600000004</v>
      </c>
      <c r="S101" s="44">
        <f t="shared" si="9"/>
        <v>11516.410819999999</v>
      </c>
      <c r="T101" s="128">
        <f>(G101-G102)/G102</f>
        <v>-0.85370308751160218</v>
      </c>
      <c r="U101" s="129">
        <f>(Q101-Q102)/Q102</f>
        <v>-0.84333558977620393</v>
      </c>
      <c r="V101" s="129">
        <f>(R101-R102)/R102</f>
        <v>-0.83812182638693455</v>
      </c>
      <c r="W101" s="130">
        <f>(S101-S102)/S102</f>
        <v>-0.82339323681566978</v>
      </c>
    </row>
    <row r="102" spans="1:23" x14ac:dyDescent="0.25">
      <c r="A102" s="133"/>
      <c r="B102" s="45">
        <v>10000000</v>
      </c>
      <c r="C102" s="46">
        <f t="shared" si="5"/>
        <v>10</v>
      </c>
      <c r="D102" s="97"/>
      <c r="E102" s="6" t="s">
        <v>176</v>
      </c>
      <c r="F102" s="37">
        <v>114.202</v>
      </c>
      <c r="G102" s="41">
        <f t="shared" si="6"/>
        <v>1142.02</v>
      </c>
      <c r="H102" s="17">
        <v>4.9800000000000004</v>
      </c>
      <c r="I102" s="17">
        <v>26.87</v>
      </c>
      <c r="J102" s="19">
        <v>147.69</v>
      </c>
      <c r="K102" s="18">
        <v>568.72595999999999</v>
      </c>
      <c r="L102" s="17">
        <v>3068.6077399999999</v>
      </c>
      <c r="M102" s="17">
        <v>16866.49338</v>
      </c>
      <c r="N102" s="18">
        <v>435.10962000000001</v>
      </c>
      <c r="O102" s="17">
        <v>3002.3705799999998</v>
      </c>
      <c r="P102" s="17">
        <v>6520.9341999999997</v>
      </c>
      <c r="Q102" s="42">
        <f t="shared" si="7"/>
        <v>4351.0962</v>
      </c>
      <c r="R102" s="43">
        <f t="shared" si="8"/>
        <v>30023.705799999996</v>
      </c>
      <c r="S102" s="44">
        <f t="shared" si="9"/>
        <v>65209.341999999997</v>
      </c>
      <c r="T102" s="98"/>
      <c r="U102" s="99"/>
      <c r="V102" s="99"/>
      <c r="W102" s="100"/>
    </row>
    <row r="103" spans="1:23" x14ac:dyDescent="0.25">
      <c r="A103" s="133" t="s">
        <v>95</v>
      </c>
      <c r="B103" s="45">
        <v>100000000</v>
      </c>
      <c r="C103" s="46">
        <f t="shared" si="5"/>
        <v>1</v>
      </c>
      <c r="D103" s="97" t="s">
        <v>111</v>
      </c>
      <c r="E103" s="6" t="s">
        <v>175</v>
      </c>
      <c r="F103" s="37">
        <v>49.341000000000001</v>
      </c>
      <c r="G103" s="41">
        <f t="shared" si="6"/>
        <v>49.341000000000001</v>
      </c>
      <c r="H103" s="17">
        <v>2.04</v>
      </c>
      <c r="I103" s="17">
        <v>20.41</v>
      </c>
      <c r="J103" s="19">
        <v>144.11000000000001</v>
      </c>
      <c r="K103" s="18">
        <v>100.65564000000001</v>
      </c>
      <c r="L103" s="17">
        <v>1007.04981</v>
      </c>
      <c r="M103" s="17">
        <v>7110.5315100000007</v>
      </c>
      <c r="N103" s="18">
        <v>79.932420000000008</v>
      </c>
      <c r="O103" s="17">
        <v>978.43202999999994</v>
      </c>
      <c r="P103" s="17">
        <v>2494.1875500000001</v>
      </c>
      <c r="Q103" s="42">
        <f t="shared" si="7"/>
        <v>79.932420000000008</v>
      </c>
      <c r="R103" s="43">
        <f t="shared" si="8"/>
        <v>978.43202999999994</v>
      </c>
      <c r="S103" s="44">
        <f t="shared" si="9"/>
        <v>2494.1875500000001</v>
      </c>
      <c r="T103" s="128">
        <f>(G103-G104)/G104</f>
        <v>-0.99301017003897163</v>
      </c>
      <c r="U103" s="129">
        <f>(Q103-Q104)/Q104</f>
        <v>-0.99518147892048259</v>
      </c>
      <c r="V103" s="129">
        <f>(R103-R104)/R104</f>
        <v>-0.99312117478276973</v>
      </c>
      <c r="W103" s="130">
        <f>(S103-S104)/S104</f>
        <v>-0.9929879756989487</v>
      </c>
    </row>
    <row r="104" spans="1:23" x14ac:dyDescent="0.25">
      <c r="A104" s="133"/>
      <c r="B104" s="45">
        <v>10000000</v>
      </c>
      <c r="C104" s="46">
        <f t="shared" si="5"/>
        <v>10</v>
      </c>
      <c r="D104" s="97"/>
      <c r="E104" s="6" t="s">
        <v>176</v>
      </c>
      <c r="F104" s="37">
        <v>705.89700000000005</v>
      </c>
      <c r="G104" s="41">
        <f t="shared" si="6"/>
        <v>7058.97</v>
      </c>
      <c r="H104" s="17">
        <v>2.44</v>
      </c>
      <c r="I104" s="17">
        <v>20.16</v>
      </c>
      <c r="J104" s="19">
        <v>145.76</v>
      </c>
      <c r="K104" s="18">
        <v>1722.38868</v>
      </c>
      <c r="L104" s="17">
        <v>14230.883519999999</v>
      </c>
      <c r="M104" s="17">
        <v>102891.54672</v>
      </c>
      <c r="N104" s="18">
        <v>1658.8579500000001</v>
      </c>
      <c r="O104" s="17">
        <v>14223.824549999999</v>
      </c>
      <c r="P104" s="17">
        <v>35570.149830000002</v>
      </c>
      <c r="Q104" s="42">
        <f t="shared" si="7"/>
        <v>16588.5795</v>
      </c>
      <c r="R104" s="43">
        <f t="shared" si="8"/>
        <v>142238.24549999999</v>
      </c>
      <c r="S104" s="44">
        <f t="shared" si="9"/>
        <v>355701.49830000004</v>
      </c>
      <c r="T104" s="98"/>
      <c r="U104" s="99"/>
      <c r="V104" s="99"/>
      <c r="W104" s="100"/>
    </row>
    <row r="105" spans="1:23" x14ac:dyDescent="0.25">
      <c r="A105" s="133"/>
      <c r="B105" s="45">
        <v>100000000</v>
      </c>
      <c r="C105" s="46">
        <f t="shared" si="5"/>
        <v>1</v>
      </c>
      <c r="D105" s="97" t="s">
        <v>114</v>
      </c>
      <c r="E105" s="6" t="s">
        <v>175</v>
      </c>
      <c r="F105" s="37">
        <v>56.232999999999997</v>
      </c>
      <c r="G105" s="41">
        <f t="shared" si="6"/>
        <v>56.232999999999997</v>
      </c>
      <c r="H105" s="17">
        <v>2.02</v>
      </c>
      <c r="I105" s="17">
        <v>20.39</v>
      </c>
      <c r="J105" s="19">
        <v>143.87</v>
      </c>
      <c r="K105" s="18">
        <v>113.59066</v>
      </c>
      <c r="L105" s="17">
        <v>1146.59087</v>
      </c>
      <c r="M105" s="17">
        <v>8090.2417100000002</v>
      </c>
      <c r="N105" s="18">
        <v>89.972800000000007</v>
      </c>
      <c r="O105" s="17">
        <v>1113.9757300000001</v>
      </c>
      <c r="P105" s="17">
        <v>2829.08223</v>
      </c>
      <c r="Q105" s="42">
        <f t="shared" si="7"/>
        <v>89.972800000000007</v>
      </c>
      <c r="R105" s="43">
        <f t="shared" si="8"/>
        <v>1113.9757300000001</v>
      </c>
      <c r="S105" s="44">
        <f t="shared" si="9"/>
        <v>2829.08223</v>
      </c>
      <c r="T105" s="128">
        <f>(G105-G106)/G106</f>
        <v>-0.99147100934908294</v>
      </c>
      <c r="U105" s="129">
        <f>(Q105-Q106)/Q106</f>
        <v>-0.99365284416675947</v>
      </c>
      <c r="V105" s="129">
        <f>(R105-R106)/R106</f>
        <v>-0.99140156209696351</v>
      </c>
      <c r="W105" s="130">
        <f>(S105-S106)/S106</f>
        <v>-0.99100432872856115</v>
      </c>
    </row>
    <row r="106" spans="1:23" x14ac:dyDescent="0.25">
      <c r="A106" s="133"/>
      <c r="B106" s="45">
        <v>10000000</v>
      </c>
      <c r="C106" s="46">
        <f t="shared" si="5"/>
        <v>10</v>
      </c>
      <c r="D106" s="97"/>
      <c r="E106" s="6" t="s">
        <v>176</v>
      </c>
      <c r="F106" s="6">
        <v>659.31600000000003</v>
      </c>
      <c r="G106" s="41">
        <f t="shared" si="6"/>
        <v>6593.16</v>
      </c>
      <c r="H106" s="20">
        <v>2.2400000000000002</v>
      </c>
      <c r="I106" s="20">
        <v>19.66</v>
      </c>
      <c r="J106" s="22">
        <v>143.07</v>
      </c>
      <c r="K106" s="21">
        <v>1476.8678399999999</v>
      </c>
      <c r="L106" s="20">
        <v>12962.15256</v>
      </c>
      <c r="M106" s="20">
        <v>94328.340119999993</v>
      </c>
      <c r="N106" s="21">
        <v>1417.5293999999999</v>
      </c>
      <c r="O106" s="20">
        <v>12955.5594</v>
      </c>
      <c r="P106" s="20">
        <v>31449.373200000002</v>
      </c>
      <c r="Q106" s="42">
        <f t="shared" si="7"/>
        <v>14175.293999999998</v>
      </c>
      <c r="R106" s="43">
        <f t="shared" si="8"/>
        <v>129555.594</v>
      </c>
      <c r="S106" s="44">
        <f t="shared" si="9"/>
        <v>314493.73200000002</v>
      </c>
      <c r="T106" s="101"/>
      <c r="U106" s="102"/>
      <c r="V106" s="102"/>
      <c r="W106" s="103"/>
    </row>
    <row r="107" spans="1:23" x14ac:dyDescent="0.25">
      <c r="S107" s="44">
        <f t="shared" si="9"/>
        <v>0</v>
      </c>
    </row>
  </sheetData>
  <mergeCells count="298">
    <mergeCell ref="G1:G2"/>
    <mergeCell ref="H1:J1"/>
    <mergeCell ref="K1:M1"/>
    <mergeCell ref="N1:P1"/>
    <mergeCell ref="Q1:S1"/>
    <mergeCell ref="T1:W1"/>
    <mergeCell ref="A1:A2"/>
    <mergeCell ref="B1:B2"/>
    <mergeCell ref="C1:C2"/>
    <mergeCell ref="D1:D2"/>
    <mergeCell ref="E1:E2"/>
    <mergeCell ref="F1:F2"/>
    <mergeCell ref="W5:W6"/>
    <mergeCell ref="A7:A10"/>
    <mergeCell ref="D7:D8"/>
    <mergeCell ref="T7:T8"/>
    <mergeCell ref="U7:U8"/>
    <mergeCell ref="V7:V8"/>
    <mergeCell ref="W7:W8"/>
    <mergeCell ref="D9:D10"/>
    <mergeCell ref="T9:T10"/>
    <mergeCell ref="U9:U10"/>
    <mergeCell ref="A3:A6"/>
    <mergeCell ref="D3:D4"/>
    <mergeCell ref="T3:T4"/>
    <mergeCell ref="U3:U4"/>
    <mergeCell ref="V3:V4"/>
    <mergeCell ref="W3:W4"/>
    <mergeCell ref="D5:D6"/>
    <mergeCell ref="T5:T6"/>
    <mergeCell ref="U5:U6"/>
    <mergeCell ref="V5:V6"/>
    <mergeCell ref="V9:V10"/>
    <mergeCell ref="W9:W10"/>
    <mergeCell ref="A11:A14"/>
    <mergeCell ref="D11:D12"/>
    <mergeCell ref="T11:T12"/>
    <mergeCell ref="U11:U12"/>
    <mergeCell ref="V11:V12"/>
    <mergeCell ref="W11:W12"/>
    <mergeCell ref="D13:D14"/>
    <mergeCell ref="T13:T14"/>
    <mergeCell ref="U13:U14"/>
    <mergeCell ref="V13:V14"/>
    <mergeCell ref="W13:W14"/>
    <mergeCell ref="A15:A18"/>
    <mergeCell ref="D15:D16"/>
    <mergeCell ref="T15:T16"/>
    <mergeCell ref="U15:U16"/>
    <mergeCell ref="V15:V16"/>
    <mergeCell ref="W15:W16"/>
    <mergeCell ref="D17:D18"/>
    <mergeCell ref="A23:A26"/>
    <mergeCell ref="D23:D24"/>
    <mergeCell ref="T23:T24"/>
    <mergeCell ref="U23:U24"/>
    <mergeCell ref="V23:V24"/>
    <mergeCell ref="T17:T18"/>
    <mergeCell ref="U17:U18"/>
    <mergeCell ref="V17:V18"/>
    <mergeCell ref="W17:W18"/>
    <mergeCell ref="A19:A22"/>
    <mergeCell ref="D19:D20"/>
    <mergeCell ref="T19:T20"/>
    <mergeCell ref="U19:U20"/>
    <mergeCell ref="V19:V20"/>
    <mergeCell ref="W19:W20"/>
    <mergeCell ref="W23:W24"/>
    <mergeCell ref="D25:D26"/>
    <mergeCell ref="T25:T26"/>
    <mergeCell ref="U25:U26"/>
    <mergeCell ref="V25:V26"/>
    <mergeCell ref="W25:W26"/>
    <mergeCell ref="D21:D22"/>
    <mergeCell ref="T21:T22"/>
    <mergeCell ref="U21:U22"/>
    <mergeCell ref="V21:V22"/>
    <mergeCell ref="W21:W22"/>
    <mergeCell ref="W29:W30"/>
    <mergeCell ref="A31:A34"/>
    <mergeCell ref="D31:D32"/>
    <mergeCell ref="T31:T32"/>
    <mergeCell ref="U31:U32"/>
    <mergeCell ref="V31:V32"/>
    <mergeCell ref="W31:W32"/>
    <mergeCell ref="D33:D34"/>
    <mergeCell ref="T33:T34"/>
    <mergeCell ref="U33:U34"/>
    <mergeCell ref="A27:A30"/>
    <mergeCell ref="D27:D28"/>
    <mergeCell ref="T27:T28"/>
    <mergeCell ref="U27:U28"/>
    <mergeCell ref="V27:V28"/>
    <mergeCell ref="W27:W28"/>
    <mergeCell ref="D29:D30"/>
    <mergeCell ref="T29:T30"/>
    <mergeCell ref="U29:U30"/>
    <mergeCell ref="V29:V30"/>
    <mergeCell ref="V33:V34"/>
    <mergeCell ref="W33:W34"/>
    <mergeCell ref="A35:A38"/>
    <mergeCell ref="D35:D36"/>
    <mergeCell ref="T35:T36"/>
    <mergeCell ref="U35:U36"/>
    <mergeCell ref="V35:V36"/>
    <mergeCell ref="W35:W36"/>
    <mergeCell ref="D37:D38"/>
    <mergeCell ref="T37:T38"/>
    <mergeCell ref="U37:U38"/>
    <mergeCell ref="V37:V38"/>
    <mergeCell ref="W37:W38"/>
    <mergeCell ref="A39:A42"/>
    <mergeCell ref="D39:D40"/>
    <mergeCell ref="T39:T40"/>
    <mergeCell ref="U39:U40"/>
    <mergeCell ref="V39:V40"/>
    <mergeCell ref="W39:W40"/>
    <mergeCell ref="D41:D42"/>
    <mergeCell ref="A47:A50"/>
    <mergeCell ref="D47:D48"/>
    <mergeCell ref="T47:T48"/>
    <mergeCell ref="U47:U48"/>
    <mergeCell ref="V47:V48"/>
    <mergeCell ref="T41:T42"/>
    <mergeCell ref="U41:U42"/>
    <mergeCell ref="V41:V42"/>
    <mergeCell ref="W41:W42"/>
    <mergeCell ref="A43:A46"/>
    <mergeCell ref="D43:D44"/>
    <mergeCell ref="T43:T44"/>
    <mergeCell ref="U43:U44"/>
    <mergeCell ref="V43:V44"/>
    <mergeCell ref="W43:W44"/>
    <mergeCell ref="W47:W48"/>
    <mergeCell ref="D49:D50"/>
    <mergeCell ref="T49:T50"/>
    <mergeCell ref="U49:U50"/>
    <mergeCell ref="V49:V50"/>
    <mergeCell ref="W49:W50"/>
    <mergeCell ref="D45:D46"/>
    <mergeCell ref="T45:T46"/>
    <mergeCell ref="U45:U46"/>
    <mergeCell ref="V45:V46"/>
    <mergeCell ref="W45:W46"/>
    <mergeCell ref="W53:W54"/>
    <mergeCell ref="A55:A58"/>
    <mergeCell ref="D55:D56"/>
    <mergeCell ref="T55:T56"/>
    <mergeCell ref="U55:U56"/>
    <mergeCell ref="V55:V56"/>
    <mergeCell ref="W55:W56"/>
    <mergeCell ref="D57:D58"/>
    <mergeCell ref="T57:T58"/>
    <mergeCell ref="U57:U58"/>
    <mergeCell ref="A51:A54"/>
    <mergeCell ref="D51:D52"/>
    <mergeCell ref="T51:T52"/>
    <mergeCell ref="U51:U52"/>
    <mergeCell ref="V51:V52"/>
    <mergeCell ref="W51:W52"/>
    <mergeCell ref="D53:D54"/>
    <mergeCell ref="T53:T54"/>
    <mergeCell ref="U53:U54"/>
    <mergeCell ref="V53:V54"/>
    <mergeCell ref="V57:V58"/>
    <mergeCell ref="W57:W58"/>
    <mergeCell ref="A59:A62"/>
    <mergeCell ref="D59:D60"/>
    <mergeCell ref="T59:T60"/>
    <mergeCell ref="U59:U60"/>
    <mergeCell ref="V59:V60"/>
    <mergeCell ref="W59:W60"/>
    <mergeCell ref="D61:D62"/>
    <mergeCell ref="T61:T62"/>
    <mergeCell ref="U61:U62"/>
    <mergeCell ref="V61:V62"/>
    <mergeCell ref="W61:W62"/>
    <mergeCell ref="A63:A66"/>
    <mergeCell ref="D63:D64"/>
    <mergeCell ref="T63:T64"/>
    <mergeCell ref="U63:U64"/>
    <mergeCell ref="V63:V64"/>
    <mergeCell ref="W63:W64"/>
    <mergeCell ref="D65:D66"/>
    <mergeCell ref="A71:A74"/>
    <mergeCell ref="D71:D72"/>
    <mergeCell ref="T71:T72"/>
    <mergeCell ref="U71:U72"/>
    <mergeCell ref="V71:V72"/>
    <mergeCell ref="T65:T66"/>
    <mergeCell ref="U65:U66"/>
    <mergeCell ref="V65:V66"/>
    <mergeCell ref="W65:W66"/>
    <mergeCell ref="A67:A70"/>
    <mergeCell ref="D67:D68"/>
    <mergeCell ref="T67:T68"/>
    <mergeCell ref="U67:U68"/>
    <mergeCell ref="V67:V68"/>
    <mergeCell ref="W67:W68"/>
    <mergeCell ref="W71:W72"/>
    <mergeCell ref="D73:D74"/>
    <mergeCell ref="T73:T74"/>
    <mergeCell ref="U73:U74"/>
    <mergeCell ref="V73:V74"/>
    <mergeCell ref="W73:W74"/>
    <mergeCell ref="D69:D70"/>
    <mergeCell ref="T69:T70"/>
    <mergeCell ref="U69:U70"/>
    <mergeCell ref="V69:V70"/>
    <mergeCell ref="W69:W70"/>
    <mergeCell ref="W77:W78"/>
    <mergeCell ref="A79:A82"/>
    <mergeCell ref="D79:D80"/>
    <mergeCell ref="T79:T80"/>
    <mergeCell ref="U79:U80"/>
    <mergeCell ref="V79:V80"/>
    <mergeCell ref="W79:W80"/>
    <mergeCell ref="D81:D82"/>
    <mergeCell ref="T81:T82"/>
    <mergeCell ref="U81:U82"/>
    <mergeCell ref="A75:A78"/>
    <mergeCell ref="D75:D76"/>
    <mergeCell ref="T75:T76"/>
    <mergeCell ref="U75:U76"/>
    <mergeCell ref="V75:V76"/>
    <mergeCell ref="W75:W76"/>
    <mergeCell ref="D77:D78"/>
    <mergeCell ref="T77:T78"/>
    <mergeCell ref="U77:U78"/>
    <mergeCell ref="V77:V78"/>
    <mergeCell ref="V81:V82"/>
    <mergeCell ref="W81:W82"/>
    <mergeCell ref="A83:A86"/>
    <mergeCell ref="D83:D84"/>
    <mergeCell ref="T83:T84"/>
    <mergeCell ref="U83:U84"/>
    <mergeCell ref="V83:V84"/>
    <mergeCell ref="W83:W84"/>
    <mergeCell ref="D85:D86"/>
    <mergeCell ref="T85:T86"/>
    <mergeCell ref="U85:U86"/>
    <mergeCell ref="V85:V86"/>
    <mergeCell ref="W85:W86"/>
    <mergeCell ref="A87:A90"/>
    <mergeCell ref="D87:D88"/>
    <mergeCell ref="T87:T88"/>
    <mergeCell ref="U87:U88"/>
    <mergeCell ref="V87:V88"/>
    <mergeCell ref="W87:W88"/>
    <mergeCell ref="D89:D90"/>
    <mergeCell ref="A95:A98"/>
    <mergeCell ref="D95:D96"/>
    <mergeCell ref="T95:T96"/>
    <mergeCell ref="U95:U96"/>
    <mergeCell ref="V95:V96"/>
    <mergeCell ref="T89:T90"/>
    <mergeCell ref="U89:U90"/>
    <mergeCell ref="V89:V90"/>
    <mergeCell ref="W89:W90"/>
    <mergeCell ref="A91:A94"/>
    <mergeCell ref="D91:D92"/>
    <mergeCell ref="T91:T92"/>
    <mergeCell ref="U91:U92"/>
    <mergeCell ref="V91:V92"/>
    <mergeCell ref="W91:W92"/>
    <mergeCell ref="W95:W96"/>
    <mergeCell ref="D97:D98"/>
    <mergeCell ref="T97:T98"/>
    <mergeCell ref="U97:U98"/>
    <mergeCell ref="V97:V98"/>
    <mergeCell ref="W97:W98"/>
    <mergeCell ref="D93:D94"/>
    <mergeCell ref="T93:T94"/>
    <mergeCell ref="U93:U94"/>
    <mergeCell ref="V93:V94"/>
    <mergeCell ref="W93:W94"/>
    <mergeCell ref="V105:V106"/>
    <mergeCell ref="W105:W106"/>
    <mergeCell ref="W101:W102"/>
    <mergeCell ref="A103:A106"/>
    <mergeCell ref="D103:D104"/>
    <mergeCell ref="T103:T104"/>
    <mergeCell ref="U103:U104"/>
    <mergeCell ref="V103:V104"/>
    <mergeCell ref="W103:W104"/>
    <mergeCell ref="D105:D106"/>
    <mergeCell ref="T105:T106"/>
    <mergeCell ref="U105:U106"/>
    <mergeCell ref="A99:A102"/>
    <mergeCell ref="D99:D100"/>
    <mergeCell ref="T99:T100"/>
    <mergeCell ref="U99:U100"/>
    <mergeCell ref="V99:V100"/>
    <mergeCell ref="W99:W100"/>
    <mergeCell ref="D101:D102"/>
    <mergeCell ref="T101:T102"/>
    <mergeCell ref="U101:U102"/>
    <mergeCell ref="V101:V102"/>
  </mergeCells>
  <conditionalFormatting sqref="T3:W106">
    <cfRule type="colorScale" priority="1">
      <colorScale>
        <cfvo type="num" val="-1"/>
        <cfvo type="num" val="0"/>
        <cfvo type="num" val="1"/>
        <color rgb="FF92D050"/>
        <color rgb="FFFFC000"/>
        <color rgb="FFFF0000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94683-D111-49A1-979B-839EFF708F00}">
  <dimension ref="B2:AD53"/>
  <sheetViews>
    <sheetView tabSelected="1" zoomScale="85" zoomScaleNormal="85" workbookViewId="0">
      <selection activeCell="T41" sqref="T41"/>
    </sheetView>
  </sheetViews>
  <sheetFormatPr baseColWidth="10" defaultRowHeight="15" x14ac:dyDescent="0.25"/>
  <cols>
    <col min="7" max="7" width="33.5703125" bestFit="1" customWidth="1"/>
    <col min="12" max="12" width="33.5703125" bestFit="1" customWidth="1"/>
    <col min="18" max="18" width="33.5703125" bestFit="1" customWidth="1"/>
    <col min="22" max="22" width="7.7109375" bestFit="1" customWidth="1"/>
    <col min="23" max="23" width="33.5703125" bestFit="1" customWidth="1"/>
    <col min="24" max="24" width="18.28515625" bestFit="1" customWidth="1"/>
    <col min="26" max="26" width="12.5703125" bestFit="1" customWidth="1"/>
    <col min="27" max="27" width="37.7109375" bestFit="1" customWidth="1"/>
    <col min="29" max="29" width="12.5703125" bestFit="1" customWidth="1"/>
    <col min="30" max="30" width="28.42578125" bestFit="1" customWidth="1"/>
  </cols>
  <sheetData>
    <row r="2" spans="2:30" x14ac:dyDescent="0.25">
      <c r="B2" s="49"/>
      <c r="C2" s="105" t="s">
        <v>212</v>
      </c>
      <c r="D2" s="105"/>
      <c r="E2" s="105"/>
      <c r="F2" s="105"/>
      <c r="G2" s="105"/>
      <c r="H2" s="105"/>
      <c r="I2" s="105"/>
      <c r="J2" s="105"/>
      <c r="K2" s="105"/>
      <c r="L2" s="105"/>
      <c r="N2" s="108" t="s">
        <v>213</v>
      </c>
      <c r="O2" s="109"/>
      <c r="P2" s="109"/>
      <c r="Q2" s="109"/>
      <c r="R2" s="109"/>
      <c r="S2" s="109"/>
      <c r="T2" s="109"/>
      <c r="U2" s="109"/>
      <c r="V2" s="109"/>
      <c r="W2" s="110"/>
    </row>
    <row r="3" spans="2:30" ht="15.75" x14ac:dyDescent="0.25">
      <c r="B3" s="49"/>
      <c r="C3" s="108" t="s">
        <v>100</v>
      </c>
      <c r="D3" s="109"/>
      <c r="E3" s="109"/>
      <c r="F3" s="109"/>
      <c r="G3" s="110"/>
      <c r="H3" s="105" t="s">
        <v>211</v>
      </c>
      <c r="I3" s="105"/>
      <c r="J3" s="105"/>
      <c r="K3" s="105"/>
      <c r="L3" s="105"/>
      <c r="N3" s="108" t="s">
        <v>100</v>
      </c>
      <c r="O3" s="109"/>
      <c r="P3" s="109"/>
      <c r="Q3" s="109"/>
      <c r="R3" s="109"/>
      <c r="S3" s="109" t="s">
        <v>211</v>
      </c>
      <c r="T3" s="109"/>
      <c r="U3" s="109"/>
      <c r="V3" s="51"/>
      <c r="W3" s="52"/>
      <c r="Z3" s="117" t="s">
        <v>211</v>
      </c>
      <c r="AA3" s="118"/>
      <c r="AC3" s="117" t="s">
        <v>211</v>
      </c>
      <c r="AD3" s="118"/>
    </row>
    <row r="4" spans="2:30" x14ac:dyDescent="0.25">
      <c r="B4" s="50" t="s">
        <v>97</v>
      </c>
      <c r="C4" s="40" t="s">
        <v>151</v>
      </c>
      <c r="D4" s="40" t="s">
        <v>152</v>
      </c>
      <c r="E4" s="40" t="s">
        <v>153</v>
      </c>
      <c r="F4" s="15" t="s">
        <v>214</v>
      </c>
      <c r="G4" s="15" t="s">
        <v>177</v>
      </c>
      <c r="H4" s="40" t="s">
        <v>151</v>
      </c>
      <c r="I4" s="40" t="s">
        <v>152</v>
      </c>
      <c r="J4" s="40" t="s">
        <v>153</v>
      </c>
      <c r="K4" s="40" t="s">
        <v>214</v>
      </c>
      <c r="L4" s="40" t="s">
        <v>177</v>
      </c>
      <c r="M4" s="50" t="s">
        <v>97</v>
      </c>
      <c r="N4" s="40" t="s">
        <v>151</v>
      </c>
      <c r="O4" s="40" t="s">
        <v>152</v>
      </c>
      <c r="P4" s="40" t="s">
        <v>153</v>
      </c>
      <c r="Q4" s="15" t="s">
        <v>214</v>
      </c>
      <c r="R4" s="40" t="s">
        <v>177</v>
      </c>
      <c r="S4" s="40" t="s">
        <v>151</v>
      </c>
      <c r="T4" s="40" t="s">
        <v>152</v>
      </c>
      <c r="U4" s="40" t="s">
        <v>153</v>
      </c>
      <c r="V4" s="15" t="s">
        <v>214</v>
      </c>
      <c r="W4" s="40" t="s">
        <v>177</v>
      </c>
      <c r="X4" s="74" t="s">
        <v>178</v>
      </c>
      <c r="Z4" s="108" t="s">
        <v>212</v>
      </c>
      <c r="AA4" s="110"/>
      <c r="AB4" s="53"/>
      <c r="AC4" s="108" t="s">
        <v>213</v>
      </c>
      <c r="AD4" s="110"/>
    </row>
    <row r="5" spans="2:30" x14ac:dyDescent="0.25">
      <c r="B5" s="77" t="s">
        <v>156</v>
      </c>
      <c r="C5" s="75" cm="1">
        <f t="array" aca="1" ref="C5" ca="1">INDIRECT("'Java Impact of Technique'!G" &amp; 3 + (ROW(A1)-1)*4)</f>
        <v>0.42086000000000001</v>
      </c>
      <c r="D5" s="75" cm="1">
        <f t="array" aca="1" ref="D5" ca="1">INDIRECT("'Java Impact of Technique'!G" &amp; 4 + (ROW(A1)-1)*4)</f>
        <v>0.41907</v>
      </c>
      <c r="E5" s="75" cm="1">
        <f t="array" aca="1" ref="E5" ca="1">INDIRECT("'Java Impact of Technique'!T" &amp; 3 + (ROW(A1)-1)*4)*100</f>
        <v>-0.46180078624544191</v>
      </c>
      <c r="F5" s="75">
        <v>3.146563257725607E-2</v>
      </c>
      <c r="G5" s="78" t="s">
        <v>185</v>
      </c>
      <c r="H5" s="75" cm="1">
        <f t="array" aca="1" ref="H5" ca="1">INDIRECT("'Java Impact of Technique'!S" &amp; 3 + (ROW(A1)-1)*4)</f>
        <v>19.398624400000003</v>
      </c>
      <c r="I5" s="75" cm="1">
        <f t="array" aca="1" ref="I5" ca="1">INDIRECT("'Java Impact of Technique'!S" &amp; 4 + (ROW(A1)-1)*4)</f>
        <v>19.489774700000002</v>
      </c>
      <c r="J5" s="75" cm="1">
        <f t="array" aca="1" ref="J5" ca="1">INDIRECT("'Java Impact of Technique'!W" &amp; 3 + (ROW(A1)-1)*4)*100</f>
        <v>0.46988022511533806</v>
      </c>
      <c r="K5" s="75">
        <v>0.36713658124843562</v>
      </c>
      <c r="L5" s="75" t="s">
        <v>216</v>
      </c>
      <c r="M5" s="79" t="s">
        <v>156</v>
      </c>
      <c r="N5" s="75" cm="1">
        <f t="array" aca="1" ref="N5" ca="1">INDIRECT("'Java Impact of Technique'!G" &amp; 5 + (ROW(A1)-1)*4)</f>
        <v>93.046999999999997</v>
      </c>
      <c r="O5" s="75" cm="1">
        <f t="array" aca="1" ref="O5" ca="1">INDIRECT("'Java Impact of Technique'!G" &amp; 6 + (ROW(A1)-1)*4)</f>
        <v>19.581</v>
      </c>
      <c r="P5" s="75" cm="1">
        <f t="array" aca="1" ref="P5" ca="1">INDIRECT("'Java Impact of Technique'!T" &amp; 5 + (ROW(A1)-1)*4)*100</f>
        <v>-78.641648238565452</v>
      </c>
      <c r="Q5" s="75">
        <v>2.8719490663203402E-11</v>
      </c>
      <c r="R5" s="75" t="s">
        <v>186</v>
      </c>
      <c r="S5" s="75" cm="1">
        <f t="array" aca="1" ref="S5" ca="1">INDIRECT("'Java Impact of Technique'!S" &amp; 5 + (ROW(A1)-1)*4)</f>
        <v>4075.8585200000002</v>
      </c>
      <c r="T5" s="75" cm="1">
        <f t="array" aca="1" ref="T5" ca="1">INDIRECT("'Java Impact of Technique'!S" &amp; 6 + (ROW(A1)-1)*4)</f>
        <v>990.13250000000005</v>
      </c>
      <c r="U5" s="75" cm="1">
        <f t="array" aca="1" ref="U5" ca="1">INDIRECT("'Java Impact of Technique'!W" &amp; 5 + (ROW(A1)-1)*4)*100</f>
        <v>-75.707387900206115</v>
      </c>
      <c r="V5" s="75">
        <v>2.8719490663203402E-11</v>
      </c>
      <c r="W5" s="75" t="s">
        <v>216</v>
      </c>
      <c r="X5" s="75">
        <f ca="1">AVERAGE(J5,U5)</f>
        <v>-37.618753837545391</v>
      </c>
      <c r="Z5" s="15" t="s">
        <v>155</v>
      </c>
      <c r="AA5" s="15" t="s">
        <v>154</v>
      </c>
      <c r="AB5" s="53"/>
      <c r="AC5" s="15" t="s">
        <v>155</v>
      </c>
      <c r="AD5" s="15" t="s">
        <v>154</v>
      </c>
    </row>
    <row r="6" spans="2:30" x14ac:dyDescent="0.25">
      <c r="B6" s="77" t="s">
        <v>157</v>
      </c>
      <c r="C6" s="75" cm="1">
        <f t="array" aca="1" ref="C6" ca="1">INDIRECT("'Java Impact of Technique'!G" &amp; 3 + (ROW(A2)-1)*4)</f>
        <v>134.08600000000001</v>
      </c>
      <c r="D6" s="75" cm="1">
        <f t="array" aca="1" ref="D6" ca="1">INDIRECT("'Java Impact of Technique'!G" &amp; 4 + (ROW(A2)-1)*4)</f>
        <v>41.554000000000002</v>
      </c>
      <c r="E6" s="75" cm="1">
        <f t="array" aca="1" ref="E6" ca="1">INDIRECT("'Java Impact of Technique'!T" &amp; 3 + (ROW(A2)-1)*4)*100</f>
        <v>-69.009441701594497</v>
      </c>
      <c r="F6" s="75">
        <v>2.8719490663203402E-11</v>
      </c>
      <c r="G6" s="78" t="s">
        <v>186</v>
      </c>
      <c r="H6" s="75" cm="1">
        <f t="array" aca="1" ref="H6" ca="1">INDIRECT("'Java Impact of Technique'!S" &amp; 3 + (ROW(A2)-1)*4)</f>
        <v>7300.9827000000014</v>
      </c>
      <c r="I6" s="75" cm="1">
        <f t="array" aca="1" ref="I6" ca="1">INDIRECT("'Java Impact of Technique'!S" &amp; 4 + (ROW(A2)-1)*4)</f>
        <v>2154.5749000000001</v>
      </c>
      <c r="J6" s="75" cm="1">
        <f t="array" aca="1" ref="J6" ca="1">INDIRECT("'Java Impact of Technique'!W" &amp; 3 + (ROW(A2)-1)*4)*100</f>
        <v>-70.489247974796598</v>
      </c>
      <c r="K6" s="75">
        <v>2.8719490663203402E-11</v>
      </c>
      <c r="L6" s="75" t="s">
        <v>186</v>
      </c>
      <c r="M6" s="79" t="s">
        <v>157</v>
      </c>
      <c r="N6" s="75" cm="1">
        <f t="array" aca="1" ref="N6" ca="1">INDIRECT("'Java Impact of Technique'!G" &amp; 5 + (ROW(A2)-1)*4)</f>
        <v>2639.6800000000003</v>
      </c>
      <c r="O6" s="75" cm="1">
        <f t="array" aca="1" ref="O6" ca="1">INDIRECT("'Java Impact of Technique'!G" &amp; 6 + (ROW(A2)-1)*4)</f>
        <v>2510.2799999999997</v>
      </c>
      <c r="P6" s="75" cm="1">
        <f t="array" aca="1" ref="P6" ca="1">INDIRECT("'Java Impact of Technique'!T" &amp; 5 + (ROW(A2)-1)*4)*100</f>
        <v>-4.9021093465874754</v>
      </c>
      <c r="Q6" s="75">
        <v>2.8719490663203402E-11</v>
      </c>
      <c r="R6" s="75" t="s">
        <v>186</v>
      </c>
      <c r="S6" s="75" cm="1">
        <f t="array" aca="1" ref="S6" ca="1">INDIRECT("'Java Impact of Technique'!S" &amp; 5 + (ROW(A2)-1)*4)</f>
        <v>147478.9216</v>
      </c>
      <c r="T6" s="75" cm="1">
        <f t="array" aca="1" ref="T6" ca="1">INDIRECT("'Java Impact of Technique'!S" &amp; 6 + (ROW(A2)-1)*4)</f>
        <v>139446.054</v>
      </c>
      <c r="U6" s="75" cm="1">
        <f t="array" aca="1" ref="U6" ca="1">INDIRECT("'Java Impact of Technique'!W" &amp; 5 + (ROW(A2)-1)*4)*100</f>
        <v>-5.4467903025404256</v>
      </c>
      <c r="V6" s="75">
        <v>9.4449471512379355E-11</v>
      </c>
      <c r="W6" s="75" t="s">
        <v>186</v>
      </c>
      <c r="X6" s="75">
        <f t="shared" ref="X6:X30" ca="1" si="0">AVERAGE(J6,U6)</f>
        <v>-37.96801913866851</v>
      </c>
      <c r="Z6" s="54" t="s">
        <v>161</v>
      </c>
      <c r="AA6" s="29" t="str" cm="1">
        <f t="array" aca="1" ref="AA6" ca="1">_xlfn.TEXTJOIN(", ", TRUE, IF(J5:J30 &lt;= -75, B5:B30, ""))</f>
        <v>T8, T10, T11</v>
      </c>
      <c r="AC6" s="54" t="s">
        <v>161</v>
      </c>
      <c r="AD6" s="29" t="str" cm="1">
        <f t="array" aca="1" ref="AD6" ca="1">_xlfn.TEXTJOIN(", ", TRUE, IF(U5:U30 &lt;= -75, M5:M30, ""))</f>
        <v>T4, T8, T10</v>
      </c>
    </row>
    <row r="7" spans="2:30" x14ac:dyDescent="0.25">
      <c r="B7" s="77" t="s">
        <v>158</v>
      </c>
      <c r="C7" s="75" cm="1">
        <f t="array" aca="1" ref="C7" ca="1">INDIRECT("'Java Impact of Technique'!G" &amp; 3 + (ROW(A3)-1)*4)</f>
        <v>2.094E-2</v>
      </c>
      <c r="D7" s="75" cm="1">
        <f t="array" aca="1" ref="D7" ca="1">INDIRECT("'Java Impact of Technique'!G" &amp; 4 + (ROW(A3)-1)*4)</f>
        <v>2.094E-2</v>
      </c>
      <c r="E7" s="75" cm="1">
        <f t="array" aca="1" ref="E7" ca="1">INDIRECT("'Java Impact of Technique'!T" &amp; 3 + (ROW(A3)-1)*4)*100</f>
        <v>0</v>
      </c>
      <c r="F7" s="75">
        <v>0.47334655725844976</v>
      </c>
      <c r="G7" s="75" t="s">
        <v>216</v>
      </c>
      <c r="H7" s="75" cm="1">
        <f t="array" aca="1" ref="H7" ca="1">INDIRECT("'Java Impact of Technique'!S" &amp; 3 + (ROW(A3)-1)*4)</f>
        <v>0.9483725999999999</v>
      </c>
      <c r="I7" s="75" cm="1">
        <f t="array" aca="1" ref="I7" ca="1">INDIRECT("'Java Impact of Technique'!S" &amp; 4 + (ROW(A3)-1)*4)</f>
        <v>0.95591099999999996</v>
      </c>
      <c r="J7" s="75" cm="1">
        <f t="array" aca="1" ref="J7" ca="1">INDIRECT("'Java Impact of Technique'!W" &amp; 3 + (ROW(A3)-1)*4)*100</f>
        <v>0.79487745639214547</v>
      </c>
      <c r="K7" s="75">
        <v>0.28047047727722929</v>
      </c>
      <c r="L7" s="75" t="s">
        <v>216</v>
      </c>
      <c r="M7" s="79" t="s">
        <v>158</v>
      </c>
      <c r="N7" s="75" cm="1">
        <f t="array" aca="1" ref="N7" ca="1">INDIRECT("'Java Impact of Technique'!G" &amp; 5 + (ROW(A3)-1)*4)</f>
        <v>4.7990000000000004</v>
      </c>
      <c r="O7" s="75" cm="1">
        <f t="array" aca="1" ref="O7" ca="1">INDIRECT("'Java Impact of Technique'!G" &amp; 6 + (ROW(A3)-1)*4)</f>
        <v>4.835</v>
      </c>
      <c r="P7" s="75" cm="1">
        <f t="array" aca="1" ref="P7" ca="1">INDIRECT("'Java Impact of Technique'!T" &amp; 5 + (ROW(A3)-1)*4)*100</f>
        <v>0.7501562825588578</v>
      </c>
      <c r="Q7" s="75">
        <v>0.56421470514578609</v>
      </c>
      <c r="R7" s="75" t="s">
        <v>216</v>
      </c>
      <c r="S7" s="75" cm="1">
        <f t="array" aca="1" ref="S7" ca="1">INDIRECT("'Java Impact of Technique'!S" &amp; 5 + (ROW(A3)-1)*4)</f>
        <v>225.553</v>
      </c>
      <c r="T7" s="75" cm="1">
        <f t="array" aca="1" ref="T7" ca="1">INDIRECT("'Java Impact of Technique'!S" &amp; 6 + (ROW(A3)-1)*4)</f>
        <v>220.91114999999999</v>
      </c>
      <c r="U7" s="75" cm="1">
        <f t="array" aca="1" ref="U7" ca="1">INDIRECT("'Java Impact of Technique'!W" &amp; 5 + (ROW(A3)-1)*4)*100</f>
        <v>-2.0579863712741595</v>
      </c>
      <c r="V7" s="75">
        <v>1.1436497674470899E-3</v>
      </c>
      <c r="W7" s="75" t="s">
        <v>216</v>
      </c>
      <c r="X7" s="75">
        <f t="shared" ca="1" si="0"/>
        <v>-0.63155445744100702</v>
      </c>
      <c r="Z7" s="55" t="s">
        <v>162</v>
      </c>
      <c r="AA7" s="29" t="str" cm="1">
        <f t="array" aca="1" ref="AA7" ca="1">_xlfn.TEXTJOIN(", ", TRUE, IF((J5:J30 &gt; -75) * (J5:J30 &lt;= -25), B5:B30, ""))</f>
        <v>T5, T13, T32, T49</v>
      </c>
      <c r="AC7" s="55" t="s">
        <v>162</v>
      </c>
      <c r="AD7" s="29" t="str" cm="1">
        <f t="array" aca="1" ref="AD7" ca="1">_xlfn.TEXTJOIN(", ", TRUE, IF((U5:U30 &gt; -75) * (U5:U30 &lt;= -25), M5:M30, ""))</f>
        <v>T11, T12, T20, T26, T40, T49, T50</v>
      </c>
    </row>
    <row r="8" spans="2:30" x14ac:dyDescent="0.25">
      <c r="B8" s="77" t="s">
        <v>160</v>
      </c>
      <c r="C8" s="75" cm="1">
        <f t="array" aca="1" ref="C8" ca="1">INDIRECT("'Java Impact of Technique'!G" &amp; 3 + (ROW(A4)-1)*4)</f>
        <v>2.38835</v>
      </c>
      <c r="D8" s="75" cm="1">
        <f t="array" aca="1" ref="D8" ca="1">INDIRECT("'Java Impact of Technique'!G" &amp; 4 + (ROW(A4)-1)*4)</f>
        <v>0.20988000000000001</v>
      </c>
      <c r="E8" s="75" cm="1">
        <f t="array" aca="1" ref="E8" ca="1">INDIRECT("'Java Impact of Technique'!T" &amp; 3 + (ROW(A4)-1)*4)*100</f>
        <v>-91.212343249523727</v>
      </c>
      <c r="F8" s="75">
        <v>2.8719490663203402E-11</v>
      </c>
      <c r="G8" s="78" t="s">
        <v>186</v>
      </c>
      <c r="H8" s="75" cm="1">
        <f t="array" aca="1" ref="H8" ca="1">INDIRECT("'Java Impact of Technique'!S" &amp; 3 + (ROW(A4)-1)*4)</f>
        <v>133.413231</v>
      </c>
      <c r="I8" s="75" cm="1">
        <f t="array" aca="1" ref="I8" ca="1">INDIRECT("'Java Impact of Technique'!S" &amp; 4 + (ROW(A4)-1)*4)</f>
        <v>10.594742399999999</v>
      </c>
      <c r="J8" s="75" cm="1">
        <f t="array" aca="1" ref="J8" ca="1">INDIRECT("'Java Impact of Technique'!W" &amp; 3 + (ROW(A4)-1)*4)*100</f>
        <v>-92.058701883923348</v>
      </c>
      <c r="K8" s="75">
        <v>2.8719490663203402E-11</v>
      </c>
      <c r="L8" s="75" t="s">
        <v>186</v>
      </c>
      <c r="M8" s="79" t="s">
        <v>160</v>
      </c>
      <c r="N8" s="75" cm="1">
        <f t="array" aca="1" ref="N8" ca="1">INDIRECT("'Java Impact of Technique'!G" &amp; 5 + (ROW(A4)-1)*4)</f>
        <v>170.18</v>
      </c>
      <c r="O8" s="75" cm="1">
        <f t="array" aca="1" ref="O8" ca="1">INDIRECT("'Java Impact of Technique'!G" &amp; 6 + (ROW(A4)-1)*4)</f>
        <v>33.97</v>
      </c>
      <c r="P8" s="75" cm="1">
        <f t="array" aca="1" ref="P8" ca="1">INDIRECT("'Java Impact of Technique'!T" &amp; 5 + (ROW(A4)-1)*4)*100</f>
        <v>-80.038782465624635</v>
      </c>
      <c r="Q8" s="75">
        <v>2.8719490663203402E-11</v>
      </c>
      <c r="R8" s="75" t="s">
        <v>186</v>
      </c>
      <c r="S8" s="75" cm="1">
        <f t="array" aca="1" ref="S8" ca="1">INDIRECT("'Java Impact of Technique'!S" &amp; 5 + (ROW(A4)-1)*4)</f>
        <v>8563.4575999999997</v>
      </c>
      <c r="T8" s="75" cm="1">
        <f t="array" aca="1" ref="T8" ca="1">INDIRECT("'Java Impact of Technique'!S" &amp; 6 + (ROW(A4)-1)*4)</f>
        <v>1535.444</v>
      </c>
      <c r="U8" s="75" cm="1">
        <f t="array" aca="1" ref="U8" ca="1">INDIRECT("'Java Impact of Technique'!W" &amp; 5 + (ROW(A4)-1)*4)*100</f>
        <v>-82.069812548613541</v>
      </c>
      <c r="V8" s="75">
        <v>2.8719490663203402E-11</v>
      </c>
      <c r="W8" s="75" t="s">
        <v>186</v>
      </c>
      <c r="X8" s="75">
        <f t="shared" ca="1" si="0"/>
        <v>-87.064257216268444</v>
      </c>
      <c r="Z8" s="56" t="s">
        <v>167</v>
      </c>
      <c r="AA8" s="29" t="str" cm="1">
        <f t="array" aca="1" ref="AA8" ca="1">_xlfn.TEXTJOIN(", ", TRUE, IF((J5:J30 &gt; -25) * (J5:J30 &lt;= -3), B5:B30, ""))</f>
        <v>T19, T36, T50</v>
      </c>
      <c r="AC8" s="56" t="s">
        <v>167</v>
      </c>
      <c r="AD8" s="29" t="str" cm="1">
        <f t="array" aca="1" ref="AD8" ca="1">_xlfn.TEXTJOIN(", ", TRUE, IF((U5:U30 &gt; -25) * (U5:U30 &lt;= -3), M5:M30, ""))</f>
        <v>T5, T13, T17, T19, T33, T36, T51</v>
      </c>
    </row>
    <row r="9" spans="2:30" x14ac:dyDescent="0.25">
      <c r="B9" s="77" t="s">
        <v>159</v>
      </c>
      <c r="C9" s="75" cm="1">
        <f t="array" aca="1" ref="C9" ca="1">INDIRECT("'Java Impact of Technique'!G" &amp; 3 + (ROW(A5)-1)*4)</f>
        <v>2.094E-2</v>
      </c>
      <c r="D9" s="75" cm="1">
        <f t="array" aca="1" ref="D9" ca="1">INDIRECT("'Java Impact of Technique'!G" &amp; 4 + (ROW(A5)-1)*4)</f>
        <v>2.094E-2</v>
      </c>
      <c r="E9" s="75" cm="1">
        <f t="array" aca="1" ref="E9" ca="1">INDIRECT("'Java Impact of Technique'!T" &amp; 3 + (ROW(A5)-1)*4)*100</f>
        <v>0</v>
      </c>
      <c r="F9" s="75">
        <v>0.28377804794562433</v>
      </c>
      <c r="G9" s="75" t="s">
        <v>216</v>
      </c>
      <c r="H9" s="75" cm="1">
        <f t="array" aca="1" ref="H9" ca="1">INDIRECT("'Java Impact of Technique'!S" &amp; 3 + (ROW(A5)-1)*4)</f>
        <v>1.0446966</v>
      </c>
      <c r="I9" s="75" cm="1">
        <f t="array" aca="1" ref="I9" ca="1">INDIRECT("'Java Impact of Technique'!S" &amp; 4 + (ROW(A5)-1)*4)</f>
        <v>1.0432308000000001</v>
      </c>
      <c r="J9" s="75" cm="1">
        <f t="array" aca="1" ref="J9" ca="1">INDIRECT("'Java Impact of Technique'!W" &amp; 3 + (ROW(A5)-1)*4)*100</f>
        <v>-0.1403086790939925</v>
      </c>
      <c r="K9" s="75">
        <v>0.50585917807959835</v>
      </c>
      <c r="L9" s="75" t="s">
        <v>216</v>
      </c>
      <c r="M9" s="79" t="s">
        <v>159</v>
      </c>
      <c r="N9" s="75" cm="1">
        <f t="array" aca="1" ref="N9" ca="1">INDIRECT("'Java Impact of Technique'!G" &amp; 5 + (ROW(A5)-1)*4)</f>
        <v>3.7</v>
      </c>
      <c r="O9" s="75" cm="1">
        <f t="array" aca="1" ref="O9" ca="1">INDIRECT("'Java Impact of Technique'!G" &amp; 6 + (ROW(A5)-1)*4)</f>
        <v>3.786</v>
      </c>
      <c r="P9" s="75" cm="1">
        <f t="array" aca="1" ref="P9" ca="1">INDIRECT("'Java Impact of Technique'!T" &amp; 5 + (ROW(A5)-1)*4)*100</f>
        <v>2.3243243243243206</v>
      </c>
      <c r="Q9" s="75">
        <v>0.29047214949383471</v>
      </c>
      <c r="R9" s="75" t="s">
        <v>216</v>
      </c>
      <c r="S9" s="75" cm="1">
        <f t="array" aca="1" ref="S9" ca="1">INDIRECT("'Java Impact of Technique'!S" &amp; 5 + (ROW(A5)-1)*4)</f>
        <v>184.40799999999999</v>
      </c>
      <c r="T9" s="75" cm="1">
        <f t="array" aca="1" ref="T9" ca="1">INDIRECT("'Java Impact of Technique'!S" &amp; 6 + (ROW(A5)-1)*4)</f>
        <v>186.80124000000001</v>
      </c>
      <c r="U9" s="75" cm="1">
        <f t="array" aca="1" ref="U9" ca="1">INDIRECT("'Java Impact of Technique'!W" &amp; 5 + (ROW(A5)-1)*4)*100</f>
        <v>1.297796191054629</v>
      </c>
      <c r="V9" s="75">
        <v>0.83602395048931144</v>
      </c>
      <c r="W9" s="75" t="s">
        <v>216</v>
      </c>
      <c r="X9" s="75">
        <f t="shared" ca="1" si="0"/>
        <v>0.57874375598031824</v>
      </c>
      <c r="Z9" s="57" t="s">
        <v>163</v>
      </c>
      <c r="AA9" s="29" t="str" cm="1">
        <f t="array" aca="1" ref="AA9" ca="1">_xlfn.TEXTJOIN(", ", TRUE, IF((J5:J30 &gt; -3) * (J5:J30 &lt; 3), B5:B30, ""))</f>
        <v>T4, T7, T9, T12, T17, T26, T29, T33, T40, T44</v>
      </c>
      <c r="AC9" s="57" t="s">
        <v>163</v>
      </c>
      <c r="AD9" s="29" t="str" cm="1">
        <f t="array" aca="1" ref="AD9" ca="1">_xlfn.TEXTJOIN(", ", TRUE, IF((U5:U30 &gt; -3) * (U5:U30 &lt; 3), M5:M30, ""))</f>
        <v>T7, T9, T25, T29</v>
      </c>
    </row>
    <row r="10" spans="2:30" x14ac:dyDescent="0.25">
      <c r="B10" s="77" t="s">
        <v>19</v>
      </c>
      <c r="C10" s="75" cm="1">
        <f t="array" aca="1" ref="C10" ca="1">INDIRECT("'Java Impact of Technique'!G" &amp; 3 + (ROW(A6)-1)*4)</f>
        <v>37.073</v>
      </c>
      <c r="D10" s="75" cm="1">
        <f t="array" aca="1" ref="D10" ca="1">INDIRECT("'Java Impact of Technique'!G" &amp; 4 + (ROW(A6)-1)*4)</f>
        <v>2.1030000000000004E-2</v>
      </c>
      <c r="E10" s="75" cm="1">
        <f t="array" aca="1" ref="E10" ca="1">INDIRECT("'Java Impact of Technique'!T" &amp; 3 + (ROW(A6)-1)*4)*100</f>
        <v>-94.327408086747766</v>
      </c>
      <c r="F10" s="75"/>
      <c r="G10" s="78"/>
      <c r="H10" s="75" cm="1">
        <f t="array" aca="1" ref="H10" ca="1">INDIRECT("'Java Impact of Technique'!S" &amp; 3 + (ROW(A6)-1)*4)</f>
        <v>2315.20885</v>
      </c>
      <c r="I10" s="75" cm="1">
        <f t="array" aca="1" ref="I10" ca="1">INDIRECT("'Java Impact of Technique'!S" &amp; 4 + (ROW(A6)-1)*4)</f>
        <v>0.97726410000000008</v>
      </c>
      <c r="J10" s="75" cm="1">
        <f t="array" aca="1" ref="J10" ca="1">INDIRECT("'Java Impact of Technique'!W" &amp; 3 + (ROW(A6)-1)*4)*100</f>
        <v>-99.957789376107471</v>
      </c>
      <c r="K10" s="75"/>
      <c r="L10" s="75"/>
      <c r="M10" s="79" t="s">
        <v>19</v>
      </c>
      <c r="N10" s="75" cm="1">
        <f t="array" aca="1" ref="N10" ca="1">INDIRECT("'Java Impact of Technique'!G" &amp; 5 + (ROW(A6)-1)*4)</f>
        <v>90.191000000000003</v>
      </c>
      <c r="O10" s="75" cm="1">
        <f t="array" aca="1" ref="O10" ca="1">INDIRECT("'Java Impact of Technique'!G" &amp; 6 + (ROW(A6)-1)*4)</f>
        <v>3.9079999999999999</v>
      </c>
      <c r="P10" s="75" cm="1">
        <f t="array" aca="1" ref="P10" ca="1">INDIRECT("'Java Impact of Technique'!T" &amp; 5 + (ROW(A6)-1)*4)*100</f>
        <v>-95.666973423068825</v>
      </c>
      <c r="Q10" s="75">
        <v>2.8719490663203402E-11</v>
      </c>
      <c r="R10" s="75" t="s">
        <v>186</v>
      </c>
      <c r="S10" s="75" cm="1">
        <f t="array" aca="1" ref="S10" ca="1">INDIRECT("'Java Impact of Technique'!S" &amp; 5 + (ROW(A6)-1)*4)</f>
        <v>5406.0485399999998</v>
      </c>
      <c r="T10" s="75" cm="1">
        <f t="array" aca="1" ref="T10" ca="1">INDIRECT("'Java Impact of Technique'!S" &amp; 6 + (ROW(A6)-1)*4)</f>
        <v>182.15188000000001</v>
      </c>
      <c r="U10" s="75" cm="1">
        <f t="array" aca="1" ref="U10" ca="1">INDIRECT("'Java Impact of Technique'!W" &amp; 5 + (ROW(A6)-1)*4)*100</f>
        <v>-96.630591111932546</v>
      </c>
      <c r="V10" s="75">
        <v>2.8719490663203402E-11</v>
      </c>
      <c r="W10" s="75" t="s">
        <v>186</v>
      </c>
      <c r="X10" s="75">
        <f t="shared" ca="1" si="0"/>
        <v>-98.294190244020001</v>
      </c>
      <c r="Z10" s="58" t="s">
        <v>164</v>
      </c>
      <c r="AA10" s="29" t="str" cm="1">
        <f t="array" aca="1" ref="AA10" ca="1">_xlfn.TEXTJOIN(", ", TRUE, IF((J5:J30 &gt;= 3) * (J5:J30 &lt; 25), B5:B30, ""))</f>
        <v>T25, T51</v>
      </c>
      <c r="AC10" s="58" t="s">
        <v>164</v>
      </c>
      <c r="AD10" s="29" t="str" cm="1">
        <f t="array" aca="1" ref="AD10" ca="1">_xlfn.TEXTJOIN(", ", TRUE, IF((U5:U30 &gt;= 3) * (U5:U30 &lt; 25), M5:M30, ""))</f>
        <v>T16, T32, T44</v>
      </c>
    </row>
    <row r="11" spans="2:30" x14ac:dyDescent="0.25">
      <c r="B11" s="77" t="s">
        <v>21</v>
      </c>
      <c r="C11" s="75" cm="1">
        <f t="array" aca="1" ref="C11" ca="1">INDIRECT("'Java Impact of Technique'!G" &amp; 3 + (ROW(A7)-1)*4)</f>
        <v>0.21390999999999999</v>
      </c>
      <c r="D11" s="75" cm="1">
        <f t="array" aca="1" ref="D11" ca="1">INDIRECT("'Java Impact of Technique'!G" &amp; 4 + (ROW(A7)-1)*4)</f>
        <v>2.1030000000000004E-2</v>
      </c>
      <c r="E11" s="75" cm="1">
        <f t="array" aca="1" ref="E11" ca="1">INDIRECT("'Java Impact of Technique'!T" &amp; 3 + (ROW(A7)-1)*4)*100</f>
        <v>-90.168762563694997</v>
      </c>
      <c r="F11" s="75">
        <v>2.8719490663203402E-11</v>
      </c>
      <c r="G11" s="78" t="s">
        <v>186</v>
      </c>
      <c r="H11" s="75" cm="1">
        <f t="array" aca="1" ref="H11" ca="1">INDIRECT("'Java Impact of Technique'!S" &amp; 3 + (ROW(A7)-1)*4)</f>
        <v>9.2601638999999984</v>
      </c>
      <c r="I11" s="75" cm="1">
        <f t="array" aca="1" ref="I11" ca="1">INDIRECT("'Java Impact of Technique'!S" &amp; 4 + (ROW(A7)-1)*4)</f>
        <v>1.0338348000000002</v>
      </c>
      <c r="J11" s="75" cm="1">
        <f t="array" aca="1" ref="J11" ca="1">INDIRECT("'Java Impact of Technique'!W" &amp; 3 + (ROW(A7)-1)*4)*100</f>
        <v>-88.835674927956717</v>
      </c>
      <c r="K11" s="75">
        <v>2.8719490663203402E-11</v>
      </c>
      <c r="L11" s="75" t="s">
        <v>186</v>
      </c>
      <c r="M11" s="79" t="s">
        <v>21</v>
      </c>
      <c r="N11" s="75" cm="1">
        <f t="array" aca="1" ref="N11" ca="1">INDIRECT("'Java Impact of Technique'!G" &amp; 5 + (ROW(A7)-1)*4)</f>
        <v>14.137</v>
      </c>
      <c r="O11" s="75" cm="1">
        <f t="array" aca="1" ref="O11" ca="1">INDIRECT("'Java Impact of Technique'!G" &amp; 6 + (ROW(A7)-1)*4)</f>
        <v>9.5370000000000008</v>
      </c>
      <c r="P11" s="75" cm="1">
        <f t="array" aca="1" ref="P11" ca="1">INDIRECT("'Java Impact of Technique'!T" &amp; 5 + (ROW(A7)-1)*4)*100</f>
        <v>-32.53872816014713</v>
      </c>
      <c r="Q11" s="75">
        <v>2.8719490663203402E-11</v>
      </c>
      <c r="R11" s="75" t="s">
        <v>186</v>
      </c>
      <c r="S11" s="75" cm="1">
        <f t="array" aca="1" ref="S11" ca="1">INDIRECT("'Java Impact of Technique'!S" &amp; 5 + (ROW(A7)-1)*4)</f>
        <v>762.40841</v>
      </c>
      <c r="T11" s="75" cm="1">
        <f t="array" aca="1" ref="T11" ca="1">INDIRECT("'Java Impact of Technique'!S" &amp; 6 + (ROW(A7)-1)*4)</f>
        <v>539.69883000000004</v>
      </c>
      <c r="U11" s="75" cm="1">
        <f t="array" aca="1" ref="U11" ca="1">INDIRECT("'Java Impact of Technique'!W" &amp; 5 + (ROW(A7)-1)*4)*100</f>
        <v>-29.211322577094862</v>
      </c>
      <c r="V11" s="75">
        <v>2.8719490663203402E-11</v>
      </c>
      <c r="W11" s="75" t="s">
        <v>186</v>
      </c>
      <c r="X11" s="75">
        <f t="shared" ca="1" si="0"/>
        <v>-59.023498752525789</v>
      </c>
      <c r="Z11" s="59" t="s">
        <v>165</v>
      </c>
      <c r="AA11" s="29" t="str" cm="1">
        <f t="array" aca="1" ref="AA11" ca="1">_xlfn.TEXTJOIN(", ", TRUE, IF((J5:J30 &gt;= 25) * (J5:J30 &lt; 75), B5:B30, ""))</f>
        <v>T16, T28, T31</v>
      </c>
      <c r="AC11" s="59" t="s">
        <v>165</v>
      </c>
      <c r="AD11" s="29" t="str" cm="1">
        <f t="array" aca="1" ref="AD11" ca="1">_xlfn.TEXTJOIN(", ", TRUE, IF((U5:U30 &gt;= 25) * (U5:U30 &lt; 75), M5:M30, ""))</f>
        <v>T28, T31</v>
      </c>
    </row>
    <row r="12" spans="2:30" x14ac:dyDescent="0.25">
      <c r="B12" s="77" t="s">
        <v>23</v>
      </c>
      <c r="C12" s="75" cm="1">
        <f t="array" aca="1" ref="C12" ca="1">INDIRECT("'Java Impact of Technique'!G" &amp; 3 + (ROW(A8)-1)*4)</f>
        <v>2.094E-2</v>
      </c>
      <c r="D12" s="75" cm="1">
        <f t="array" aca="1" ref="D12" ca="1">INDIRECT("'Java Impact of Technique'!G" &amp; 4 + (ROW(A8)-1)*4)</f>
        <v>2.094E-2</v>
      </c>
      <c r="E12" s="75" cm="1">
        <f t="array" aca="1" ref="E12" ca="1">INDIRECT("'Java Impact of Technique'!T" &amp; 3 + (ROW(A8)-1)*4)*100</f>
        <v>0</v>
      </c>
      <c r="F12" s="75">
        <v>0.88830284215338873</v>
      </c>
      <c r="G12" s="75" t="s">
        <v>216</v>
      </c>
      <c r="H12" s="75" cm="1">
        <f t="array" aca="1" ref="H12" ca="1">INDIRECT("'Java Impact of Technique'!S" &amp; 3 + (ROW(A8)-1)*4)</f>
        <v>0.96700920000000001</v>
      </c>
      <c r="I12" s="75" cm="1">
        <f t="array" aca="1" ref="I12" ca="1">INDIRECT("'Java Impact of Technique'!S" &amp; 4 + (ROW(A8)-1)*4)</f>
        <v>0.97119719999999998</v>
      </c>
      <c r="J12" s="75" cm="1">
        <f t="array" aca="1" ref="J12" ca="1">INDIRECT("'Java Impact of Technique'!W" &amp; 3 + (ROW(A8)-1)*4)*100</f>
        <v>0.43308791684711678</v>
      </c>
      <c r="K12" s="75">
        <v>0.72271979157105992</v>
      </c>
      <c r="L12" s="75" t="s">
        <v>216</v>
      </c>
      <c r="M12" s="79" t="s">
        <v>23</v>
      </c>
      <c r="N12" s="75" cm="1">
        <f t="array" aca="1" ref="N12" ca="1">INDIRECT("'Java Impact of Technique'!G" &amp; 5 + (ROW(A8)-1)*4)</f>
        <v>13.753</v>
      </c>
      <c r="O12" s="75" cm="1">
        <f t="array" aca="1" ref="O12" ca="1">INDIRECT("'Java Impact of Technique'!G" &amp; 6 + (ROW(A8)-1)*4)</f>
        <v>8.9060000000000006</v>
      </c>
      <c r="P12" s="75" cm="1">
        <f t="array" aca="1" ref="P12" ca="1">INDIRECT("'Java Impact of Technique'!T" &amp; 5 + (ROW(A8)-1)*4)*100</f>
        <v>-35.243219661164829</v>
      </c>
      <c r="Q12" s="75">
        <v>3.1752172486680018E-11</v>
      </c>
      <c r="R12" s="75" t="s">
        <v>216</v>
      </c>
      <c r="S12" s="75" cm="1">
        <f t="array" aca="1" ref="S12" ca="1">INDIRECT("'Java Impact of Technique'!S" &amp; 5 + (ROW(A8)-1)*4)</f>
        <v>588.90346</v>
      </c>
      <c r="T12" s="75" cm="1">
        <f t="array" aca="1" ref="T12" ca="1">INDIRECT("'Java Impact of Technique'!S" &amp; 6 + (ROW(A8)-1)*4)</f>
        <v>379.30653999999998</v>
      </c>
      <c r="U12" s="75" cm="1">
        <f t="array" aca="1" ref="U12" ca="1">INDIRECT("'Java Impact of Technique'!W" &amp; 5 + (ROW(A8)-1)*4)*100</f>
        <v>-35.591049167889082</v>
      </c>
      <c r="V12" s="75">
        <v>2.8719490663203402E-11</v>
      </c>
      <c r="W12" s="75" t="s">
        <v>216</v>
      </c>
      <c r="X12" s="75">
        <f t="shared" ca="1" si="0"/>
        <v>-17.578980625520984</v>
      </c>
      <c r="Z12" s="60" t="s">
        <v>166</v>
      </c>
      <c r="AA12" s="38" t="str" cm="1">
        <f t="array" aca="1" ref="AA12" ca="1">_xlfn.TEXTJOIN(", ", TRUE, IF(J5:J30 &gt;= 75, B5:B30, ""))</f>
        <v>T20</v>
      </c>
      <c r="AC12" s="60" t="s">
        <v>166</v>
      </c>
      <c r="AD12" s="38" t="str" cm="1">
        <f t="array" aca="1" ref="AD12" ca="1">_xlfn.TEXTJOIN(", ", TRUE, IF(U5:U30 &gt;= 75, M5:M30, ""))</f>
        <v/>
      </c>
    </row>
    <row r="13" spans="2:30" x14ac:dyDescent="0.25">
      <c r="B13" s="77" t="s">
        <v>25</v>
      </c>
      <c r="C13" s="75" cm="1">
        <f t="array" aca="1" ref="C13" ca="1">INDIRECT("'Java Impact of Technique'!G" &amp; 3 + (ROW(A9)-1)*4)</f>
        <v>0.10996</v>
      </c>
      <c r="D13" s="75" cm="1">
        <f t="array" aca="1" ref="D13" ca="1">INDIRECT("'Java Impact of Technique'!G" &amp; 4 + (ROW(A9)-1)*4)</f>
        <v>2.6179999999999998E-2</v>
      </c>
      <c r="E13" s="75" cm="1">
        <f t="array" aca="1" ref="E13" ca="1">INDIRECT("'Java Impact of Technique'!T" &amp; 3 + (ROW(A9)-1)*4)*100</f>
        <v>-76.191342306293194</v>
      </c>
      <c r="F13" s="75">
        <v>2.8719490663203402E-11</v>
      </c>
      <c r="G13" s="78" t="s">
        <v>186</v>
      </c>
      <c r="H13" s="75" cm="1">
        <f t="array" aca="1" ref="H13" ca="1">INDIRECT("'Java Impact of Technique'!S" &amp; 3 + (ROW(A9)-1)*4)</f>
        <v>5.0427656000000001</v>
      </c>
      <c r="I13" s="75" cm="1">
        <f t="array" aca="1" ref="I13" ca="1">INDIRECT("'Java Impact of Technique'!S" &amp; 4 + (ROW(A9)-1)*4)</f>
        <v>1.3254934</v>
      </c>
      <c r="J13" s="75" cm="1">
        <f t="array" aca="1" ref="J13" ca="1">INDIRECT("'Java Impact of Technique'!W" &amp; 3 + (ROW(A9)-1)*4)*100</f>
        <v>-73.714951176790763</v>
      </c>
      <c r="K13" s="75">
        <v>2.8719490663203402E-11</v>
      </c>
      <c r="L13" s="75" t="s">
        <v>186</v>
      </c>
      <c r="M13" s="79" t="s">
        <v>25</v>
      </c>
      <c r="N13" s="75" cm="1">
        <f t="array" aca="1" ref="N13" ca="1">INDIRECT("'Java Impact of Technique'!G" &amp; 5 + (ROW(A9)-1)*4)</f>
        <v>234.94</v>
      </c>
      <c r="O13" s="75" cm="1">
        <f t="array" aca="1" ref="O13" ca="1">INDIRECT("'Java Impact of Technique'!G" &amp; 6 + (ROW(A9)-1)*4)</f>
        <v>218.54</v>
      </c>
      <c r="P13" s="75" cm="1">
        <f t="array" aca="1" ref="P13" ca="1">INDIRECT("'Java Impact of Technique'!T" &amp; 5 + (ROW(A9)-1)*4)*100</f>
        <v>-6.980505661019837</v>
      </c>
      <c r="Q13" s="75">
        <v>4.5797528646727948E-6</v>
      </c>
      <c r="R13" s="75" t="s">
        <v>186</v>
      </c>
      <c r="S13" s="75" cm="1">
        <f t="array" aca="1" ref="S13" ca="1">INDIRECT("'Java Impact of Technique'!S" &amp; 5 + (ROW(A9)-1)*4)</f>
        <v>10154.1068</v>
      </c>
      <c r="T13" s="75" cm="1">
        <f t="array" aca="1" ref="T13" ca="1">INDIRECT("'Java Impact of Technique'!S" &amp; 6 + (ROW(A9)-1)*4)</f>
        <v>9690.0636000000013</v>
      </c>
      <c r="U13" s="75" cm="1">
        <f t="array" aca="1" ref="U13" ca="1">INDIRECT("'Java Impact of Technique'!W" &amp; 5 + (ROW(A9)-1)*4)*100</f>
        <v>-4.5700051135959914</v>
      </c>
      <c r="V13" s="75">
        <v>2.2105923164218101E-3</v>
      </c>
      <c r="W13" s="75" t="s">
        <v>215</v>
      </c>
      <c r="X13" s="75">
        <f t="shared" ca="1" si="0"/>
        <v>-39.14247814519338</v>
      </c>
    </row>
    <row r="14" spans="2:30" x14ac:dyDescent="0.25">
      <c r="B14" s="77" t="s">
        <v>31</v>
      </c>
      <c r="C14" s="75" cm="1">
        <f t="array" aca="1" ref="C14" ca="1">INDIRECT("'Java Impact of Technique'!G" &amp; 3 + (ROW(A10)-1)*4)</f>
        <v>1.5709999999999998E-2</v>
      </c>
      <c r="D14" s="75" cm="1">
        <f t="array" aca="1" ref="D14" ca="1">INDIRECT("'Java Impact of Technique'!G" &amp; 4 + (ROW(A10)-1)*4)</f>
        <v>2.0950000000000003E-2</v>
      </c>
      <c r="E14" s="75" cm="1">
        <f t="array" aca="1" ref="E14" ca="1">INDIRECT("'Java Impact of Technique'!T" &amp; 3 + (ROW(A10)-1)*4)*100</f>
        <v>33.354551241247634</v>
      </c>
      <c r="F14" s="75">
        <v>2.8719490663203402E-11</v>
      </c>
      <c r="G14" s="78" t="s">
        <v>186</v>
      </c>
      <c r="H14" s="75" cm="1">
        <f t="array" aca="1" ref="H14" ca="1">INDIRECT("'Java Impact of Technique'!S" &amp; 3 + (ROW(A10)-1)*4)</f>
        <v>0.72234579999999993</v>
      </c>
      <c r="I14" s="75" cm="1">
        <f t="array" aca="1" ref="I14" ca="1">INDIRECT("'Java Impact of Technique'!S" &amp; 4 + (ROW(A10)-1)*4)</f>
        <v>1.0146085</v>
      </c>
      <c r="J14" s="75" cm="1">
        <f t="array" aca="1" ref="J14" ca="1">INDIRECT("'Java Impact of Technique'!W" &amp; 3 + (ROW(A10)-1)*4)*100</f>
        <v>40.460220022044865</v>
      </c>
      <c r="K14" s="75">
        <v>2.8719490663203402E-11</v>
      </c>
      <c r="L14" s="75" t="s">
        <v>186</v>
      </c>
      <c r="M14" s="79" t="s">
        <v>31</v>
      </c>
      <c r="N14" s="75" cm="1">
        <f t="array" aca="1" ref="N14" ca="1">INDIRECT("'Java Impact of Technique'!G" &amp; 5 + (ROW(A10)-1)*4)</f>
        <v>7.5910000000000002</v>
      </c>
      <c r="O14" s="75" cm="1">
        <f t="array" aca="1" ref="O14" ca="1">INDIRECT("'Java Impact of Technique'!G" &amp; 6 + (ROW(A10)-1)*4)</f>
        <v>9.0280000000000005</v>
      </c>
      <c r="P14" s="75" cm="1">
        <f t="array" aca="1" ref="P14" ca="1">INDIRECT("'Java Impact of Technique'!T" &amp; 5 + (ROW(A10)-1)*4)*100</f>
        <v>18.930312211829804</v>
      </c>
      <c r="Q14" s="75">
        <v>3.9647653559187379E-8</v>
      </c>
      <c r="R14" s="75" t="s">
        <v>186</v>
      </c>
      <c r="S14" s="75" cm="1">
        <f t="array" aca="1" ref="S14" ca="1">INDIRECT("'Java Impact of Technique'!S" &amp; 5 + (ROW(A10)-1)*4)</f>
        <v>329.52530999999999</v>
      </c>
      <c r="T14" s="75" cm="1">
        <f t="array" aca="1" ref="T14" ca="1">INDIRECT("'Java Impact of Technique'!S" &amp; 6 + (ROW(A10)-1)*4)</f>
        <v>391.8152</v>
      </c>
      <c r="U14" s="75" cm="1">
        <f t="array" aca="1" ref="U14" ca="1">INDIRECT("'Java Impact of Technique'!W" &amp; 5 + (ROW(A10)-1)*4)*100</f>
        <v>18.902915226754512</v>
      </c>
      <c r="V14" s="75">
        <v>2.1031211365264164E-8</v>
      </c>
      <c r="W14" s="75" t="s">
        <v>186</v>
      </c>
      <c r="X14" s="75">
        <f t="shared" ca="1" si="0"/>
        <v>29.68156762439969</v>
      </c>
    </row>
    <row r="15" spans="2:30" x14ac:dyDescent="0.25">
      <c r="B15" s="77" t="s">
        <v>33</v>
      </c>
      <c r="C15" s="75" cm="1">
        <f t="array" aca="1" ref="C15" ca="1">INDIRECT("'Java Impact of Technique'!G" &amp; 3 + (ROW(A11)-1)*4)</f>
        <v>2.0950000000000003E-2</v>
      </c>
      <c r="D15" s="75" cm="1">
        <f t="array" aca="1" ref="D15" ca="1">INDIRECT("'Java Impact of Technique'!G" &amp; 4 + (ROW(A11)-1)*4)</f>
        <v>2.094E-2</v>
      </c>
      <c r="E15" s="75" cm="1">
        <f t="array" aca="1" ref="E15" ca="1">INDIRECT("'Java Impact of Technique'!T" &amp; 3 + (ROW(A11)-1)*4)*100</f>
        <v>-4.7732696897390632E-2</v>
      </c>
      <c r="F15" s="75">
        <v>0.16686617046325958</v>
      </c>
      <c r="G15" s="75" t="s">
        <v>216</v>
      </c>
      <c r="H15" s="75" cm="1">
        <f t="array" aca="1" ref="H15" ca="1">INDIRECT("'Java Impact of Technique'!S" &amp; 3 + (ROW(A11)-1)*4)</f>
        <v>0.97187050000000019</v>
      </c>
      <c r="I15" s="75" cm="1">
        <f t="array" aca="1" ref="I15" ca="1">INDIRECT("'Java Impact of Technique'!S" &amp; 4 + (ROW(A11)-1)*4)</f>
        <v>0.96721859999999993</v>
      </c>
      <c r="J15" s="75" cm="1">
        <f t="array" aca="1" ref="J15" ca="1">INDIRECT("'Java Impact of Technique'!W" &amp; 3 + (ROW(A11)-1)*4)*100</f>
        <v>-0.47865430630935535</v>
      </c>
      <c r="K15" s="75">
        <v>0.6952153990669101</v>
      </c>
      <c r="L15" s="75" t="s">
        <v>216</v>
      </c>
      <c r="M15" s="79" t="s">
        <v>33</v>
      </c>
      <c r="N15" s="75" cm="1">
        <f t="array" aca="1" ref="N15" ca="1">INDIRECT("'Java Impact of Technique'!G" &amp; 5 + (ROW(A11)-1)*4)</f>
        <v>9.32</v>
      </c>
      <c r="O15" s="75" cm="1">
        <f t="array" aca="1" ref="O15" ca="1">INDIRECT("'Java Impact of Technique'!G" &amp; 6 + (ROW(A11)-1)*4)</f>
        <v>8.8230000000000004</v>
      </c>
      <c r="P15" s="75" cm="1">
        <f t="array" aca="1" ref="P15" ca="1">INDIRECT("'Java Impact of Technique'!T" &amp; 5 + (ROW(A11)-1)*4)*100</f>
        <v>-5.3326180257510716</v>
      </c>
      <c r="Q15" s="75">
        <v>0.15366723548509009</v>
      </c>
      <c r="R15" s="75" t="s">
        <v>216</v>
      </c>
      <c r="S15" s="75" cm="1">
        <f t="array" aca="1" ref="S15" ca="1">INDIRECT("'Java Impact of Technique'!S" &amp; 5 + (ROW(A11)-1)*4)</f>
        <v>395.91359999999997</v>
      </c>
      <c r="T15" s="75" cm="1">
        <f t="array" aca="1" ref="T15" ca="1">INDIRECT("'Java Impact of Technique'!S" &amp; 6 + (ROW(A11)-1)*4)</f>
        <v>374.53635000000003</v>
      </c>
      <c r="U15" s="75" cm="1">
        <f t="array" aca="1" ref="U15" ca="1">INDIRECT("'Java Impact of Technique'!W" &amp; 5 + (ROW(A11)-1)*4)*100</f>
        <v>-5.3994735214955858</v>
      </c>
      <c r="V15" s="75">
        <v>2.4156884642812668E-2</v>
      </c>
      <c r="W15" s="75" t="s">
        <v>216</v>
      </c>
      <c r="X15" s="75">
        <f t="shared" ca="1" si="0"/>
        <v>-2.9390639139024706</v>
      </c>
    </row>
    <row r="16" spans="2:30" x14ac:dyDescent="0.25">
      <c r="B16" s="77" t="s">
        <v>37</v>
      </c>
      <c r="C16" s="75" cm="1">
        <f t="array" aca="1" ref="C16" ca="1">INDIRECT("'Java Impact of Technique'!G" &amp; 3 + (ROW(A12)-1)*4)</f>
        <v>2.0419999999999998</v>
      </c>
      <c r="D16" s="75" cm="1">
        <f t="array" aca="1" ref="D16" ca="1">INDIRECT("'Java Impact of Technique'!G" &amp; 4 + (ROW(A12)-1)*4)</f>
        <v>1.571</v>
      </c>
      <c r="E16" s="75" cm="1">
        <f t="array" aca="1" ref="E16" ca="1">INDIRECT("'Java Impact of Technique'!T" &amp; 3 + (ROW(A12)-1)*4)*100</f>
        <v>-23.065621939275218</v>
      </c>
      <c r="F16" s="75">
        <v>1.1737354361857667E-9</v>
      </c>
      <c r="G16" s="78" t="s">
        <v>186</v>
      </c>
      <c r="H16" s="75" cm="1">
        <f t="array" aca="1" ref="H16" ca="1">INDIRECT("'Java Impact of Technique'!S" &amp; 3 + (ROW(A12)-1)*4)</f>
        <v>93.176459999999992</v>
      </c>
      <c r="I16" s="75" cm="1">
        <f t="array" aca="1" ref="I16" ca="1">INDIRECT("'Java Impact of Technique'!S" &amp; 4 + (ROW(A12)-1)*4)</f>
        <v>80.152420000000006</v>
      </c>
      <c r="J16" s="75" cm="1">
        <f t="array" aca="1" ref="J16" ca="1">INDIRECT("'Java Impact of Technique'!W" &amp; 3 + (ROW(A12)-1)*4)*100</f>
        <v>-13.977822295459591</v>
      </c>
      <c r="K16" s="75">
        <v>3.2137350404458203E-8</v>
      </c>
      <c r="L16" s="75" t="s">
        <v>186</v>
      </c>
      <c r="M16" s="79" t="s">
        <v>37</v>
      </c>
      <c r="N16" s="75" cm="1">
        <f t="array" aca="1" ref="N16" ca="1">INDIRECT("'Java Impact of Technique'!G" &amp; 5 + (ROW(A12)-1)*4)</f>
        <v>60.16</v>
      </c>
      <c r="O16" s="75" cm="1">
        <f t="array" aca="1" ref="O16" ca="1">INDIRECT("'Java Impact of Technique'!G" &amp; 6 + (ROW(A12)-1)*4)</f>
        <v>53.625</v>
      </c>
      <c r="P16" s="75" cm="1">
        <f t="array" aca="1" ref="P16" ca="1">INDIRECT("'Java Impact of Technique'!T" &amp; 5 + (ROW(A12)-1)*4)*100</f>
        <v>-10.862699468085102</v>
      </c>
      <c r="Q16" s="75">
        <v>2.8719490663203402E-11</v>
      </c>
      <c r="R16" s="75" t="s">
        <v>186</v>
      </c>
      <c r="S16" s="75" cm="1">
        <f t="array" aca="1" ref="S16" ca="1">INDIRECT("'Java Impact of Technique'!S" &amp; 5 + (ROW(A12)-1)*4)</f>
        <v>3190.8863999999999</v>
      </c>
      <c r="T16" s="75" cm="1">
        <f t="array" aca="1" ref="T16" ca="1">INDIRECT("'Java Impact of Technique'!S" &amp; 6 + (ROW(A12)-1)*4)</f>
        <v>2949.9112500000001</v>
      </c>
      <c r="U16" s="75" cm="1">
        <f t="array" aca="1" ref="U16" ca="1">INDIRECT("'Java Impact of Technique'!W" &amp; 5 + (ROW(A12)-1)*4)*100</f>
        <v>-7.5519814807571892</v>
      </c>
      <c r="V16" s="75">
        <v>2.8719490663203402E-11</v>
      </c>
      <c r="W16" s="75" t="s">
        <v>186</v>
      </c>
      <c r="X16" s="75">
        <f t="shared" ca="1" si="0"/>
        <v>-10.76490188810839</v>
      </c>
    </row>
    <row r="17" spans="2:24" x14ac:dyDescent="0.25">
      <c r="B17" s="77" t="s">
        <v>39</v>
      </c>
      <c r="C17" s="75" cm="1">
        <f t="array" aca="1" ref="C17" ca="1">INDIRECT("'Java Impact of Technique'!G" &amp; 3 + (ROW(A13)-1)*4)</f>
        <v>0.49673</v>
      </c>
      <c r="D17" s="75" cm="1">
        <f t="array" aca="1" ref="D17" ca="1">INDIRECT("'Java Impact of Technique'!G" &amp; 4 + (ROW(A13)-1)*4)</f>
        <v>1.0768200000000001</v>
      </c>
      <c r="E17" s="75" cm="1">
        <f t="array" aca="1" ref="E17" ca="1">INDIRECT("'Java Impact of Technique'!T" &amp; 3 + (ROW(A13)-1)*4)*100</f>
        <v>116.78175266241217</v>
      </c>
      <c r="F17" s="75">
        <v>2.8719490663203402E-11</v>
      </c>
      <c r="G17" s="78" t="s">
        <v>186</v>
      </c>
      <c r="H17" s="75" cm="1">
        <f t="array" aca="1" ref="H17" ca="1">INDIRECT("'Java Impact of Technique'!S" &amp; 3 + (ROW(A13)-1)*4)</f>
        <v>24.677546400000001</v>
      </c>
      <c r="I17" s="75" cm="1">
        <f t="array" aca="1" ref="I17" ca="1">INDIRECT("'Java Impact of Technique'!S" &amp; 4 + (ROW(A13)-1)*4)</f>
        <v>43.223554800000002</v>
      </c>
      <c r="J17" s="75" cm="1">
        <f t="array" aca="1" ref="J17" ca="1">INDIRECT("'Java Impact of Technique'!W" &amp; 3 + (ROW(A13)-1)*4)*100</f>
        <v>75.153372622166358</v>
      </c>
      <c r="K17" s="75">
        <v>2.8719490663203402E-11</v>
      </c>
      <c r="L17" s="75" t="s">
        <v>186</v>
      </c>
      <c r="M17" s="79" t="s">
        <v>39</v>
      </c>
      <c r="N17" s="75" cm="1">
        <f t="array" aca="1" ref="N17" ca="1">INDIRECT("'Java Impact of Technique'!G" &amp; 5 + (ROW(A13)-1)*4)</f>
        <v>29.381</v>
      </c>
      <c r="O17" s="75" cm="1">
        <f t="array" aca="1" ref="O17" ca="1">INDIRECT("'Java Impact of Technique'!G" &amp; 6 + (ROW(A13)-1)*4)</f>
        <v>21.047999999999998</v>
      </c>
      <c r="P17" s="75" cm="1">
        <f t="array" aca="1" ref="P17" ca="1">INDIRECT("'Java Impact of Technique'!T" &amp; 5 + (ROW(A13)-1)*4)*100</f>
        <v>-28.361866512371947</v>
      </c>
      <c r="Q17" s="75">
        <v>2.8719490663203402E-11</v>
      </c>
      <c r="R17" s="75" t="s">
        <v>186</v>
      </c>
      <c r="S17" s="75" cm="1">
        <f t="array" aca="1" ref="S17" ca="1">INDIRECT("'Java Impact of Technique'!S" &amp; 5 + (ROW(A13)-1)*4)</f>
        <v>1601.2645</v>
      </c>
      <c r="T17" s="75" cm="1">
        <f t="array" aca="1" ref="T17" ca="1">INDIRECT("'Java Impact of Technique'!S" &amp; 6 + (ROW(A13)-1)*4)</f>
        <v>1129.64616</v>
      </c>
      <c r="U17" s="75" cm="1">
        <f t="array" aca="1" ref="U17" ca="1">INDIRECT("'Java Impact of Technique'!W" &amp; 5 + (ROW(A13)-1)*4)*100</f>
        <v>-29.452869279247746</v>
      </c>
      <c r="V17" s="75">
        <v>2.8719490663203402E-11</v>
      </c>
      <c r="W17" s="75" t="s">
        <v>186</v>
      </c>
      <c r="X17" s="75">
        <f t="shared" ca="1" si="0"/>
        <v>22.850251671459304</v>
      </c>
    </row>
    <row r="18" spans="2:24" x14ac:dyDescent="0.25">
      <c r="B18" s="77" t="s">
        <v>49</v>
      </c>
      <c r="C18" s="75" cm="1">
        <f t="array" aca="1" ref="C18" ca="1">INDIRECT("'Java Impact of Technique'!G" &amp; 3 + (ROW(A14)-1)*4)</f>
        <v>1.0469999999999999</v>
      </c>
      <c r="D18" s="75" cm="1">
        <f t="array" aca="1" ref="D18" ca="1">INDIRECT("'Java Impact of Technique'!G" &amp; 4 + (ROW(A14)-1)*4)</f>
        <v>1.1870000000000001</v>
      </c>
      <c r="E18" s="75" cm="1">
        <f t="array" aca="1" ref="E18" ca="1">INDIRECT("'Java Impact of Technique'!T" &amp; 3 + (ROW(A14)-1)*4)*100</f>
        <v>13.3715377268386</v>
      </c>
      <c r="F18" s="75">
        <v>8.7945370647261856E-4</v>
      </c>
      <c r="G18" s="78" t="s">
        <v>215</v>
      </c>
      <c r="H18" s="75" cm="1">
        <f t="array" aca="1" ref="H18" ca="1">INDIRECT("'Java Impact of Technique'!S" &amp; 3 + (ROW(A14)-1)*4)</f>
        <v>51.334409999999998</v>
      </c>
      <c r="I18" s="75" cm="1">
        <f t="array" aca="1" ref="I18" ca="1">INDIRECT("'Java Impact of Technique'!S" &amp; 4 + (ROW(A14)-1)*4)</f>
        <v>54.174680000000002</v>
      </c>
      <c r="J18" s="75" cm="1">
        <f t="array" aca="1" ref="J18" ca="1">INDIRECT("'Java Impact of Technique'!W" &amp; 3 + (ROW(A14)-1)*4)*100</f>
        <v>5.5328774597779615</v>
      </c>
      <c r="K18" s="75">
        <v>1.8736944180866535E-2</v>
      </c>
      <c r="L18" s="75" t="s">
        <v>215</v>
      </c>
      <c r="M18" s="79" t="s">
        <v>49</v>
      </c>
      <c r="N18" s="75" cm="1">
        <f t="array" aca="1" ref="N18" ca="1">INDIRECT("'Java Impact of Technique'!G" &amp; 5 + (ROW(A14)-1)*4)</f>
        <v>70.203000000000003</v>
      </c>
      <c r="O18" s="75" cm="1">
        <f t="array" aca="1" ref="O18" ca="1">INDIRECT("'Java Impact of Technique'!G" &amp; 6 + (ROW(A14)-1)*4)</f>
        <v>70.268000000000001</v>
      </c>
      <c r="P18" s="75" cm="1">
        <f t="array" aca="1" ref="P18" ca="1">INDIRECT("'Java Impact of Technique'!T" &amp; 5 + (ROW(A14)-1)*4)*100</f>
        <v>9.2588635813281084E-2</v>
      </c>
      <c r="Q18" s="75">
        <v>0.416135847078279</v>
      </c>
      <c r="R18" s="75" t="s">
        <v>185</v>
      </c>
      <c r="S18" s="75" cm="1">
        <f t="array" aca="1" ref="S18" ca="1">INDIRECT("'Java Impact of Technique'!S" &amp; 5 + (ROW(A14)-1)*4)</f>
        <v>3848.52846</v>
      </c>
      <c r="T18" s="75" cm="1">
        <f t="array" aca="1" ref="T18" ca="1">INDIRECT("'Java Impact of Technique'!S" &amp; 6 + (ROW(A14)-1)*4)</f>
        <v>3847.8756800000001</v>
      </c>
      <c r="U18" s="75" cm="1">
        <f t="array" aca="1" ref="U18" ca="1">INDIRECT("'Java Impact of Technique'!W" &amp; 5 + (ROW(A14)-1)*4)*100</f>
        <v>-1.696180778665447E-2</v>
      </c>
      <c r="V18" s="75">
        <v>0.63614068577024607</v>
      </c>
      <c r="W18" s="75" t="s">
        <v>185</v>
      </c>
      <c r="X18" s="75">
        <f t="shared" ca="1" si="0"/>
        <v>2.7579578259956534</v>
      </c>
    </row>
    <row r="19" spans="2:24" x14ac:dyDescent="0.25">
      <c r="B19" s="77" t="s">
        <v>51</v>
      </c>
      <c r="C19" s="75" cm="1">
        <f t="array" aca="1" ref="C19" ca="1">INDIRECT("'Java Impact of Technique'!G" &amp; 3 + (ROW(A15)-1)*4)</f>
        <v>0.72726000000000002</v>
      </c>
      <c r="D19" s="75" cm="1">
        <f t="array" aca="1" ref="D19" ca="1">INDIRECT("'Java Impact of Technique'!G" &amp; 4 + (ROW(A15)-1)*4)</f>
        <v>0.71719999999999995</v>
      </c>
      <c r="E19" s="75" cm="1">
        <f t="array" aca="1" ref="E19" ca="1">INDIRECT("'Java Impact of Technique'!T" &amp; 3 + (ROW(A15)-1)*4)*100</f>
        <v>-1.3832742072986282</v>
      </c>
      <c r="F19" s="75">
        <v>7.9060107877558256E-4</v>
      </c>
      <c r="G19" s="78" t="s">
        <v>215</v>
      </c>
      <c r="H19" s="75" cm="1">
        <f t="array" aca="1" ref="H19" ca="1">INDIRECT("'Java Impact of Technique'!S" &amp; 3 + (ROW(A15)-1)*4)</f>
        <v>40.348384799999998</v>
      </c>
      <c r="I19" s="75" cm="1">
        <f t="array" aca="1" ref="I19" ca="1">INDIRECT("'Java Impact of Technique'!S" &amp; 4 + (ROW(A15)-1)*4)</f>
        <v>40.572004</v>
      </c>
      <c r="J19" s="75" cm="1">
        <f t="array" aca="1" ref="J19" ca="1">INDIRECT("'Java Impact of Technique'!W" &amp; 3 + (ROW(A15)-1)*4)*100</f>
        <v>0.55422094616288509</v>
      </c>
      <c r="K19" s="75">
        <v>0.15154679075826349</v>
      </c>
      <c r="L19" s="75" t="s">
        <v>216</v>
      </c>
      <c r="M19" s="79" t="s">
        <v>51</v>
      </c>
      <c r="N19" s="75" cm="1">
        <f t="array" aca="1" ref="N19" ca="1">INDIRECT("'Java Impact of Technique'!G" &amp; 5 + (ROW(A15)-1)*4)</f>
        <v>73.254000000000005</v>
      </c>
      <c r="O19" s="75" cm="1">
        <f t="array" aca="1" ref="O19" ca="1">INDIRECT("'Java Impact of Technique'!G" &amp; 6 + (ROW(A15)-1)*4)</f>
        <v>53.290999999999997</v>
      </c>
      <c r="P19" s="75" cm="1">
        <f t="array" aca="1" ref="P19" ca="1">INDIRECT("'Java Impact of Technique'!T" &amp; 5 + (ROW(A15)-1)*4)*100</f>
        <v>-27.251754170420739</v>
      </c>
      <c r="Q19" s="75">
        <v>2.8719490663203402E-11</v>
      </c>
      <c r="R19" s="75" t="s">
        <v>186</v>
      </c>
      <c r="S19" s="75" cm="1">
        <f t="array" aca="1" ref="S19" ca="1">INDIRECT("'Java Impact of Technique'!S" &amp; 5 + (ROW(A15)-1)*4)</f>
        <v>4003.3310999999999</v>
      </c>
      <c r="T19" s="75" cm="1">
        <f t="array" aca="1" ref="T19" ca="1">INDIRECT("'Java Impact of Technique'!S" &amp; 6 + (ROW(A15)-1)*4)</f>
        <v>2973.1048900000001</v>
      </c>
      <c r="U19" s="75" cm="1">
        <f t="array" aca="1" ref="U19" ca="1">INDIRECT("'Java Impact of Technique'!W" &amp; 5 + (ROW(A15)-1)*4)*100</f>
        <v>-25.734224431249263</v>
      </c>
      <c r="V19" s="75">
        <v>2.8719490663203402E-11</v>
      </c>
      <c r="W19" s="75" t="s">
        <v>216</v>
      </c>
      <c r="X19" s="75">
        <f t="shared" ca="1" si="0"/>
        <v>-12.590001742543189</v>
      </c>
    </row>
    <row r="20" spans="2:24" x14ac:dyDescent="0.25">
      <c r="B20" s="77" t="s">
        <v>55</v>
      </c>
      <c r="C20" s="75" cm="1">
        <f t="array" aca="1" ref="C20" ca="1">INDIRECT("'Java Impact of Technique'!G" &amp; 3 + (ROW(A16)-1)*4)</f>
        <v>1.0469999999999999</v>
      </c>
      <c r="D20" s="75" cm="1">
        <f t="array" aca="1" ref="D20" ca="1">INDIRECT("'Java Impact of Technique'!G" &amp; 4 + (ROW(A16)-1)*4)</f>
        <v>1.57</v>
      </c>
      <c r="E20" s="75" cm="1">
        <f t="array" aca="1" ref="E20" ca="1">INDIRECT("'Java Impact of Technique'!T" &amp; 3 + (ROW(A16)-1)*4)*100</f>
        <v>49.952244508118447</v>
      </c>
      <c r="F20" s="75">
        <v>2.8719490663203402E-11</v>
      </c>
      <c r="G20" s="78" t="s">
        <v>186</v>
      </c>
      <c r="H20" s="75" cm="1">
        <f t="array" aca="1" ref="H20" ca="1">INDIRECT("'Java Impact of Technique'!S" &amp; 3 + (ROW(A16)-1)*4)</f>
        <v>52.192950000000003</v>
      </c>
      <c r="I20" s="75" cm="1">
        <f t="array" aca="1" ref="I20" ca="1">INDIRECT("'Java Impact of Technique'!S" &amp; 4 + (ROW(A16)-1)*4)</f>
        <v>69.237000000000009</v>
      </c>
      <c r="J20" s="75" cm="1">
        <f t="array" aca="1" ref="J20" ca="1">INDIRECT("'Java Impact of Technique'!W" &amp; 3 + (ROW(A16)-1)*4)*100</f>
        <v>32.655847197753729</v>
      </c>
      <c r="K20" s="75">
        <v>2.8719490663203402E-11</v>
      </c>
      <c r="L20" s="75" t="s">
        <v>186</v>
      </c>
      <c r="M20" s="79" t="s">
        <v>55</v>
      </c>
      <c r="N20" s="75" cm="1">
        <f t="array" aca="1" ref="N20" ca="1">INDIRECT("'Java Impact of Technique'!G" &amp; 5 + (ROW(A16)-1)*4)</f>
        <v>62.192</v>
      </c>
      <c r="O20" s="75" cm="1">
        <f t="array" aca="1" ref="O20" ca="1">INDIRECT("'Java Impact of Technique'!G" &amp; 6 + (ROW(A16)-1)*4)</f>
        <v>80.590999999999994</v>
      </c>
      <c r="P20" s="75" cm="1">
        <f t="array" aca="1" ref="P20" ca="1">INDIRECT("'Java Impact of Technique'!T" &amp; 5 + (ROW(A16)-1)*4)*100</f>
        <v>29.58419089271931</v>
      </c>
      <c r="Q20" s="75">
        <v>2.8719490663203402E-11</v>
      </c>
      <c r="R20" s="75" t="s">
        <v>186</v>
      </c>
      <c r="S20" s="75" cm="1">
        <f t="array" aca="1" ref="S20" ca="1">INDIRECT("'Java Impact of Technique'!S" &amp; 5 + (ROW(A16)-1)*4)</f>
        <v>3234.60592</v>
      </c>
      <c r="T20" s="75" cm="1">
        <f t="array" aca="1" ref="T20" ca="1">INDIRECT("'Java Impact of Technique'!S" &amp; 6 + (ROW(A16)-1)*4)</f>
        <v>4314.8421399999997</v>
      </c>
      <c r="U20" s="75" cm="1">
        <f t="array" aca="1" ref="U20" ca="1">INDIRECT("'Java Impact of Technique'!W" &amp; 5 + (ROW(A16)-1)*4)*100</f>
        <v>33.396223426190964</v>
      </c>
      <c r="V20" s="75">
        <v>2.8719490663203402E-11</v>
      </c>
      <c r="W20" s="75" t="s">
        <v>186</v>
      </c>
      <c r="X20" s="75">
        <f t="shared" ca="1" si="0"/>
        <v>33.02603531197235</v>
      </c>
    </row>
    <row r="21" spans="2:24" x14ac:dyDescent="0.25">
      <c r="B21" s="77" t="s">
        <v>57</v>
      </c>
      <c r="C21" s="75" cm="1">
        <f t="array" aca="1" ref="C21" ca="1">INDIRECT("'Java Impact of Technique'!G" &amp; 3 + (ROW(A17)-1)*4)</f>
        <v>1.5709999999999998E-2</v>
      </c>
      <c r="D21" s="75" cm="1">
        <f t="array" aca="1" ref="D21" ca="1">INDIRECT("'Java Impact of Technique'!G" &amp; 4 + (ROW(A17)-1)*4)</f>
        <v>1.5700000000000002E-2</v>
      </c>
      <c r="E21" s="75" cm="1">
        <f t="array" aca="1" ref="E21" ca="1">INDIRECT("'Java Impact of Technique'!T" &amp; 3 + (ROW(A17)-1)*4)*100</f>
        <v>-6.3653723742831944E-2</v>
      </c>
      <c r="F21" s="75">
        <v>0.48713803171001935</v>
      </c>
      <c r="G21" s="75" t="s">
        <v>216</v>
      </c>
      <c r="H21" s="75" cm="1">
        <f t="array" aca="1" ref="H21" ca="1">INDIRECT("'Java Impact of Technique'!S" &amp; 3 + (ROW(A17)-1)*4)</f>
        <v>0.70962069999999999</v>
      </c>
      <c r="I21" s="75" cm="1">
        <f t="array" aca="1" ref="I21" ca="1">INDIRECT("'Java Impact of Technique'!S" &amp; 4 + (ROW(A17)-1)*4)</f>
        <v>0.70398800000000006</v>
      </c>
      <c r="J21" s="75" cm="1">
        <f t="array" aca="1" ref="J21" ca="1">INDIRECT("'Java Impact of Technique'!W" &amp; 3 + (ROW(A17)-1)*4)*100</f>
        <v>-0.79376207599354631</v>
      </c>
      <c r="K21" s="75">
        <v>0.27393415445229308</v>
      </c>
      <c r="L21" s="75" t="s">
        <v>216</v>
      </c>
      <c r="M21" s="79" t="s">
        <v>57</v>
      </c>
      <c r="N21" s="75" cm="1">
        <f t="array" aca="1" ref="N21" ca="1">INDIRECT("'Java Impact of Technique'!G" &amp; 5 + (ROW(A17)-1)*4)</f>
        <v>3.8050000000000002</v>
      </c>
      <c r="O21" s="75" cm="1">
        <f t="array" aca="1" ref="O21" ca="1">INDIRECT("'Java Impact of Technique'!G" &amp; 6 + (ROW(A17)-1)*4)</f>
        <v>3.91</v>
      </c>
      <c r="P21" s="75" cm="1">
        <f t="array" aca="1" ref="P21" ca="1">INDIRECT("'Java Impact of Technique'!T" &amp; 5 + (ROW(A17)-1)*4)*100</f>
        <v>2.7595269382391585</v>
      </c>
      <c r="Q21" s="75">
        <v>0.15797568915051352</v>
      </c>
      <c r="R21" s="75" t="s">
        <v>216</v>
      </c>
      <c r="S21" s="75" cm="1">
        <f t="array" aca="1" ref="S21" ca="1">INDIRECT("'Java Impact of Technique'!S" &amp; 5 + (ROW(A17)-1)*4)</f>
        <v>167.00145000000001</v>
      </c>
      <c r="T21" s="75" cm="1">
        <f t="array" aca="1" ref="T21" ca="1">INDIRECT("'Java Impact of Technique'!S" &amp; 6 + (ROW(A17)-1)*4)</f>
        <v>168.13</v>
      </c>
      <c r="U21" s="75" cm="1">
        <f t="array" aca="1" ref="U21" ca="1">INDIRECT("'Java Impact of Technique'!W" &amp; 5 + (ROW(A17)-1)*4)*100</f>
        <v>0.67577257562733128</v>
      </c>
      <c r="V21" s="75">
        <v>0.38305504584585626</v>
      </c>
      <c r="W21" s="75" t="s">
        <v>216</v>
      </c>
      <c r="X21" s="75">
        <f t="shared" ca="1" si="0"/>
        <v>-5.8994750183107514E-2</v>
      </c>
    </row>
    <row r="22" spans="2:24" x14ac:dyDescent="0.25">
      <c r="B22" s="77" t="s">
        <v>61</v>
      </c>
      <c r="C22" s="75" cm="1">
        <f t="array" aca="1" ref="C22" ca="1">INDIRECT("'Java Impact of Technique'!G" &amp; 3 + (ROW(A18)-1)*4)</f>
        <v>66.290999999999997</v>
      </c>
      <c r="D22" s="75" cm="1">
        <f t="array" aca="1" ref="D22" ca="1">INDIRECT("'Java Impact of Technique'!G" &amp; 4 + (ROW(A18)-1)*4)</f>
        <v>76.941999999999993</v>
      </c>
      <c r="E22" s="75" cm="1">
        <f t="array" aca="1" ref="E22" ca="1">INDIRECT("'Java Impact of Technique'!T" &amp; 3 + (ROW(A18)-1)*4)*100</f>
        <v>16.067037757765</v>
      </c>
      <c r="F22" s="75">
        <v>0.37504362355861309</v>
      </c>
      <c r="G22" s="75" t="s">
        <v>216</v>
      </c>
      <c r="H22" s="75" cm="1">
        <f t="array" aca="1" ref="H22" ca="1">INDIRECT("'Java Impact of Technique'!S" &amp; 3 + (ROW(A18)-1)*4)</f>
        <v>3828.9681599999999</v>
      </c>
      <c r="I22" s="75" cm="1">
        <f t="array" aca="1" ref="I22" ca="1">INDIRECT("'Java Impact of Technique'!S" &amp; 4 + (ROW(A18)-1)*4)</f>
        <v>4830.4187599999996</v>
      </c>
      <c r="J22" s="75" cm="1">
        <f t="array" aca="1" ref="J22" ca="1">INDIRECT("'Java Impact of Technique'!W" &amp; 3 + (ROW(A18)-1)*4)*100</f>
        <v>26.154581551808981</v>
      </c>
      <c r="K22" s="75">
        <v>1.5479926480282859E-6</v>
      </c>
      <c r="L22" s="75" t="s">
        <v>186</v>
      </c>
      <c r="M22" s="79" t="s">
        <v>61</v>
      </c>
      <c r="N22" s="75" cm="1">
        <f t="array" aca="1" ref="N22" ca="1">INDIRECT("'Java Impact of Technique'!G" &amp; 5 + (ROW(A18)-1)*4)</f>
        <v>338.5</v>
      </c>
      <c r="O22" s="75" cm="1">
        <f t="array" aca="1" ref="O22" ca="1">INDIRECT("'Java Impact of Technique'!G" &amp; 6 + (ROW(A18)-1)*4)</f>
        <v>500.73</v>
      </c>
      <c r="P22" s="75" cm="1">
        <f t="array" aca="1" ref="P22" ca="1">INDIRECT("'Java Impact of Technique'!T" &amp; 5 + (ROW(A18)-1)*4)*100</f>
        <v>47.926144756277687</v>
      </c>
      <c r="Q22" s="75">
        <v>2.8719490663203402E-11</v>
      </c>
      <c r="R22" s="75" t="s">
        <v>216</v>
      </c>
      <c r="S22" s="75" cm="1">
        <f t="array" aca="1" ref="S22" ca="1">INDIRECT("'Java Impact of Technique'!S" &amp; 5 + (ROW(A18)-1)*4)</f>
        <v>16498.489999999998</v>
      </c>
      <c r="T22" s="75" cm="1">
        <f t="array" aca="1" ref="T22" ca="1">INDIRECT("'Java Impact of Technique'!S" &amp; 6 + (ROW(A18)-1)*4)</f>
        <v>26939.274000000001</v>
      </c>
      <c r="U22" s="75" cm="1">
        <f t="array" aca="1" ref="U22" ca="1">INDIRECT("'Java Impact of Technique'!W" &amp; 5 + (ROW(A18)-1)*4)*100</f>
        <v>63.283270165936422</v>
      </c>
      <c r="V22" s="75">
        <v>2.8719490663203402E-11</v>
      </c>
      <c r="W22" s="75" t="s">
        <v>186</v>
      </c>
      <c r="X22" s="75">
        <f t="shared" ca="1" si="0"/>
        <v>44.718925858872701</v>
      </c>
    </row>
    <row r="23" spans="2:24" x14ac:dyDescent="0.25">
      <c r="B23" s="77" t="s">
        <v>63</v>
      </c>
      <c r="C23" s="75" cm="1">
        <f t="array" aca="1" ref="C23" ca="1">INDIRECT("'Java Impact of Technique'!G" &amp; 3 + (ROW(A19)-1)*4)</f>
        <v>2.094E-2</v>
      </c>
      <c r="D23" s="75" cm="1">
        <f t="array" aca="1" ref="D23" ca="1">INDIRECT("'Java Impact of Technique'!G" &amp; 4 + (ROW(A19)-1)*4)</f>
        <v>1.5709999999999998E-2</v>
      </c>
      <c r="E23" s="75" cm="1">
        <f t="array" aca="1" ref="E23" ca="1">INDIRECT("'Java Impact of Technique'!T" &amp; 3 + (ROW(A19)-1)*4)*100</f>
        <v>-24.976122254059213</v>
      </c>
      <c r="F23" s="75">
        <v>2.8719490663203402E-11</v>
      </c>
      <c r="G23" s="78" t="s">
        <v>186</v>
      </c>
      <c r="H23" s="75" cm="1">
        <f t="array" aca="1" ref="H23" ca="1">INDIRECT("'Java Impact of Technique'!S" &amp; 3 + (ROW(A19)-1)*4)</f>
        <v>1.0233378</v>
      </c>
      <c r="I23" s="75" cm="1">
        <f t="array" aca="1" ref="I23" ca="1">INDIRECT("'Java Impact of Technique'!S" &amp; 4 + (ROW(A19)-1)*4)</f>
        <v>0.71983220000000003</v>
      </c>
      <c r="J23" s="75" cm="1">
        <f t="array" aca="1" ref="J23" ca="1">INDIRECT("'Java Impact of Technique'!W" &amp; 3 + (ROW(A19)-1)*4)*100</f>
        <v>-29.658398233701515</v>
      </c>
      <c r="K23" s="75">
        <v>2.8719490663203402E-11</v>
      </c>
      <c r="L23" s="75" t="s">
        <v>186</v>
      </c>
      <c r="M23" s="79" t="s">
        <v>63</v>
      </c>
      <c r="N23" s="75" cm="1">
        <f t="array" aca="1" ref="N23" ca="1">INDIRECT("'Java Impact of Technique'!G" &amp; 5 + (ROW(A19)-1)*4)</f>
        <v>3.665</v>
      </c>
      <c r="O23" s="75" cm="1">
        <f t="array" aca="1" ref="O23" ca="1">INDIRECT("'Java Impact of Technique'!G" &amp; 6 + (ROW(A19)-1)*4)</f>
        <v>4.1710000000000003</v>
      </c>
      <c r="P23" s="75" cm="1">
        <f t="array" aca="1" ref="P23" ca="1">INDIRECT("'Java Impact of Technique'!T" &amp; 5 + (ROW(A19)-1)*4)*100</f>
        <v>13.806275579809011</v>
      </c>
      <c r="Q23" s="75">
        <v>4.0839534518280372E-5</v>
      </c>
      <c r="R23" s="75" t="s">
        <v>186</v>
      </c>
      <c r="S23" s="75" cm="1">
        <f t="array" aca="1" ref="S23" ca="1">INDIRECT("'Java Impact of Technique'!S" &amp; 5 + (ROW(A19)-1)*4)</f>
        <v>171.37540000000001</v>
      </c>
      <c r="T23" s="75" cm="1">
        <f t="array" aca="1" ref="T23" ca="1">INDIRECT("'Java Impact of Technique'!S" &amp; 6 + (ROW(A19)-1)*4)</f>
        <v>185.10898</v>
      </c>
      <c r="U23" s="75" cm="1">
        <f t="array" aca="1" ref="U23" ca="1">INDIRECT("'Java Impact of Technique'!W" &amp; 5 + (ROW(A19)-1)*4)*100</f>
        <v>8.0137405952079401</v>
      </c>
      <c r="V23" s="75">
        <v>3.9553873778822502E-5</v>
      </c>
      <c r="W23" s="75" t="s">
        <v>186</v>
      </c>
      <c r="X23" s="75">
        <f t="shared" ca="1" si="0"/>
        <v>-10.822328819246788</v>
      </c>
    </row>
    <row r="24" spans="2:24" x14ac:dyDescent="0.25">
      <c r="B24" s="77" t="s">
        <v>65</v>
      </c>
      <c r="C24" s="75" cm="1">
        <f t="array" aca="1" ref="C24" ca="1">INDIRECT("'Java Impact of Technique'!G" &amp; 3 + (ROW(A20)-1)*4)</f>
        <v>1.5709999999999998E-2</v>
      </c>
      <c r="D24" s="75" cm="1">
        <f t="array" aca="1" ref="D24" ca="1">INDIRECT("'Java Impact of Technique'!G" &amp; 4 + (ROW(A20)-1)*4)</f>
        <v>1.5709999999999998E-2</v>
      </c>
      <c r="E24" s="75" cm="1">
        <f t="array" aca="1" ref="E24" ca="1">INDIRECT("'Java Impact of Technique'!T" &amp; 3 + (ROW(A20)-1)*4)*100</f>
        <v>0</v>
      </c>
      <c r="F24" s="75">
        <v>0.97051605130028118</v>
      </c>
      <c r="G24" s="75" t="s">
        <v>216</v>
      </c>
      <c r="H24" s="75" cm="1">
        <f t="array" aca="1" ref="H24" ca="1">INDIRECT("'Java Impact of Technique'!S" &amp; 3 + (ROW(A20)-1)*4)</f>
        <v>0.67144540000000008</v>
      </c>
      <c r="I24" s="75" cm="1">
        <f t="array" aca="1" ref="I24" ca="1">INDIRECT("'Java Impact of Technique'!S" &amp; 4 + (ROW(A20)-1)*4)</f>
        <v>0.68385630000000008</v>
      </c>
      <c r="J24" s="75" cm="1">
        <f t="array" aca="1" ref="J24" ca="1">INDIRECT("'Java Impact of Technique'!W" &amp; 3 + (ROW(A20)-1)*4)*100</f>
        <v>1.8483855872718766</v>
      </c>
      <c r="K24" s="75">
        <v>1.4412183349875879E-2</v>
      </c>
      <c r="L24" s="75" t="s">
        <v>215</v>
      </c>
      <c r="M24" s="79" t="s">
        <v>65</v>
      </c>
      <c r="N24" s="75" cm="1">
        <f t="array" aca="1" ref="N24" ca="1">INDIRECT("'Java Impact of Technique'!G" &amp; 5 + (ROW(A20)-1)*4)</f>
        <v>13.875</v>
      </c>
      <c r="O24" s="75" cm="1">
        <f t="array" aca="1" ref="O24" ca="1">INDIRECT("'Java Impact of Technique'!G" &amp; 6 + (ROW(A20)-1)*4)</f>
        <v>13.427</v>
      </c>
      <c r="P24" s="75" cm="1">
        <f t="array" aca="1" ref="P24" ca="1">INDIRECT("'Java Impact of Technique'!T" &amp; 5 + (ROW(A20)-1)*4)*100</f>
        <v>-3.2288288288288314</v>
      </c>
      <c r="Q24" s="75">
        <v>0.94107234913982685</v>
      </c>
      <c r="R24" s="75" t="s">
        <v>216</v>
      </c>
      <c r="S24" s="75" cm="1">
        <f t="array" aca="1" ref="S24" ca="1">INDIRECT("'Java Impact of Technique'!S" &amp; 5 + (ROW(A20)-1)*4)</f>
        <v>623.54250000000002</v>
      </c>
      <c r="T24" s="75" cm="1">
        <f t="array" aca="1" ref="T24" ca="1">INDIRECT("'Java Impact of Technique'!S" &amp; 6 + (ROW(A20)-1)*4)</f>
        <v>593.47339999999997</v>
      </c>
      <c r="U24" s="75" cm="1">
        <f t="array" aca="1" ref="U24" ca="1">INDIRECT("'Java Impact of Technique'!W" &amp; 5 + (ROW(A20)-1)*4)*100</f>
        <v>-4.8223016073483445</v>
      </c>
      <c r="V24" s="75">
        <v>3.2599394371983698E-3</v>
      </c>
      <c r="W24" s="75" t="s">
        <v>215</v>
      </c>
      <c r="X24" s="75">
        <f t="shared" ca="1" si="0"/>
        <v>-1.4869580100382338</v>
      </c>
    </row>
    <row r="25" spans="2:24" x14ac:dyDescent="0.25">
      <c r="B25" s="77" t="s">
        <v>71</v>
      </c>
      <c r="C25" s="75" cm="1">
        <f t="array" aca="1" ref="C25" ca="1">INDIRECT("'Java Impact of Technique'!G" &amp; 3 + (ROW(A21)-1)*4)</f>
        <v>0.59052000000000004</v>
      </c>
      <c r="D25" s="75" cm="1">
        <f t="array" aca="1" ref="D25" ca="1">INDIRECT("'Java Impact of Technique'!G" &amp; 4 + (ROW(A21)-1)*4)</f>
        <v>0.54884999999999995</v>
      </c>
      <c r="E25" s="75" cm="1">
        <f t="array" aca="1" ref="E25" ca="1">INDIRECT("'Java Impact of Technique'!T" &amp; 3 + (ROW(A21)-1)*4)*100</f>
        <v>-7.0564925828083753</v>
      </c>
      <c r="F25" s="75">
        <v>2.8719490663203402E-11</v>
      </c>
      <c r="G25" s="78" t="s">
        <v>186</v>
      </c>
      <c r="H25" s="75" cm="1">
        <f t="array" aca="1" ref="H25" ca="1">INDIRECT("'Java Impact of Technique'!S" &amp; 3 + (ROW(A21)-1)*4)</f>
        <v>30.8605752</v>
      </c>
      <c r="I25" s="75" cm="1">
        <f t="array" aca="1" ref="I25" ca="1">INDIRECT("'Java Impact of Technique'!S" &amp; 4 + (ROW(A21)-1)*4)</f>
        <v>28.545688500000001</v>
      </c>
      <c r="J25" s="75" cm="1">
        <f t="array" aca="1" ref="J25" ca="1">INDIRECT("'Java Impact of Technique'!W" &amp; 3 + (ROW(A21)-1)*4)*100</f>
        <v>-7.5011132650567021</v>
      </c>
      <c r="K25" s="75">
        <v>2.8719490663203402E-11</v>
      </c>
      <c r="L25" s="75" t="s">
        <v>186</v>
      </c>
      <c r="M25" s="79" t="s">
        <v>71</v>
      </c>
      <c r="N25" s="75" cm="1">
        <f t="array" aca="1" ref="N25" ca="1">INDIRECT("'Java Impact of Technique'!G" &amp; 5 + (ROW(A21)-1)*4)</f>
        <v>22.478000000000002</v>
      </c>
      <c r="O25" s="75" cm="1">
        <f t="array" aca="1" ref="O25" ca="1">INDIRECT("'Java Impact of Technique'!G" &amp; 6 + (ROW(A21)-1)*4)</f>
        <v>18.945</v>
      </c>
      <c r="P25" s="75" cm="1">
        <f t="array" aca="1" ref="P25" ca="1">INDIRECT("'Java Impact of Technique'!T" &amp; 5 + (ROW(A21)-1)*4)*100</f>
        <v>-15.71759053296557</v>
      </c>
      <c r="Q25" s="75">
        <v>2.8719490663203402E-11</v>
      </c>
      <c r="R25" s="75" t="s">
        <v>186</v>
      </c>
      <c r="S25" s="75" cm="1">
        <f t="array" aca="1" ref="S25" ca="1">INDIRECT("'Java Impact of Technique'!S" &amp; 5 + (ROW(A21)-1)*4)</f>
        <v>1196.9535000000001</v>
      </c>
      <c r="T25" s="75" cm="1">
        <f t="array" aca="1" ref="T25" ca="1">INDIRECT("'Java Impact of Technique'!S" &amp; 6 + (ROW(A21)-1)*4)</f>
        <v>1004.8428</v>
      </c>
      <c r="U25" s="75" cm="1">
        <f t="array" aca="1" ref="U25" ca="1">INDIRECT("'Java Impact of Technique'!W" &amp; 5 + (ROW(A21)-1)*4)*100</f>
        <v>-16.049971866075001</v>
      </c>
      <c r="V25" s="75">
        <v>2.8719490663203402E-11</v>
      </c>
      <c r="W25" s="75" t="s">
        <v>186</v>
      </c>
      <c r="X25" s="75">
        <f t="shared" ca="1" si="0"/>
        <v>-11.775542565565852</v>
      </c>
    </row>
    <row r="26" spans="2:24" x14ac:dyDescent="0.25">
      <c r="B26" s="77" t="s">
        <v>79</v>
      </c>
      <c r="C26" s="75" cm="1">
        <f t="array" aca="1" ref="C26" ca="1">INDIRECT("'Java Impact of Technique'!G" &amp; 3 + (ROW(A22)-1)*4)</f>
        <v>0.82471000000000005</v>
      </c>
      <c r="D26" s="75" cm="1">
        <f t="array" aca="1" ref="D26" ca="1">INDIRECT("'Java Impact of Technique'!G" &amp; 4 + (ROW(A22)-1)*4)</f>
        <v>0.8204300000000001</v>
      </c>
      <c r="E26" s="75" cm="1">
        <f t="array" aca="1" ref="E26" ca="1">INDIRECT("'Java Impact of Technique'!T" &amp; 3 + (ROW(A22)-1)*4)*100</f>
        <v>-0.51897030471316863</v>
      </c>
      <c r="F26" s="75">
        <v>0.73382506121264135</v>
      </c>
      <c r="G26" s="75" t="s">
        <v>216</v>
      </c>
      <c r="H26" s="75" cm="1">
        <f t="array" aca="1" ref="H26" ca="1">INDIRECT("'Java Impact of Technique'!S" &amp; 3 + (ROW(A22)-1)*4)</f>
        <v>47.503295999999999</v>
      </c>
      <c r="I26" s="75" cm="1">
        <f t="array" aca="1" ref="I26" ca="1">INDIRECT("'Java Impact of Technique'!S" &amp; 4 + (ROW(A22)-1)*4)</f>
        <v>46.329682099999999</v>
      </c>
      <c r="J26" s="75" cm="1">
        <f t="array" aca="1" ref="J26" ca="1">INDIRECT("'Java Impact of Technique'!W" &amp; 3 + (ROW(A22)-1)*4)*100</f>
        <v>-2.47059467199918</v>
      </c>
      <c r="K26" s="75">
        <v>8.0169641545126824E-8</v>
      </c>
      <c r="L26" s="75" t="s">
        <v>186</v>
      </c>
      <c r="M26" s="79" t="s">
        <v>79</v>
      </c>
      <c r="N26" s="75" cm="1">
        <f t="array" aca="1" ref="N26" ca="1">INDIRECT("'Java Impact of Technique'!G" &amp; 5 + (ROW(A22)-1)*4)</f>
        <v>207.97</v>
      </c>
      <c r="O26" s="75" cm="1">
        <f t="array" aca="1" ref="O26" ca="1">INDIRECT("'Java Impact of Technique'!G" &amp; 6 + (ROW(A22)-1)*4)</f>
        <v>52.569999999999993</v>
      </c>
      <c r="P26" s="75" cm="1">
        <f t="array" aca="1" ref="P26" ca="1">INDIRECT("'Java Impact of Technique'!T" &amp; 5 + (ROW(A22)-1)*4)*100</f>
        <v>-74.72231571861326</v>
      </c>
      <c r="Q26" s="75">
        <v>2.8719490663203402E-11</v>
      </c>
      <c r="R26" s="75" t="s">
        <v>216</v>
      </c>
      <c r="S26" s="75" cm="1">
        <f t="array" aca="1" ref="S26" ca="1">INDIRECT("'Java Impact of Technique'!S" &amp; 5 + (ROW(A22)-1)*4)</f>
        <v>9745.4742000000006</v>
      </c>
      <c r="T26" s="75" cm="1">
        <f t="array" aca="1" ref="T26" ca="1">INDIRECT("'Java Impact of Technique'!S" &amp; 6 + (ROW(A22)-1)*4)</f>
        <v>2712.0863000000004</v>
      </c>
      <c r="U26" s="75" cm="1">
        <f t="array" aca="1" ref="U26" ca="1">INDIRECT("'Java Impact of Technique'!W" &amp; 5 + (ROW(A22)-1)*4)*100</f>
        <v>-72.170812375656382</v>
      </c>
      <c r="V26" s="75">
        <v>2.8719490663203402E-11</v>
      </c>
      <c r="W26" s="75" t="s">
        <v>186</v>
      </c>
      <c r="X26" s="75">
        <f t="shared" ca="1" si="0"/>
        <v>-37.320703523827781</v>
      </c>
    </row>
    <row r="27" spans="2:24" x14ac:dyDescent="0.25">
      <c r="B27" s="77" t="s">
        <v>87</v>
      </c>
      <c r="C27" s="75" cm="1">
        <f t="array" aca="1" ref="C27" ca="1">INDIRECT("'Java Impact of Technique'!G" &amp; 3 + (ROW(A23)-1)*4)</f>
        <v>1.5709999999999998E-2</v>
      </c>
      <c r="D27" s="75" cm="1">
        <f t="array" aca="1" ref="D27" ca="1">INDIRECT("'Java Impact of Technique'!G" &amp; 4 + (ROW(A23)-1)*4)</f>
        <v>1.5700000000000002E-2</v>
      </c>
      <c r="E27" s="75" cm="1">
        <f t="array" aca="1" ref="E27" ca="1">INDIRECT("'Java Impact of Technique'!T" &amp; 3 + (ROW(A23)-1)*4)*100</f>
        <v>-6.3653723742831944E-2</v>
      </c>
      <c r="F27" s="75">
        <v>3.0886950546934747E-2</v>
      </c>
      <c r="G27" s="78" t="s">
        <v>185</v>
      </c>
      <c r="H27" s="75" cm="1">
        <f t="array" aca="1" ref="H27" ca="1">INDIRECT("'Java Impact of Technique'!S" &amp; 3 + (ROW(A23)-1)*4)</f>
        <v>0.71103459999999996</v>
      </c>
      <c r="I27" s="75" cm="1">
        <f t="array" aca="1" ref="I27" ca="1">INDIRECT("'Java Impact of Technique'!S" &amp; 4 + (ROW(A23)-1)*4)</f>
        <v>0.69974900000000007</v>
      </c>
      <c r="J27" s="75" cm="1">
        <f t="array" aca="1" ref="J27" ca="1">INDIRECT("'Java Impact of Technique'!W" &amp; 3 + (ROW(A23)-1)*4)*100</f>
        <v>-1.5872082736901827</v>
      </c>
      <c r="K27" s="75">
        <v>3.9875611394413486E-2</v>
      </c>
      <c r="L27" s="75" t="s">
        <v>185</v>
      </c>
      <c r="M27" s="79" t="s">
        <v>87</v>
      </c>
      <c r="N27" s="75" cm="1">
        <f t="array" aca="1" ref="N27" ca="1">INDIRECT("'Java Impact of Technique'!G" &amp; 5 + (ROW(A23)-1)*4)</f>
        <v>3.8919999999999999</v>
      </c>
      <c r="O27" s="75" cm="1">
        <f t="array" aca="1" ref="O27" ca="1">INDIRECT("'Java Impact of Technique'!G" &amp; 6 + (ROW(A23)-1)*4)</f>
        <v>4.0490000000000004</v>
      </c>
      <c r="P27" s="75" cm="1">
        <f t="array" aca="1" ref="P27" ca="1">INDIRECT("'Java Impact of Technique'!T" &amp; 5 + (ROW(A23)-1)*4)*100</f>
        <v>4.0339157245632187</v>
      </c>
      <c r="Q27" s="75">
        <v>7.4827008004904119E-2</v>
      </c>
      <c r="R27" s="75" t="s">
        <v>185</v>
      </c>
      <c r="S27" s="75" cm="1">
        <f t="array" aca="1" ref="S27" ca="1">INDIRECT("'Java Impact of Technique'!S" &amp; 5 + (ROW(A23)-1)*4)</f>
        <v>175.06216000000001</v>
      </c>
      <c r="T27" s="75" cm="1">
        <f t="array" aca="1" ref="T27" ca="1">INDIRECT("'Java Impact of Technique'!S" &amp; 6 + (ROW(A23)-1)*4)</f>
        <v>188.96682999999999</v>
      </c>
      <c r="U27" s="75" cm="1">
        <f t="array" aca="1" ref="U27" ca="1">INDIRECT("'Java Impact of Technique'!W" &amp; 5 + (ROW(A23)-1)*4)*100</f>
        <v>7.9427044656595021</v>
      </c>
      <c r="V27" s="75">
        <v>4.5310544365324669E-3</v>
      </c>
      <c r="W27" s="75" t="s">
        <v>215</v>
      </c>
      <c r="X27" s="75">
        <f t="shared" ca="1" si="0"/>
        <v>3.1777480959846596</v>
      </c>
    </row>
    <row r="28" spans="2:24" x14ac:dyDescent="0.25">
      <c r="B28" s="77" t="s">
        <v>91</v>
      </c>
      <c r="C28" s="75" cm="1">
        <f t="array" aca="1" ref="C28" ca="1">INDIRECT("'Java Impact of Technique'!G" &amp; 3 + (ROW(A24)-1)*4)</f>
        <v>0.97989000000000004</v>
      </c>
      <c r="D28" s="75" cm="1">
        <f t="array" aca="1" ref="D28" ca="1">INDIRECT("'Java Impact of Technique'!G" &amp; 4 + (ROW(A24)-1)*4)</f>
        <v>0.50768999999999997</v>
      </c>
      <c r="E28" s="75" cm="1">
        <f t="array" aca="1" ref="E28" ca="1">INDIRECT("'Java Impact of Technique'!T" &amp; 3 + (ROW(A24)-1)*4)*100</f>
        <v>-48.189082448029886</v>
      </c>
      <c r="F28" s="75">
        <v>2.8719490663203402E-11</v>
      </c>
      <c r="G28" s="78" t="s">
        <v>186</v>
      </c>
      <c r="H28" s="75" cm="1">
        <f t="array" aca="1" ref="H28" ca="1">INDIRECT("'Java Impact of Technique'!S" &amp; 3 + (ROW(A24)-1)*4)</f>
        <v>51.522616200000002</v>
      </c>
      <c r="I28" s="75" cm="1">
        <f t="array" aca="1" ref="I28" ca="1">INDIRECT("'Java Impact of Technique'!S" &amp; 4 + (ROW(A24)-1)*4)</f>
        <v>26.323726499999999</v>
      </c>
      <c r="J28" s="75" cm="1">
        <f t="array" aca="1" ref="J28" ca="1">INDIRECT("'Java Impact of Technique'!W" &amp; 3 + (ROW(A24)-1)*4)*100</f>
        <v>-48.90840481039082</v>
      </c>
      <c r="K28" s="75">
        <v>2.8719490663203402E-11</v>
      </c>
      <c r="L28" s="75" t="s">
        <v>186</v>
      </c>
      <c r="M28" s="79" t="s">
        <v>91</v>
      </c>
      <c r="N28" s="75" cm="1">
        <f t="array" aca="1" ref="N28" ca="1">INDIRECT("'Java Impact of Technique'!G" &amp; 5 + (ROW(A24)-1)*4)</f>
        <v>36.232999999999997</v>
      </c>
      <c r="O28" s="75" cm="1">
        <f t="array" aca="1" ref="O28" ca="1">INDIRECT("'Java Impact of Technique'!G" &amp; 6 + (ROW(A24)-1)*4)</f>
        <v>14.775</v>
      </c>
      <c r="P28" s="75" cm="1">
        <f t="array" aca="1" ref="P28" ca="1">INDIRECT("'Java Impact of Technique'!T" &amp; 5 + (ROW(A24)-1)*4)*100</f>
        <v>-59.222255954516598</v>
      </c>
      <c r="Q28" s="75">
        <v>2.8719490663203402E-11</v>
      </c>
      <c r="R28" s="75" t="s">
        <v>186</v>
      </c>
      <c r="S28" s="75" cm="1">
        <f t="array" aca="1" ref="S28" ca="1">INDIRECT("'Java Impact of Technique'!S" &amp; 5 + (ROW(A24)-1)*4)</f>
        <v>1994.6266499999999</v>
      </c>
      <c r="T28" s="75" cm="1">
        <f t="array" aca="1" ref="T28" ca="1">INDIRECT("'Java Impact of Technique'!S" &amp; 6 + (ROW(A24)-1)*4)</f>
        <v>808.19250000000011</v>
      </c>
      <c r="U28" s="75" cm="1">
        <f t="array" aca="1" ref="U28" ca="1">INDIRECT("'Java Impact of Technique'!W" &amp; 5 + (ROW(A24)-1)*4)*100</f>
        <v>-59.481514999310768</v>
      </c>
      <c r="V28" s="75">
        <v>2.8719490663203402E-11</v>
      </c>
      <c r="W28" s="75" t="s">
        <v>186</v>
      </c>
      <c r="X28" s="75">
        <f t="shared" ca="1" si="0"/>
        <v>-54.194959904850791</v>
      </c>
    </row>
    <row r="29" spans="2:24" x14ac:dyDescent="0.25">
      <c r="B29" s="77" t="s">
        <v>93</v>
      </c>
      <c r="C29" s="75" cm="1">
        <f t="array" aca="1" ref="C29" ca="1">INDIRECT("'Java Impact of Technique'!G" &amp; 3 + (ROW(A25)-1)*4)</f>
        <v>223.875</v>
      </c>
      <c r="D29" s="75" cm="1">
        <f t="array" aca="1" ref="D29" ca="1">INDIRECT("'Java Impact of Technique'!G" &amp; 4 + (ROW(A25)-1)*4)</f>
        <v>167.07400000000001</v>
      </c>
      <c r="E29" s="75" cm="1">
        <f t="array" aca="1" ref="E29" ca="1">INDIRECT("'Java Impact of Technique'!T" &amp; 3 + (ROW(A25)-1)*4)*100</f>
        <v>-25.371747627024003</v>
      </c>
      <c r="F29" s="75">
        <v>2.8719490663203402E-11</v>
      </c>
      <c r="G29" s="78" t="s">
        <v>186</v>
      </c>
      <c r="H29" s="75" cm="1">
        <f t="array" aca="1" ref="H29" ca="1">INDIRECT("'Java Impact of Technique'!S" &amp; 3 + (ROW(A25)-1)*4)</f>
        <v>14422.0275</v>
      </c>
      <c r="I29" s="75" cm="1">
        <f t="array" aca="1" ref="I29" ca="1">INDIRECT("'Java Impact of Technique'!S" &amp; 4 + (ROW(A25)-1)*4)</f>
        <v>11516.410819999999</v>
      </c>
      <c r="J29" s="75" cm="1">
        <f t="array" aca="1" ref="J29" ca="1">INDIRECT("'Java Impact of Technique'!W" &amp; 3 + (ROW(A25)-1)*4)*100</f>
        <v>-20.147074882501791</v>
      </c>
      <c r="K29" s="75">
        <v>2.8719490663203402E-11</v>
      </c>
      <c r="L29" s="75" t="s">
        <v>186</v>
      </c>
      <c r="M29" s="79" t="s">
        <v>93</v>
      </c>
      <c r="N29" s="75" cm="1">
        <f t="array" aca="1" ref="N29" ca="1">INDIRECT("'Java Impact of Technique'!G" &amp; 5 + (ROW(A25)-1)*4)</f>
        <v>2199.83</v>
      </c>
      <c r="O29" s="75" cm="1">
        <f t="array" aca="1" ref="O29" ca="1">INDIRECT("'Java Impact of Technique'!G" &amp; 6 + (ROW(A25)-1)*4)</f>
        <v>1142.02</v>
      </c>
      <c r="P29" s="75" cm="1">
        <f t="array" aca="1" ref="P29" ca="1">INDIRECT("'Java Impact of Technique'!T" &amp; 5 + (ROW(A25)-1)*4)*100</f>
        <v>-48.085988462744851</v>
      </c>
      <c r="Q29" s="75">
        <v>2.8719490663203402E-11</v>
      </c>
      <c r="R29" s="75" t="s">
        <v>186</v>
      </c>
      <c r="S29" s="75" cm="1">
        <f t="array" aca="1" ref="S29" ca="1">INDIRECT("'Java Impact of Technique'!S" &amp; 5 + (ROW(A25)-1)*4)</f>
        <v>124312.3933</v>
      </c>
      <c r="T29" s="75" cm="1">
        <f t="array" aca="1" ref="T29" ca="1">INDIRECT("'Java Impact of Technique'!S" &amp; 6 + (ROW(A25)-1)*4)</f>
        <v>65209.341999999997</v>
      </c>
      <c r="U29" s="75" cm="1">
        <f t="array" aca="1" ref="U29" ca="1">INDIRECT("'Java Impact of Technique'!W" &amp; 5 + (ROW(A25)-1)*4)*100</f>
        <v>-47.543973477662909</v>
      </c>
      <c r="V29" s="75">
        <v>2.8719490663203402E-11</v>
      </c>
      <c r="W29" s="75" t="s">
        <v>186</v>
      </c>
      <c r="X29" s="75">
        <f t="shared" ca="1" si="0"/>
        <v>-33.84552418008235</v>
      </c>
    </row>
    <row r="30" spans="2:24" x14ac:dyDescent="0.25">
      <c r="B30" s="27" t="s">
        <v>95</v>
      </c>
      <c r="C30" s="75" cm="1">
        <f t="array" aca="1" ref="C30" ca="1">INDIRECT("'Java Impact of Technique'!G" &amp; 3 + (ROW(A26)-1)*4)</f>
        <v>49.341000000000001</v>
      </c>
      <c r="D30" s="75" cm="1">
        <f t="array" aca="1" ref="D30" ca="1">INDIRECT("'Java Impact of Technique'!G" &amp; 4 + (ROW(A26)-1)*4)</f>
        <v>56.232999999999997</v>
      </c>
      <c r="E30" s="75" cm="1">
        <f t="array" aca="1" ref="E30" ca="1">INDIRECT("'Java Impact of Technique'!T" &amp; 3 + (ROW(A26)-1)*4)*100</f>
        <v>13.968099552096625</v>
      </c>
      <c r="F30" s="75">
        <v>2.8719490663203402E-11</v>
      </c>
      <c r="G30" s="78" t="s">
        <v>186</v>
      </c>
      <c r="H30" s="75" cm="1">
        <f t="array" aca="1" ref="H30" ca="1">INDIRECT("'Java Impact of Technique'!S" &amp; 3 + (ROW(A26)-1)*4)</f>
        <v>2494.1875500000001</v>
      </c>
      <c r="I30" s="75" cm="1">
        <f t="array" aca="1" ref="I30" ca="1">INDIRECT("'Java Impact of Technique'!S" &amp; 4 + (ROW(A26)-1)*4)</f>
        <v>2829.08223</v>
      </c>
      <c r="J30" s="75" cm="1">
        <f t="array" aca="1" ref="J30" ca="1">INDIRECT("'Java Impact of Technique'!W" &amp; 3 + (ROW(A26)-1)*4)*100</f>
        <v>13.42700471742792</v>
      </c>
      <c r="K30" s="75">
        <v>2.8719490663203402E-11</v>
      </c>
      <c r="L30" s="75" t="s">
        <v>186</v>
      </c>
      <c r="M30" s="80" t="s">
        <v>95</v>
      </c>
      <c r="N30" s="75" cm="1">
        <f t="array" aca="1" ref="N30" ca="1">INDIRECT("'Java Impact of Technique'!G" &amp; 5 + (ROW(A26)-1)*4)</f>
        <v>7058.97</v>
      </c>
      <c r="O30" s="75" cm="1">
        <f t="array" aca="1" ref="O30" ca="1">INDIRECT("'Java Impact of Technique'!G" &amp; 6 + (ROW(A26)-1)*4)</f>
        <v>6593.16</v>
      </c>
      <c r="P30" s="75" cm="1">
        <f t="array" aca="1" ref="P30" ca="1">INDIRECT("'Java Impact of Technique'!T" &amp; 5 + (ROW(A26)-1)*4)*100</f>
        <v>-6.5988380741099641</v>
      </c>
      <c r="Q30" s="75">
        <v>4.1341836078201643E-8</v>
      </c>
      <c r="R30" s="75" t="s">
        <v>186</v>
      </c>
      <c r="S30" s="75" cm="1">
        <f t="array" aca="1" ref="S30" ca="1">INDIRECT("'Java Impact of Technique'!S" &amp; 5 + (ROW(A26)-1)*4)</f>
        <v>355701.49830000004</v>
      </c>
      <c r="T30" s="75" cm="1">
        <f t="array" aca="1" ref="T30" ca="1">INDIRECT("'Java Impact of Technique'!S" &amp; 6 + (ROW(A26)-1)*4)</f>
        <v>314493.73200000002</v>
      </c>
      <c r="U30" s="75" cm="1">
        <f t="array" aca="1" ref="U30" ca="1">INDIRECT("'Java Impact of Technique'!W" &amp; 5 + (ROW(A26)-1)*4)*100</f>
        <v>-11.584929075908819</v>
      </c>
      <c r="V30" s="75">
        <v>1.2291147519974046E-9</v>
      </c>
      <c r="W30" s="75" t="s">
        <v>186</v>
      </c>
      <c r="X30" s="75">
        <f t="shared" ca="1" si="0"/>
        <v>0.92103782075955021</v>
      </c>
    </row>
    <row r="32" spans="2:24" ht="18.75" x14ac:dyDescent="0.3">
      <c r="B32" s="119" t="s">
        <v>155</v>
      </c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1"/>
    </row>
    <row r="33" spans="2:15" ht="15.75" x14ac:dyDescent="0.25">
      <c r="B33" s="114" t="s">
        <v>211</v>
      </c>
      <c r="C33" s="115"/>
      <c r="D33" s="115"/>
      <c r="E33" s="116"/>
      <c r="F33" s="81"/>
      <c r="G33" s="114" t="s">
        <v>211</v>
      </c>
      <c r="H33" s="115"/>
      <c r="I33" s="115"/>
      <c r="J33" s="116"/>
      <c r="K33" s="81"/>
      <c r="L33" s="114" t="s">
        <v>211</v>
      </c>
      <c r="M33" s="115"/>
      <c r="N33" s="115"/>
      <c r="O33" s="116"/>
    </row>
    <row r="34" spans="2:15" x14ac:dyDescent="0.25">
      <c r="B34" s="108" t="s">
        <v>212</v>
      </c>
      <c r="C34" s="109"/>
      <c r="D34" s="109"/>
      <c r="E34" s="110"/>
      <c r="F34" s="82"/>
      <c r="G34" s="108" t="s">
        <v>213</v>
      </c>
      <c r="H34" s="109"/>
      <c r="I34" s="109"/>
      <c r="J34" s="110"/>
      <c r="K34" s="82"/>
      <c r="L34" s="108" t="s">
        <v>218</v>
      </c>
      <c r="M34" s="109"/>
      <c r="N34" s="109"/>
      <c r="O34" s="110"/>
    </row>
    <row r="35" spans="2:15" x14ac:dyDescent="0.25">
      <c r="B35" s="50" t="s">
        <v>155</v>
      </c>
      <c r="C35" s="51" t="s">
        <v>179</v>
      </c>
      <c r="D35" s="51" t="s">
        <v>180</v>
      </c>
      <c r="E35" s="52" t="s">
        <v>181</v>
      </c>
      <c r="F35" s="82"/>
      <c r="G35" s="50" t="s">
        <v>155</v>
      </c>
      <c r="H35" s="51" t="s">
        <v>179</v>
      </c>
      <c r="I35" s="51" t="s">
        <v>180</v>
      </c>
      <c r="J35" s="52" t="s">
        <v>181</v>
      </c>
      <c r="K35" s="82"/>
      <c r="L35" s="50" t="s">
        <v>155</v>
      </c>
      <c r="M35" s="51" t="s">
        <v>179</v>
      </c>
      <c r="N35" s="51" t="s">
        <v>180</v>
      </c>
      <c r="O35" s="52" t="s">
        <v>181</v>
      </c>
    </row>
    <row r="36" spans="2:15" x14ac:dyDescent="0.25">
      <c r="B36" s="5" t="s">
        <v>182</v>
      </c>
      <c r="C36" s="39" cm="1">
        <f t="array" aca="1" ref="C36" ca="1">AVERAGE(_xlfn._xlws.FILTER($J$5:$J$30, ISNUMBER(MATCH($B$5:$B$30, _xlfn.TEXTSPLIT(_xlfn.TEXTJOIN(", ", TRUE, AA6:AA8), ", "), 0))))</f>
        <v>-54.524917882668532</v>
      </c>
      <c r="D36" s="39" cm="1">
        <f t="array" aca="1" ref="D36" ca="1">MIN(_xlfn._xlws.FILTER($J$5:$J$30, ISNUMBER(MATCH($B$5:$B$30, _xlfn.TEXTSPLIT(_xlfn.TEXTJOIN(", ", TRUE, AA6:AA8), ", "), 0))))</f>
        <v>-99.957789376107471</v>
      </c>
      <c r="E36" s="39" cm="1">
        <f t="array" aca="1" ref="E36" ca="1">MAX(_xlfn._xlws.FILTER($J$5:$J$30, ISNUMBER(MATCH($B$5:$B$30, _xlfn.TEXTSPLIT(_xlfn.TEXTJOIN(", ", TRUE, AA6:AA8), ", "), 0))))</f>
        <v>-7.5011132650567021</v>
      </c>
      <c r="F36" s="82"/>
      <c r="G36" s="5" t="s">
        <v>182</v>
      </c>
      <c r="H36" s="39" cm="1">
        <f t="array" aca="1" ref="H36" ca="1">AVERAGE(_xlfn._xlws.FILTER($U$5:$U$30, ISNUMBER(MATCH($M$5:$M$30, _xlfn.TEXTSPLIT(_xlfn.TEXTJOIN(", ", TRUE, AD6:AD8), ", "), 0))))</f>
        <v>-35.824647696269679</v>
      </c>
      <c r="I36" s="39" cm="1">
        <f t="array" aca="1" ref="I36" ca="1">MIN(_xlfn._xlws.FILTER($U$5:$U$30, ISNUMBER(MATCH($M$5:$M$30, _xlfn.TEXTSPLIT(_xlfn.TEXTJOIN(", ", TRUE, AD6:AD8), ", "), 0))))</f>
        <v>-96.630591111932546</v>
      </c>
      <c r="J36" s="39" cm="1">
        <f t="array" aca="1" ref="J36" ca="1">MAX(_xlfn._xlws.FILTER($U$5:$U$30, ISNUMBER(MATCH($M$5:$M$30, _xlfn.TEXTSPLIT(_xlfn.TEXTJOIN(", ", TRUE, AD6:AD8), ", "), 0))))</f>
        <v>-4.5700051135959914</v>
      </c>
      <c r="K36" s="82"/>
      <c r="L36" s="5" t="s">
        <v>182</v>
      </c>
      <c r="M36" s="39">
        <f ca="1">AVERAGE(C36,H36)</f>
        <v>-45.174782789469106</v>
      </c>
      <c r="N36" s="39">
        <f ca="1">MIN(D36,I36)</f>
        <v>-99.957789376107471</v>
      </c>
      <c r="O36" s="39">
        <f ca="1">MAX(E36,J36)</f>
        <v>-4.5700051135959914</v>
      </c>
    </row>
    <row r="37" spans="2:15" x14ac:dyDescent="0.25">
      <c r="B37" s="5" t="s">
        <v>183</v>
      </c>
      <c r="C37" s="39" cm="1">
        <f t="array" aca="1" ref="C37" ca="1">AVERAGE(_xlfn._xlws.FILTER($J$5:$J$30, ISNUMBER(MATCH($B$5:$B$30, _xlfn.TEXTSPLIT(_xlfn.TEXTJOIN(", ", TRUE, AA9), ", "), 0))))</f>
        <v>-0.13700758752968947</v>
      </c>
      <c r="D37" s="39" cm="1">
        <f t="array" aca="1" ref="D37" ca="1">MIN(_xlfn._xlws.FILTER($J$5:$J$30, ISNUMBER(MATCH($B$5:$B$30, _xlfn.TEXTSPLIT(_xlfn.TEXTJOIN(", ", TRUE, AA9), ", "), 0))))</f>
        <v>-2.47059467199918</v>
      </c>
      <c r="E37" s="39" cm="1">
        <f t="array" aca="1" ref="E37" ca="1">MAX(_xlfn._xlws.FILTER($J$5:$J$30, ISNUMBER(MATCH($B$5:$B$30, _xlfn.TEXTSPLIT(_xlfn.TEXTJOIN(", ", TRUE, AA9), ", "), 0))))</f>
        <v>1.8483855872718766</v>
      </c>
      <c r="F37" s="82"/>
      <c r="G37" s="5" t="s">
        <v>183</v>
      </c>
      <c r="H37" s="39" cm="1">
        <f t="array" aca="1" ref="H37" ca="1">AVERAGE(_xlfn._xlws.FILTER($U$5:$U$30, ISNUMBER(MATCH($M$5:$M$30, _xlfn.TEXTSPLIT(_xlfn.TEXTJOIN(", ", TRUE, AD9), ", "), 0))))</f>
        <v>-2.5344853094713432E-2</v>
      </c>
      <c r="I37" s="39" cm="1">
        <f t="array" aca="1" ref="I37" ca="1">MIN(_xlfn._xlws.FILTER($U$5:$U$30, ISNUMBER(MATCH($M$5:$M$30, _xlfn.TEXTSPLIT(_xlfn.TEXTJOIN(", ", TRUE, AD9), ", "), 0))))</f>
        <v>-2.0579863712741595</v>
      </c>
      <c r="J37" s="39" cm="1">
        <f t="array" aca="1" ref="J37" ca="1">MAX(_xlfn._xlws.FILTER($U$5:$U$30, ISNUMBER(MATCH($M$5:$M$30, _xlfn.TEXTSPLIT(_xlfn.TEXTJOIN(", ", TRUE, AD9), ", "), 0))))</f>
        <v>1.297796191054629</v>
      </c>
      <c r="K37" s="82"/>
      <c r="L37" s="5" t="s">
        <v>183</v>
      </c>
      <c r="M37" s="39">
        <f ca="1">AVERAGE(C37,H37)</f>
        <v>-8.1176220312201453E-2</v>
      </c>
      <c r="N37" s="39">
        <f ca="1">MIN(D37,I37)</f>
        <v>-2.47059467199918</v>
      </c>
      <c r="O37" s="39">
        <f ca="1">MAX(E37,J37)</f>
        <v>1.8483855872718766</v>
      </c>
    </row>
    <row r="38" spans="2:15" x14ac:dyDescent="0.25">
      <c r="B38" s="5" t="s">
        <v>184</v>
      </c>
      <c r="C38" s="39" cm="1">
        <f t="array" aca="1" ref="C38" ca="1">AVERAGE(_xlfn._xlws.FILTER($J$5:$J$30, ISNUMBER(MATCH($B$5:$B$30, _xlfn.TEXTSPLIT(_xlfn.TEXTJOIN(", ", TRUE, AA10:AA12), ", "), 0))))</f>
        <v>32.230650595163297</v>
      </c>
      <c r="D38" s="39" cm="1">
        <f t="array" aca="1" ref="D38" ca="1">MIN(_xlfn._xlws.FILTER($J$5:$J$30, ISNUMBER(MATCH($B$5:$B$30, _xlfn.TEXTSPLIT(_xlfn.TEXTJOIN(", ", TRUE, AA10:AA12), ", "), 0))))</f>
        <v>5.5328774597779615</v>
      </c>
      <c r="E38" s="39" cm="1">
        <f t="array" aca="1" ref="E38" ca="1">MAX(_xlfn._xlws.FILTER($J$5:$J$30, ISNUMBER(MATCH($B$5:$B$30, _xlfn.TEXTSPLIT(_xlfn.TEXTJOIN(", ", TRUE, AA10:AA12), ", "), 0))))</f>
        <v>75.153372622166358</v>
      </c>
      <c r="F38" s="82"/>
      <c r="G38" s="5" t="s">
        <v>184</v>
      </c>
      <c r="H38" s="39" cm="1">
        <f t="array" aca="1" ref="H38" ca="1">AVERAGE(_xlfn._xlws.FILTER($U$5:$U$30, ISNUMBER(MATCH($M$5:$M$30, _xlfn.TEXTSPLIT(_xlfn.TEXTJOIN(", ", TRUE, AD10:AD12), ", "), 0))))</f>
        <v>26.307770775949866</v>
      </c>
      <c r="I38" s="39" cm="1">
        <f t="array" aca="1" ref="I38" ca="1">MIN(_xlfn._xlws.FILTER($U$5:$U$30, ISNUMBER(MATCH($M$5:$M$30, _xlfn.TEXTSPLIT(_xlfn.TEXTJOIN(", ", TRUE, AD10:AD12), ", "), 0))))</f>
        <v>7.9427044656595021</v>
      </c>
      <c r="J38" s="39" cm="1">
        <f t="array" aca="1" ref="J38" ca="1">MAX(_xlfn._xlws.FILTER($U$5:$U$30, ISNUMBER(MATCH($M$5:$M$30, _xlfn.TEXTSPLIT(_xlfn.TEXTJOIN(", ", TRUE, AD10:AD12), ", "), 0))))</f>
        <v>63.283270165936422</v>
      </c>
      <c r="K38" s="82"/>
      <c r="L38" s="5" t="s">
        <v>184</v>
      </c>
      <c r="M38" s="39">
        <f ca="1">AVERAGE(C38,H38)</f>
        <v>29.26921068555658</v>
      </c>
      <c r="N38" s="39">
        <f ca="1">MIN(D38,I38)</f>
        <v>5.5328774597779615</v>
      </c>
      <c r="O38" s="39">
        <f ca="1">MAX(E38,J38)</f>
        <v>75.153372622166358</v>
      </c>
    </row>
    <row r="39" spans="2:15" x14ac:dyDescent="0.25">
      <c r="B39" s="5" t="s">
        <v>121</v>
      </c>
      <c r="C39" s="39" cm="1">
        <f t="array" aca="1" ref="C39" ca="1">AVERAGE(_xlfn._xlws.FILTER($J$5:$J$30, ISNUMBER(MATCH($B$5:$B$30, _xlfn.TEXTSPLIT(_xlfn.TEXTJOIN(", ", TRUE, AA6:AA12), ", "), 0))))</f>
        <v>-13.585975043500095</v>
      </c>
      <c r="D39" s="39" cm="1">
        <f t="array" aca="1" ref="D39" ca="1">MIN(_xlfn._xlws.FILTER($J$5:$J$30, ISNUMBER(MATCH($B$5:$B$30, _xlfn.TEXTSPLIT(_xlfn.TEXTJOIN(", ", TRUE, AA6:AA12), ", "), 0))))</f>
        <v>-99.957789376107471</v>
      </c>
      <c r="E39" s="39" cm="1">
        <f t="array" aca="1" ref="E39" ca="1">MAX(_xlfn._xlws.FILTER($J$5:$J$30, ISNUMBER(MATCH($B$5:$B$30, _xlfn.TEXTSPLIT(_xlfn.TEXTJOIN(", ", TRUE, AA6:AA12), ", "), 0))))</f>
        <v>75.153372622166358</v>
      </c>
      <c r="F39" s="83"/>
      <c r="G39" s="5" t="s">
        <v>121</v>
      </c>
      <c r="H39" s="39" cm="1">
        <f t="array" aca="1" ref="H39" ca="1">AVERAGE(_xlfn._xlws.FILTER($U$5:$U$30, ISNUMBER(MATCH($M$5:$M$30, _xlfn.TEXTSPLIT(_xlfn.TEXTJOIN(", ", TRUE, AD6:AD12), ", "), 0))))</f>
        <v>-18.368520629585159</v>
      </c>
      <c r="I39" s="39" cm="1">
        <f t="array" aca="1" ref="I39" ca="1">MIN(_xlfn._xlws.FILTER($U$5:$U$30, ISNUMBER(MATCH($M$5:$M$30, _xlfn.TEXTSPLIT(_xlfn.TEXTJOIN(", ", TRUE, AD6:AD12), ", "), 0))))</f>
        <v>-96.630591111932546</v>
      </c>
      <c r="J39" s="39" cm="1">
        <f t="array" aca="1" ref="J39" ca="1">MAX(_xlfn._xlws.FILTER($U$5:$U$30, ISNUMBER(MATCH($M$5:$M$30, _xlfn.TEXTSPLIT(_xlfn.TEXTJOIN(", ", TRUE, AD6:AD12), ", "), 0))))</f>
        <v>63.283270165936422</v>
      </c>
      <c r="K39" s="83"/>
      <c r="L39" s="5" t="s">
        <v>121</v>
      </c>
      <c r="M39" s="39">
        <f ca="1">AVERAGE(C39,H39)</f>
        <v>-15.977247836542627</v>
      </c>
      <c r="N39" s="39">
        <f ca="1">MIN(D39,I39)</f>
        <v>-99.957789376107471</v>
      </c>
      <c r="O39" s="39">
        <f ca="1">MAX(E39,J39)</f>
        <v>75.153372622166358</v>
      </c>
    </row>
    <row r="41" spans="2:15" ht="21" x14ac:dyDescent="0.35">
      <c r="B41" s="111" t="s">
        <v>154</v>
      </c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3"/>
    </row>
    <row r="42" spans="2:15" ht="15.75" x14ac:dyDescent="0.25">
      <c r="B42" s="114" t="s">
        <v>211</v>
      </c>
      <c r="C42" s="115"/>
      <c r="D42" s="115"/>
      <c r="E42" s="116"/>
      <c r="F42" s="81"/>
      <c r="G42" s="114" t="s">
        <v>211</v>
      </c>
      <c r="H42" s="115"/>
      <c r="I42" s="115"/>
      <c r="J42" s="116"/>
      <c r="K42" s="81"/>
      <c r="L42" s="114" t="s">
        <v>211</v>
      </c>
      <c r="M42" s="115"/>
      <c r="N42" s="115"/>
      <c r="O42" s="116"/>
    </row>
    <row r="43" spans="2:15" x14ac:dyDescent="0.25">
      <c r="B43" s="108" t="s">
        <v>212</v>
      </c>
      <c r="C43" s="109"/>
      <c r="D43" s="109"/>
      <c r="E43" s="110"/>
      <c r="F43" s="82"/>
      <c r="G43" s="108" t="s">
        <v>213</v>
      </c>
      <c r="H43" s="109"/>
      <c r="I43" s="109"/>
      <c r="J43" s="110"/>
      <c r="K43" s="82"/>
      <c r="L43" s="108" t="s">
        <v>218</v>
      </c>
      <c r="M43" s="109"/>
      <c r="N43" s="109"/>
      <c r="O43" s="110"/>
    </row>
    <row r="44" spans="2:15" x14ac:dyDescent="0.25">
      <c r="B44" s="50" t="s">
        <v>155</v>
      </c>
      <c r="C44" s="108" t="s">
        <v>220</v>
      </c>
      <c r="D44" s="109"/>
      <c r="E44" s="15" t="s">
        <v>219</v>
      </c>
      <c r="F44" s="84"/>
      <c r="G44" s="50" t="s">
        <v>155</v>
      </c>
      <c r="H44" s="108" t="s">
        <v>220</v>
      </c>
      <c r="I44" s="109"/>
      <c r="J44" s="15" t="s">
        <v>219</v>
      </c>
      <c r="K44" s="82"/>
      <c r="L44" s="50" t="s">
        <v>155</v>
      </c>
      <c r="M44" s="108" t="s">
        <v>220</v>
      </c>
      <c r="N44" s="109"/>
      <c r="O44" s="15" t="s">
        <v>219</v>
      </c>
    </row>
    <row r="45" spans="2:15" x14ac:dyDescent="0.25">
      <c r="B45" s="5" t="s">
        <v>182</v>
      </c>
      <c r="C45" s="106" cm="1">
        <f t="array" aca="1" ref="C45" ca="1">COUNT(_xlfn._xlws.FILTER($J$5:$J$30, ISNUMBER(MATCH($B$5:$B$30, _xlfn.TEXTSPLIT(_xlfn.TEXTJOIN(", ", TRUE, AA6:AA8), ", "), 0))))</f>
        <v>10</v>
      </c>
      <c r="D45" s="107"/>
      <c r="E45" s="67">
        <f ca="1">C45/C$48</f>
        <v>0.38461538461538464</v>
      </c>
      <c r="F45" s="82"/>
      <c r="G45" s="5" t="s">
        <v>182</v>
      </c>
      <c r="H45" s="106" cm="1">
        <f t="array" aca="1" ref="H45" ca="1">COUNT(_xlfn._xlws.FILTER($U$5:$U$30, ISNUMBER(MATCH($M$5:$M$30, _xlfn.TEXTSPLIT(_xlfn.TEXTJOIN(", ", TRUE, AD6:AD8), ", "), 0))))</f>
        <v>17</v>
      </c>
      <c r="I45" s="107"/>
      <c r="J45" s="67">
        <f ca="1">H45/H$48</f>
        <v>0.65384615384615385</v>
      </c>
      <c r="K45" s="82"/>
      <c r="L45" s="5" t="s">
        <v>182</v>
      </c>
      <c r="M45" s="106">
        <f ca="1">SUM(C45,H45)</f>
        <v>27</v>
      </c>
      <c r="N45" s="107"/>
      <c r="O45" s="67">
        <f ca="1">M45/M$48</f>
        <v>0.51923076923076927</v>
      </c>
    </row>
    <row r="46" spans="2:15" x14ac:dyDescent="0.25">
      <c r="B46" s="5" t="s">
        <v>183</v>
      </c>
      <c r="C46" s="106" cm="1">
        <f t="array" aca="1" ref="C46" ca="1">COUNT(_xlfn._xlws.FILTER($J$5:$J$30, ISNUMBER(MATCH($B$5:$B$30, _xlfn.TEXTSPLIT(_xlfn.TEXTJOIN(", ", TRUE, AA9), ", "), 0))))</f>
        <v>10</v>
      </c>
      <c r="D46" s="107"/>
      <c r="E46" s="67">
        <f t="shared" ref="E46:E48" ca="1" si="1">C46/C$48</f>
        <v>0.38461538461538464</v>
      </c>
      <c r="F46" s="82"/>
      <c r="G46" s="5" t="s">
        <v>183</v>
      </c>
      <c r="H46" s="106" cm="1">
        <f t="array" aca="1" ref="H46" ca="1">COUNT(_xlfn._xlws.FILTER($U$5:$U$30, ISNUMBER(MATCH($M$5:$M$30, _xlfn.TEXTSPLIT(_xlfn.TEXTJOIN(", ", TRUE, AD9), ", "), 0))))</f>
        <v>4</v>
      </c>
      <c r="I46" s="107"/>
      <c r="J46" s="67">
        <f t="shared" ref="J46:J48" ca="1" si="2">H46/H$48</f>
        <v>0.15384615384615385</v>
      </c>
      <c r="K46" s="82"/>
      <c r="L46" s="5" t="s">
        <v>183</v>
      </c>
      <c r="M46" s="106">
        <f t="shared" ref="M46:M47" ca="1" si="3">SUM(C46,H46)</f>
        <v>14</v>
      </c>
      <c r="N46" s="107"/>
      <c r="O46" s="67">
        <f t="shared" ref="O46:O48" ca="1" si="4">M46/M$48</f>
        <v>0.26923076923076922</v>
      </c>
    </row>
    <row r="47" spans="2:15" x14ac:dyDescent="0.25">
      <c r="B47" s="5" t="s">
        <v>184</v>
      </c>
      <c r="C47" s="106" cm="1">
        <f t="array" aca="1" ref="C47" ca="1">COUNT(_xlfn._xlws.FILTER($J$5:$J$30, ISNUMBER(MATCH($B$5:$B$30, _xlfn.TEXTSPLIT(_xlfn.TEXTJOIN(", ", TRUE, AA10:AA12), ", "), 0))))</f>
        <v>6</v>
      </c>
      <c r="D47" s="107"/>
      <c r="E47" s="67">
        <f t="shared" ca="1" si="1"/>
        <v>0.23076923076923078</v>
      </c>
      <c r="F47" s="82"/>
      <c r="G47" s="5" t="s">
        <v>184</v>
      </c>
      <c r="H47" s="106" cm="1">
        <f t="array" aca="1" ref="H47" ca="1">COUNT(_xlfn._xlws.FILTER($U$5:$U$30, ISNUMBER(MATCH($M$5:$M$30, _xlfn.TEXTSPLIT(_xlfn.TEXTJOIN(", ", TRUE, AD10:AD12), ", "), 0))))</f>
        <v>5</v>
      </c>
      <c r="I47" s="107"/>
      <c r="J47" s="67">
        <f t="shared" ca="1" si="2"/>
        <v>0.19230769230769232</v>
      </c>
      <c r="K47" s="82"/>
      <c r="L47" s="5" t="s">
        <v>184</v>
      </c>
      <c r="M47" s="106">
        <f t="shared" ca="1" si="3"/>
        <v>11</v>
      </c>
      <c r="N47" s="107"/>
      <c r="O47" s="67">
        <f t="shared" ca="1" si="4"/>
        <v>0.21153846153846154</v>
      </c>
    </row>
    <row r="48" spans="2:15" x14ac:dyDescent="0.25">
      <c r="B48" s="5" t="s">
        <v>121</v>
      </c>
      <c r="C48" s="106">
        <f ca="1">SUM(C45:D47)</f>
        <v>26</v>
      </c>
      <c r="D48" s="107"/>
      <c r="E48" s="67">
        <f t="shared" ca="1" si="1"/>
        <v>1</v>
      </c>
      <c r="F48" s="83"/>
      <c r="G48" s="5" t="s">
        <v>121</v>
      </c>
      <c r="H48" s="106">
        <f ca="1">SUM(H45:I47)</f>
        <v>26</v>
      </c>
      <c r="I48" s="107"/>
      <c r="J48" s="67">
        <f t="shared" ca="1" si="2"/>
        <v>1</v>
      </c>
      <c r="K48" s="83"/>
      <c r="L48" s="5" t="s">
        <v>121</v>
      </c>
      <c r="M48" s="106">
        <f ca="1">SUM(M45:N47)</f>
        <v>52</v>
      </c>
      <c r="N48" s="107"/>
      <c r="O48" s="67">
        <f t="shared" ca="1" si="4"/>
        <v>1</v>
      </c>
    </row>
    <row r="53" spans="9:9" x14ac:dyDescent="0.25">
      <c r="I53" s="139"/>
    </row>
  </sheetData>
  <mergeCells count="39">
    <mergeCell ref="C2:L2"/>
    <mergeCell ref="H3:L3"/>
    <mergeCell ref="N2:W2"/>
    <mergeCell ref="C3:G3"/>
    <mergeCell ref="N3:R3"/>
    <mergeCell ref="Z3:AA3"/>
    <mergeCell ref="AC3:AD3"/>
    <mergeCell ref="Z4:AA4"/>
    <mergeCell ref="AC4:AD4"/>
    <mergeCell ref="B33:E33"/>
    <mergeCell ref="G33:J33"/>
    <mergeCell ref="L33:O33"/>
    <mergeCell ref="B32:O32"/>
    <mergeCell ref="S3:U3"/>
    <mergeCell ref="B34:E34"/>
    <mergeCell ref="G34:J34"/>
    <mergeCell ref="L34:O34"/>
    <mergeCell ref="B43:E43"/>
    <mergeCell ref="G43:J43"/>
    <mergeCell ref="L43:O43"/>
    <mergeCell ref="B41:O41"/>
    <mergeCell ref="C44:D44"/>
    <mergeCell ref="C45:D45"/>
    <mergeCell ref="B42:E42"/>
    <mergeCell ref="G42:J42"/>
    <mergeCell ref="L42:O42"/>
    <mergeCell ref="M45:N45"/>
    <mergeCell ref="C46:D46"/>
    <mergeCell ref="C47:D47"/>
    <mergeCell ref="C48:D48"/>
    <mergeCell ref="H45:I45"/>
    <mergeCell ref="H46:I46"/>
    <mergeCell ref="H47:I47"/>
    <mergeCell ref="H48:I48"/>
    <mergeCell ref="M46:N46"/>
    <mergeCell ref="M47:N47"/>
    <mergeCell ref="M48:N48"/>
    <mergeCell ref="H44:I44"/>
    <mergeCell ref="M44:N44"/>
  </mergeCells>
  <conditionalFormatting sqref="E5:E30">
    <cfRule type="expression" dxfId="90" priority="18">
      <formula>E5 &lt;= -75</formula>
    </cfRule>
    <cfRule type="expression" dxfId="89" priority="19">
      <formula>AND(E5 &lt; 25, E5 &gt;= 3)</formula>
    </cfRule>
    <cfRule type="expression" dxfId="88" priority="15">
      <formula>AND(E5 &gt; -3, E5 &lt; 3)</formula>
    </cfRule>
    <cfRule type="expression" dxfId="87" priority="16">
      <formula>AND(E5 &gt; -25, E5 &lt;= -3)</formula>
    </cfRule>
    <cfRule type="expression" dxfId="86" priority="17">
      <formula>AND(E5 &gt; -75, E5 &lt;= -25)</formula>
    </cfRule>
    <cfRule type="expression" dxfId="85" priority="21">
      <formula>E5 &gt;= 75</formula>
    </cfRule>
    <cfRule type="expression" dxfId="84" priority="20">
      <formula>AND(E5 &lt; 75, E5 &gt;= 25)</formula>
    </cfRule>
  </conditionalFormatting>
  <conditionalFormatting sqref="J5:J30">
    <cfRule type="expression" dxfId="83" priority="48">
      <formula>J5 &lt;= -75</formula>
    </cfRule>
    <cfRule type="expression" dxfId="82" priority="49">
      <formula>AND(J5 &lt; 25, J5 &gt;= 3)</formula>
    </cfRule>
    <cfRule type="expression" dxfId="81" priority="50">
      <formula>AND(J5 &lt; 75, J5 &gt;= 25)</formula>
    </cfRule>
    <cfRule type="expression" dxfId="80" priority="51">
      <formula>J5 &gt;= 75</formula>
    </cfRule>
    <cfRule type="expression" dxfId="79" priority="45">
      <formula>AND(J5 &gt; -3, J5 &lt; 3)</formula>
    </cfRule>
    <cfRule type="expression" dxfId="78" priority="46">
      <formula>AND(J5 &gt; -25, J5 &lt;= -3)</formula>
    </cfRule>
    <cfRule type="expression" dxfId="77" priority="47">
      <formula>AND(J5 &gt; -75, J5 &lt;= -25)</formula>
    </cfRule>
  </conditionalFormatting>
  <conditionalFormatting sqref="P5:P30">
    <cfRule type="expression" dxfId="76" priority="8">
      <formula>AND(P5 &gt; -3, P5 &lt; 3)</formula>
    </cfRule>
    <cfRule type="expression" dxfId="75" priority="9">
      <formula>AND(P5 &gt; -25, P5 &lt;= -3)</formula>
    </cfRule>
    <cfRule type="expression" dxfId="74" priority="10">
      <formula>AND(P5 &gt; -75, P5 &lt;= -25)</formula>
    </cfRule>
    <cfRule type="expression" dxfId="73" priority="11">
      <formula>P5 &lt;= -75</formula>
    </cfRule>
    <cfRule type="expression" dxfId="72" priority="14">
      <formula>P5 &gt;= 75</formula>
    </cfRule>
    <cfRule type="expression" dxfId="71" priority="13">
      <formula>AND(P5 &lt; 75, P5 &gt;= 25)</formula>
    </cfRule>
    <cfRule type="expression" dxfId="70" priority="12">
      <formula>AND(P5 &lt; 25, P5 &gt;= 3)</formula>
    </cfRule>
  </conditionalFormatting>
  <conditionalFormatting sqref="U5:U30">
    <cfRule type="expression" dxfId="69" priority="41">
      <formula>U5 &lt;= -75</formula>
    </cfRule>
    <cfRule type="expression" dxfId="68" priority="42">
      <formula>AND(U5 &lt; 25, U5 &gt;= 3)</formula>
    </cfRule>
    <cfRule type="expression" dxfId="67" priority="43">
      <formula>AND(U5 &lt; 75, U5 &gt;= 25)</formula>
    </cfRule>
    <cfRule type="expression" dxfId="66" priority="44">
      <formula>U5 &gt;= 75</formula>
    </cfRule>
    <cfRule type="expression" dxfId="65" priority="38">
      <formula>AND(U5 &gt; -3, U5 &lt; 3)</formula>
    </cfRule>
    <cfRule type="expression" dxfId="64" priority="39">
      <formula>AND(U5 &gt; -25, U5 &lt;= -3)</formula>
    </cfRule>
    <cfRule type="expression" dxfId="63" priority="40">
      <formula>AND(U5 &gt; -75, U5 &lt;= -25)</formula>
    </cfRule>
  </conditionalFormatting>
  <conditionalFormatting sqref="X5:X30">
    <cfRule type="expression" dxfId="62" priority="2">
      <formula>AND(X5 &gt; -25, X5 &lt;= -3)</formula>
    </cfRule>
    <cfRule type="expression" dxfId="61" priority="3">
      <formula>AND(X5 &gt; -75, X5 &lt;= -25)</formula>
    </cfRule>
    <cfRule type="expression" dxfId="60" priority="4">
      <formula>X5 &lt;= -75</formula>
    </cfRule>
    <cfRule type="expression" dxfId="59" priority="5">
      <formula>AND(X5 &lt; 25, X5 &gt;= 3)</formula>
    </cfRule>
    <cfRule type="expression" dxfId="58" priority="6">
      <formula>AND(X5 &lt; 75, X5 &gt;= 25)</formula>
    </cfRule>
    <cfRule type="expression" dxfId="57" priority="7">
      <formula>X5 &gt;= 75</formula>
    </cfRule>
    <cfRule type="expression" dxfId="56" priority="1">
      <formula>AND(X5 &gt; -3, X5 &lt; 3)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7F110-078A-4CA5-A803-CBA47FAB5D53}">
  <dimension ref="B2:V44"/>
  <sheetViews>
    <sheetView zoomScale="85" zoomScaleNormal="85" workbookViewId="0">
      <selection activeCell="P5" sqref="P5"/>
    </sheetView>
  </sheetViews>
  <sheetFormatPr baseColWidth="10" defaultRowHeight="15" x14ac:dyDescent="0.25"/>
  <cols>
    <col min="3" max="3" width="14.85546875" bestFit="1" customWidth="1"/>
    <col min="4" max="4" width="15.28515625" bestFit="1" customWidth="1"/>
    <col min="5" max="5" width="13.5703125" bestFit="1" customWidth="1"/>
    <col min="6" max="6" width="14.85546875" bestFit="1" customWidth="1"/>
    <col min="7" max="7" width="15.28515625" bestFit="1" customWidth="1"/>
    <col min="10" max="10" width="11.28515625" bestFit="1" customWidth="1"/>
    <col min="11" max="11" width="12.85546875" bestFit="1" customWidth="1"/>
    <col min="12" max="12" width="10.42578125" bestFit="1" customWidth="1"/>
    <col min="13" max="13" width="12.85546875" bestFit="1" customWidth="1"/>
    <col min="14" max="14" width="11.28515625" bestFit="1" customWidth="1"/>
    <col min="16" max="16" width="18.7109375" bestFit="1" customWidth="1"/>
    <col min="18" max="18" width="12.85546875" bestFit="1" customWidth="1"/>
    <col min="19" max="19" width="98.5703125" bestFit="1" customWidth="1"/>
    <col min="21" max="21" width="12.85546875" bestFit="1" customWidth="1"/>
    <col min="22" max="22" width="102.85546875" bestFit="1" customWidth="1"/>
  </cols>
  <sheetData>
    <row r="2" spans="2:22" x14ac:dyDescent="0.25">
      <c r="B2" s="49"/>
      <c r="C2" s="105" t="s">
        <v>111</v>
      </c>
      <c r="D2" s="105"/>
      <c r="E2" s="105"/>
      <c r="F2" s="105"/>
      <c r="G2" s="105"/>
      <c r="H2" s="105"/>
      <c r="J2" s="108" t="s">
        <v>114</v>
      </c>
      <c r="K2" s="109"/>
      <c r="L2" s="109"/>
      <c r="M2" s="109"/>
      <c r="N2" s="109"/>
      <c r="O2" s="110"/>
    </row>
    <row r="3" spans="2:22" ht="15.75" x14ac:dyDescent="0.25">
      <c r="B3" s="49"/>
      <c r="C3" s="108" t="s">
        <v>100</v>
      </c>
      <c r="D3" s="109"/>
      <c r="E3" s="109"/>
      <c r="F3" s="105" t="s">
        <v>211</v>
      </c>
      <c r="G3" s="105"/>
      <c r="H3" s="105"/>
      <c r="J3" s="108" t="s">
        <v>100</v>
      </c>
      <c r="K3" s="109"/>
      <c r="L3" s="109"/>
      <c r="M3" s="109" t="s">
        <v>211</v>
      </c>
      <c r="N3" s="109"/>
      <c r="O3" s="110"/>
      <c r="R3" s="117" t="s">
        <v>211</v>
      </c>
      <c r="S3" s="118"/>
      <c r="U3" s="117" t="s">
        <v>211</v>
      </c>
      <c r="V3" s="118"/>
    </row>
    <row r="4" spans="2:22" x14ac:dyDescent="0.25">
      <c r="B4" s="50" t="s">
        <v>97</v>
      </c>
      <c r="C4" s="40" t="s">
        <v>212</v>
      </c>
      <c r="D4" s="40" t="s">
        <v>213</v>
      </c>
      <c r="E4" s="40" t="s">
        <v>153</v>
      </c>
      <c r="F4" s="40" t="s">
        <v>212</v>
      </c>
      <c r="G4" s="40" t="s">
        <v>213</v>
      </c>
      <c r="H4" s="40" t="s">
        <v>153</v>
      </c>
      <c r="I4" s="50" t="s">
        <v>97</v>
      </c>
      <c r="J4" s="40" t="s">
        <v>213</v>
      </c>
      <c r="K4" s="40" t="s">
        <v>213</v>
      </c>
      <c r="L4" s="40" t="s">
        <v>153</v>
      </c>
      <c r="M4" s="40" t="s">
        <v>212</v>
      </c>
      <c r="N4" s="40" t="s">
        <v>213</v>
      </c>
      <c r="O4" s="40" t="s">
        <v>153</v>
      </c>
      <c r="P4" s="74" t="s">
        <v>178</v>
      </c>
      <c r="R4" s="108" t="s">
        <v>111</v>
      </c>
      <c r="S4" s="110"/>
      <c r="T4" s="53"/>
      <c r="U4" s="108" t="s">
        <v>114</v>
      </c>
      <c r="V4" s="110"/>
    </row>
    <row r="5" spans="2:22" x14ac:dyDescent="0.25">
      <c r="B5" s="77" t="s">
        <v>156</v>
      </c>
      <c r="C5" s="76" cm="1">
        <f t="array" aca="1" ref="C5" ca="1">INDIRECT("'Java Impact of Optimization'!G" &amp; 3 + (ROW(A1)-1)*4)</f>
        <v>0.42226000000000002</v>
      </c>
      <c r="D5" s="76" cm="1">
        <f t="array" aca="1" ref="D5" ca="1">INDIRECT("'Java Impact of Optimization'!G" &amp; 4 + (ROW(A1)-1)*4)</f>
        <v>91.346000000000004</v>
      </c>
      <c r="E5" s="75" cm="1">
        <f t="array" aca="1" ref="E5" ca="1">INDIRECT("'Java Impact of Optimization'!T" &amp; 3 + (ROW(A1)-1)*4)*100</f>
        <v>-99.537735642502142</v>
      </c>
      <c r="F5" s="76" cm="1">
        <f t="array" aca="1" ref="F5" ca="1">INDIRECT("'Java Impact of Optimization'!R" &amp; 3 + (ROW(A1)-1)*4)</f>
        <v>10.0582332</v>
      </c>
      <c r="G5" s="76" cm="1">
        <f t="array" aca="1" ref="G5" ca="1">INDIRECT("'Java Impact of Optimization'!R" &amp; 4 + (ROW(A1)-1)*4)</f>
        <v>1930.1409799999999</v>
      </c>
      <c r="H5" s="75" cm="1">
        <f t="array" aca="1" ref="H5" ca="1">INDIRECT("'Java Impact of Optimization'!W" &amp; 3 + (ROW(A1)-1)*4)*100</f>
        <v>-99.5240604082597</v>
      </c>
      <c r="I5" s="77" t="s">
        <v>156</v>
      </c>
      <c r="J5" s="76" cm="1">
        <f t="array" aca="1" ref="J5" ca="1">INDIRECT("'Java Impact of Optimization'!G" &amp; 5 + (ROW(A1)-1)*4)</f>
        <v>0.42031000000000002</v>
      </c>
      <c r="K5" s="76" cm="1">
        <f t="array" aca="1" ref="K5" ca="1">INDIRECT("'Java Impact of Optimization'!G" &amp; 6 + (ROW(A1)-1)*4)</f>
        <v>19.510000000000002</v>
      </c>
      <c r="L5" s="75" cm="1">
        <f t="array" aca="1" ref="L5" ca="1">INDIRECT("'Java Impact of Optimization'!T" &amp; 5 + (ROW(A1)-1)*4)*100</f>
        <v>-97.845668887749866</v>
      </c>
      <c r="M5" s="76" cm="1">
        <f t="array" aca="1" ref="M5" ca="1">INDIRECT("'Java Impact of Optimization'!R" &amp; 5 + (ROW(A1)-1)*4)</f>
        <v>8.4272154999999991</v>
      </c>
      <c r="N5" s="76" cm="1">
        <f t="array" aca="1" ref="N5" ca="1">INDIRECT("'Java Impact of Optimization'!R" &amp; 6 + (ROW(A1)-1)*4)</f>
        <v>462.58210000000003</v>
      </c>
      <c r="O5" s="75" cm="1">
        <f t="array" aca="1" ref="O5" ca="1">INDIRECT("'Java Impact of Optimization'!W" &amp; 5 + (ROW(A1)-1)*4)*100</f>
        <v>-98.031599336452445</v>
      </c>
      <c r="P5" s="75">
        <f ca="1">AVERAGE(H5,O5)</f>
        <v>-98.777829872356079</v>
      </c>
      <c r="R5" s="15" t="s">
        <v>155</v>
      </c>
      <c r="S5" s="15" t="s">
        <v>154</v>
      </c>
      <c r="T5" s="53"/>
      <c r="U5" s="15" t="s">
        <v>155</v>
      </c>
      <c r="V5" s="15" t="s">
        <v>154</v>
      </c>
    </row>
    <row r="6" spans="2:22" x14ac:dyDescent="0.25">
      <c r="B6" s="77" t="s">
        <v>157</v>
      </c>
      <c r="C6" s="76" cm="1">
        <f t="array" aca="1" ref="C6" ca="1">INDIRECT("'Java Impact of Optimization'!G" &amp; 3 + (ROW(A2)-1)*4)</f>
        <v>134.08600000000001</v>
      </c>
      <c r="D6" s="76" cm="1">
        <f t="array" aca="1" ref="D6" ca="1">INDIRECT("'Java Impact of Optimization'!G" &amp; 4 + (ROW(A2)-1)*4)</f>
        <v>2639.6800000000003</v>
      </c>
      <c r="E6" s="75" cm="1">
        <f t="array" aca="1" ref="E6" ca="1">INDIRECT("'Java Impact of Optimization'!T" &amp; 3 + (ROW(A2)-1)*4)*100</f>
        <v>-94.920369135652791</v>
      </c>
      <c r="F6" s="76" cm="1">
        <f t="array" aca="1" ref="F6" ca="1">INDIRECT("'Java Impact of Optimization'!R" &amp; 3 + (ROW(A2)-1)*4)</f>
        <v>3297.1747399999999</v>
      </c>
      <c r="G6" s="76" cm="1">
        <f t="array" aca="1" ref="G6" ca="1">INDIRECT("'Java Impact of Optimization'!R" &amp; 4 + (ROW(A2)-1)*4)</f>
        <v>84971.299199999994</v>
      </c>
      <c r="H6" s="75" cm="1">
        <f t="array" aca="1" ref="H6" ca="1">INDIRECT("'Java Impact of Optimization'!W" &amp; 3 + (ROW(A2)-1)*4)*100</f>
        <v>-95.049473768324603</v>
      </c>
      <c r="I6" s="77" t="s">
        <v>157</v>
      </c>
      <c r="J6" s="76" cm="1">
        <f t="array" aca="1" ref="J6" ca="1">INDIRECT("'Java Impact of Optimization'!G" &amp; 5 + (ROW(A2)-1)*4)</f>
        <v>41.554000000000002</v>
      </c>
      <c r="K6" s="76" cm="1">
        <f t="array" aca="1" ref="K6" ca="1">INDIRECT("'Java Impact of Optimization'!G" &amp; 6 + (ROW(A2)-1)*4)</f>
        <v>2510.2799999999997</v>
      </c>
      <c r="L6" s="75" cm="1">
        <f t="array" aca="1" ref="L6" ca="1">INDIRECT("'Java Impact of Optimization'!T" &amp; 5 + (ROW(A2)-1)*4)*100</f>
        <v>-98.344646812307786</v>
      </c>
      <c r="M6" s="76" cm="1">
        <f t="array" aca="1" ref="M6" ca="1">INDIRECT("'Java Impact of Optimization'!R" &amp; 5 + (ROW(A2)-1)*4)</f>
        <v>996.88045999999997</v>
      </c>
      <c r="N6" s="76" cm="1">
        <f t="array" aca="1" ref="N6" ca="1">INDIRECT("'Java Impact of Optimization'!R" &amp; 6 + (ROW(A2)-1)*4)</f>
        <v>75710.044800000003</v>
      </c>
      <c r="O6" s="75" cm="1">
        <f t="array" aca="1" ref="O6" ca="1">INDIRECT("'Java Impact of Optimization'!W" &amp; 5 + (ROW(A2)-1)*4)*100</f>
        <v>-98.454904360362889</v>
      </c>
      <c r="P6" s="75">
        <f t="shared" ref="P6:P30" ca="1" si="0">AVERAGE(H6,O6)</f>
        <v>-96.752189064343753</v>
      </c>
      <c r="R6" s="54" t="s">
        <v>161</v>
      </c>
      <c r="S6" s="29" t="str" cm="1">
        <f t="array" aca="1" ref="S6" ca="1">_xlfn.TEXTJOIN(", ", TRUE, IF(H5:H30 &lt;= -75, B5:B30, ""))</f>
        <v>T4, T5, T7, T8, T9, T11, T12, T13, T16, T17, T19, T20, T25, T26, T28, T29, T31, T32, T33, T36, T40, T44, T49, T50, T51</v>
      </c>
      <c r="U6" s="54" t="s">
        <v>161</v>
      </c>
      <c r="V6" s="29" t="str" cm="1">
        <f t="array" aca="1" ref="V6" ca="1">_xlfn.TEXTJOIN(", ", TRUE, IF(O5:O30 &lt;= -75, I5:I30, ""))</f>
        <v>T4, T5, T7, T8, T9, T10, T11, T12, T13, T16, T17, T19, T20, T25, T26, T28, T29, T31, T32, T33, T36, T40, T44, T49, T50, T51</v>
      </c>
    </row>
    <row r="7" spans="2:22" x14ac:dyDescent="0.25">
      <c r="B7" s="77" t="s">
        <v>158</v>
      </c>
      <c r="C7" s="76" cm="1">
        <f t="array" aca="1" ref="C7" ca="1">INDIRECT("'Java Impact of Optimization'!G" &amp; 3 + (ROW(A3)-1)*4)</f>
        <v>2.094E-2</v>
      </c>
      <c r="D7" s="76" cm="1">
        <f t="array" aca="1" ref="D7" ca="1">INDIRECT("'Java Impact of Optimization'!G" &amp; 4 + (ROW(A3)-1)*4)</f>
        <v>4.7990000000000004</v>
      </c>
      <c r="E7" s="75" cm="1">
        <f t="array" aca="1" ref="E7" ca="1">INDIRECT("'Java Impact of Optimization'!T" &amp; 3 + (ROW(A3)-1)*4)*100</f>
        <v>-99.563659095644923</v>
      </c>
      <c r="F7" s="76" cm="1">
        <f t="array" aca="1" ref="F7" ca="1">INDIRECT("'Java Impact of Optimization'!R" &amp; 3 + (ROW(A3)-1)*4)</f>
        <v>0.42612900000000004</v>
      </c>
      <c r="G7" s="76" cm="1">
        <f t="array" aca="1" ref="G7" ca="1">INDIRECT("'Java Impact of Optimization'!R" &amp; 4 + (ROW(A3)-1)*4)</f>
        <v>96.411910000000006</v>
      </c>
      <c r="H7" s="75" cm="1">
        <f t="array" aca="1" ref="H7" ca="1">INDIRECT("'Java Impact of Optimization'!W" &amp; 3 + (ROW(A3)-1)*4)*100</f>
        <v>-99.579534477484231</v>
      </c>
      <c r="I7" s="77" t="s">
        <v>158</v>
      </c>
      <c r="J7" s="76" cm="1">
        <f t="array" aca="1" ref="J7" ca="1">INDIRECT("'Java Impact of Optimization'!G" &amp; 5 + (ROW(A3)-1)*4)</f>
        <v>2.094E-2</v>
      </c>
      <c r="K7" s="76" cm="1">
        <f t="array" aca="1" ref="K7" ca="1">INDIRECT("'Java Impact of Optimization'!G" &amp; 6 + (ROW(A3)-1)*4)</f>
        <v>4.835</v>
      </c>
      <c r="L7" s="75" cm="1">
        <f t="array" aca="1" ref="L7" ca="1">INDIRECT("'Java Impact of Optimization'!T" &amp; 5 + (ROW(A3)-1)*4)*100</f>
        <v>-99.566907962771438</v>
      </c>
      <c r="M7" s="76" cm="1">
        <f t="array" aca="1" ref="M7" ca="1">INDIRECT("'Java Impact of Optimization'!R" &amp; 5 + (ROW(A3)-1)*4)</f>
        <v>0.427176</v>
      </c>
      <c r="N7" s="76" cm="1">
        <f t="array" aca="1" ref="N7" ca="1">INDIRECT("'Java Impact of Optimization'!R" &amp; 6 + (ROW(A3)-1)*4)</f>
        <v>95.007749999999987</v>
      </c>
      <c r="O7" s="75" cm="1">
        <f t="array" aca="1" ref="O7" ca="1">INDIRECT("'Java Impact of Optimization'!W" &amp; 5 + (ROW(A3)-1)*4)*100</f>
        <v>-99.567287119731176</v>
      </c>
      <c r="P7" s="75">
        <f t="shared" ca="1" si="0"/>
        <v>-99.573410798607711</v>
      </c>
      <c r="R7" s="55" t="s">
        <v>162</v>
      </c>
      <c r="S7" s="29" t="str" cm="1">
        <f t="array" aca="1" ref="S7" ca="1">_xlfn.TEXTJOIN(", ", TRUE, IF((H5:H30 &gt; -75) * (H5:H30 &lt;= -25), B5:B30, ""))</f>
        <v>T10</v>
      </c>
      <c r="U7" s="55" t="s">
        <v>162</v>
      </c>
      <c r="V7" s="29" t="str" cm="1">
        <f t="array" aca="1" ref="V7" ca="1">_xlfn.TEXTJOIN(", ", TRUE, IF((O5:O30 &gt; -75) * (O5:O30 &lt;= -25), I5:I30, ""))</f>
        <v/>
      </c>
    </row>
    <row r="8" spans="2:22" x14ac:dyDescent="0.25">
      <c r="B8" s="77" t="s">
        <v>160</v>
      </c>
      <c r="C8" s="76" cm="1">
        <f t="array" aca="1" ref="C8" ca="1">INDIRECT("'Java Impact of Optimization'!G" &amp; 3 + (ROW(A4)-1)*4)</f>
        <v>2.38835</v>
      </c>
      <c r="D8" s="76" cm="1">
        <f t="array" aca="1" ref="D8" ca="1">INDIRECT("'Java Impact of Optimization'!G" &amp; 4 + (ROW(A4)-1)*4)</f>
        <v>170.18</v>
      </c>
      <c r="E8" s="75" cm="1">
        <f t="array" aca="1" ref="E8" ca="1">INDIRECT("'Java Impact of Optimization'!T" &amp; 3 + (ROW(A4)-1)*4)*100</f>
        <v>-98.596574215536492</v>
      </c>
      <c r="F8" s="76" cm="1">
        <f t="array" aca="1" ref="F8" ca="1">INDIRECT("'Java Impact of Optimization'!R" &amp; 3 + (ROW(A4)-1)*4)</f>
        <v>60.568556000000001</v>
      </c>
      <c r="G8" s="76" cm="1">
        <f t="array" aca="1" ref="G8" ca="1">INDIRECT("'Java Impact of Optimization'!R" &amp; 4 + (ROW(A4)-1)*4)</f>
        <v>3873.296800000001</v>
      </c>
      <c r="H8" s="75" cm="1">
        <f t="array" aca="1" ref="H8" ca="1">INDIRECT("'Java Impact of Optimization'!W" &amp; 3 + (ROW(A4)-1)*4)*100</f>
        <v>-98.442063507151587</v>
      </c>
      <c r="I8" s="77" t="s">
        <v>160</v>
      </c>
      <c r="J8" s="76" cm="1">
        <f t="array" aca="1" ref="J8" ca="1">INDIRECT("'Java Impact of Optimization'!G" &amp; 5 + (ROW(A4)-1)*4)</f>
        <v>0.20988000000000001</v>
      </c>
      <c r="K8" s="76" cm="1">
        <f t="array" aca="1" ref="K8" ca="1">INDIRECT("'Java Impact of Optimization'!G" &amp; 6 + (ROW(A4)-1)*4)</f>
        <v>33.97</v>
      </c>
      <c r="L8" s="75" cm="1">
        <f t="array" aca="1" ref="L8" ca="1">INDIRECT("'Java Impact of Optimization'!T" &amp; 5 + (ROW(A4)-1)*4)*100</f>
        <v>-99.382160730055929</v>
      </c>
      <c r="M8" s="76" cm="1">
        <f t="array" aca="1" ref="M8" ca="1">INDIRECT("'Java Impact of Optimization'!R" &amp; 5 + (ROW(A4)-1)*4)</f>
        <v>4.8230424000000003</v>
      </c>
      <c r="N8" s="76" cm="1">
        <f t="array" aca="1" ref="N8" ca="1">INDIRECT("'Java Impact of Optimization'!R" &amp; 6 + (ROW(A4)-1)*4)</f>
        <v>659.69740000000002</v>
      </c>
      <c r="O8" s="75" cm="1">
        <f t="array" aca="1" ref="O8" ca="1">INDIRECT("'Java Impact of Optimization'!W" &amp; 5 + (ROW(A4)-1)*4)*100</f>
        <v>-99.309988355159803</v>
      </c>
      <c r="P8" s="75">
        <f t="shared" ca="1" si="0"/>
        <v>-98.876025931155695</v>
      </c>
      <c r="R8" s="56" t="s">
        <v>167</v>
      </c>
      <c r="S8" s="29" t="str" cm="1">
        <f t="array" aca="1" ref="S8" ca="1">_xlfn.TEXTJOIN(", ", TRUE, IF((H5:H30 &gt; -25) * (H5:H30 &lt;= -3), B5:B30, ""))</f>
        <v/>
      </c>
      <c r="U8" s="56" t="s">
        <v>167</v>
      </c>
      <c r="V8" s="29" t="str" cm="1">
        <f t="array" aca="1" ref="V8" ca="1">_xlfn.TEXTJOIN(", ", TRUE, IF((O5:O30 &gt; -25) * (O5:O30 &lt;= -3), I5:I30, ""))</f>
        <v/>
      </c>
    </row>
    <row r="9" spans="2:22" x14ac:dyDescent="0.25">
      <c r="B9" s="77" t="s">
        <v>159</v>
      </c>
      <c r="C9" s="76" cm="1">
        <f t="array" aca="1" ref="C9" ca="1">INDIRECT("'Java Impact of Optimization'!G" &amp; 3 + (ROW(A5)-1)*4)</f>
        <v>2.094E-2</v>
      </c>
      <c r="D9" s="76" cm="1">
        <f t="array" aca="1" ref="D9" ca="1">INDIRECT("'Java Impact of Optimization'!G" &amp; 4 + (ROW(A5)-1)*4)</f>
        <v>3.7</v>
      </c>
      <c r="E9" s="75" cm="1">
        <f t="array" aca="1" ref="E9" ca="1">INDIRECT("'Java Impact of Optimization'!T" &amp; 3 + (ROW(A5)-1)*4)*100</f>
        <v>-99.434054054054059</v>
      </c>
      <c r="F9" s="76" cm="1">
        <f t="array" aca="1" ref="F9" ca="1">INDIRECT("'Java Impact of Optimization'!R" &amp; 3 + (ROW(A5)-1)*4)</f>
        <v>0.43722720000000004</v>
      </c>
      <c r="G9" s="76" cm="1">
        <f t="array" aca="1" ref="G9" ca="1">INDIRECT("'Java Impact of Optimization'!R" &amp; 4 + (ROW(A5)-1)*4)</f>
        <v>80.40100000000001</v>
      </c>
      <c r="H9" s="75" cm="1">
        <f t="array" aca="1" ref="H9" ca="1">INDIRECT("'Java Impact of Optimization'!W" &amp; 3 + (ROW(A5)-1)*4)*100</f>
        <v>-99.433486291267187</v>
      </c>
      <c r="I9" s="77" t="s">
        <v>159</v>
      </c>
      <c r="J9" s="76" cm="1">
        <f t="array" aca="1" ref="J9" ca="1">INDIRECT("'Java Impact of Optimization'!G" &amp; 5 + (ROW(A5)-1)*4)</f>
        <v>2.094E-2</v>
      </c>
      <c r="K9" s="76" cm="1">
        <f t="array" aca="1" ref="K9" ca="1">INDIRECT("'Java Impact of Optimization'!G" &amp; 6 + (ROW(A5)-1)*4)</f>
        <v>3.786</v>
      </c>
      <c r="L9" s="75" cm="1">
        <f t="array" aca="1" ref="L9" ca="1">INDIRECT("'Java Impact of Optimization'!T" &amp; 5 + (ROW(A5)-1)*4)*100</f>
        <v>-99.44690966719493</v>
      </c>
      <c r="M9" s="76" cm="1">
        <f t="array" aca="1" ref="M9" ca="1">INDIRECT("'Java Impact of Optimization'!R" &amp; 5 + (ROW(A5)-1)*4)</f>
        <v>0.43659900000000001</v>
      </c>
      <c r="N9" s="76" cm="1">
        <f t="array" aca="1" ref="N9" ca="1">INDIRECT("'Java Impact of Optimization'!R" &amp; 6 + (ROW(A5)-1)*4)</f>
        <v>81.399000000000001</v>
      </c>
      <c r="O9" s="75" cm="1">
        <f t="array" aca="1" ref="O9" ca="1">INDIRECT("'Java Impact of Optimization'!W" &amp; 5 + (ROW(A5)-1)*4)*100</f>
        <v>-99.4415289748612</v>
      </c>
      <c r="P9" s="75">
        <f t="shared" ca="1" si="0"/>
        <v>-99.4375076330642</v>
      </c>
      <c r="R9" s="57" t="s">
        <v>163</v>
      </c>
      <c r="S9" s="29" t="str" cm="1">
        <f t="array" aca="1" ref="S9" ca="1">_xlfn.TEXTJOIN(", ", TRUE, IF((H5:H30 &gt; -3) * (H5:H30 &lt; 3), B5:B30, ""))</f>
        <v/>
      </c>
      <c r="U9" s="57" t="s">
        <v>163</v>
      </c>
      <c r="V9" s="29" t="str" cm="1">
        <f t="array" aca="1" ref="V9" ca="1">_xlfn.TEXTJOIN(", ", TRUE, IF((O5:O30 &gt; -3) * (O5:O30 &lt; 3), I5:I30, ""))</f>
        <v/>
      </c>
    </row>
    <row r="10" spans="2:22" x14ac:dyDescent="0.25">
      <c r="B10" s="77" t="s">
        <v>19</v>
      </c>
      <c r="C10" s="76" cm="1">
        <f t="array" aca="1" ref="C10" ca="1">INDIRECT("'Java Impact of Optimization'!G" &amp; 3 + (ROW(A6)-1)*4)</f>
        <v>37.073</v>
      </c>
      <c r="D10" s="76" cm="1">
        <f t="array" aca="1" ref="D10" ca="1">INDIRECT("'Java Impact of Optimization'!G" &amp; 4 + (ROW(A6)-1)*4)</f>
        <v>90.191000000000003</v>
      </c>
      <c r="E10" s="75" cm="1">
        <f t="array" aca="1" ref="E10" ca="1">INDIRECT("'Java Impact of Optimization'!T" &amp; 3 + (ROW(A6)-1)*4)*100</f>
        <v>-58.895011697397749</v>
      </c>
      <c r="F10" s="76" cm="1">
        <f t="array" aca="1" ref="F10" ca="1">INDIRECT("'Java Impact of Optimization'!R" &amp; 3 + (ROW(A6)-1)*4)</f>
        <v>1066.21948</v>
      </c>
      <c r="G10" s="76" cm="1">
        <f t="array" aca="1" ref="G10" ca="1">INDIRECT("'Java Impact of Optimization'!R" &amp; 4 + (ROW(A6)-1)*4)</f>
        <v>2390.9634099999998</v>
      </c>
      <c r="H10" s="75" cm="1">
        <f t="array" aca="1" ref="H10" ca="1">INDIRECT("'Java Impact of Optimization'!W" &amp; 3 + (ROW(A6)-1)*4)*100</f>
        <v>-57.173731740114931</v>
      </c>
      <c r="I10" s="77" t="s">
        <v>19</v>
      </c>
      <c r="J10" s="76" cm="1">
        <f t="array" aca="1" ref="J10" ca="1">INDIRECT("'Java Impact of Optimization'!G" &amp; 5 + (ROW(A6)-1)*4)</f>
        <v>2.1030000000000004E-2</v>
      </c>
      <c r="K10" s="76" cm="1">
        <f t="array" aca="1" ref="K10" ca="1">INDIRECT("'Java Impact of Optimization'!G" &amp; 6 + (ROW(A6)-1)*4)</f>
        <v>3.9079999999999999</v>
      </c>
      <c r="L10" s="75" cm="1">
        <f t="array" aca="1" ref="L10" ca="1">INDIRECT("'Java Impact of Optimization'!T" &amp; 5 + (ROW(A6)-1)*4)*100</f>
        <v>-99.461873080859775</v>
      </c>
      <c r="M10" s="76" cm="1">
        <f t="array" aca="1" ref="M10" ca="1">INDIRECT("'Java Impact of Optimization'!R" &amp; 5 + (ROW(A6)-1)*4)</f>
        <v>0.42817079999999996</v>
      </c>
      <c r="N10" s="76" cm="1">
        <f t="array" aca="1" ref="N10" ca="1">INDIRECT("'Java Impact of Optimization'!R" &amp; 6 + (ROW(A6)-1)*4)</f>
        <v>79.801360000000003</v>
      </c>
      <c r="O10" s="75" cm="1">
        <f t="array" aca="1" ref="O10" ca="1">INDIRECT("'Java Impact of Optimization'!W" &amp; 5 + (ROW(A6)-1)*4)*100</f>
        <v>-99.46348942431996</v>
      </c>
      <c r="P10" s="75">
        <f t="shared" ca="1" si="0"/>
        <v>-78.318610582217445</v>
      </c>
      <c r="R10" s="58" t="s">
        <v>164</v>
      </c>
      <c r="S10" s="29" t="str" cm="1">
        <f t="array" aca="1" ref="S10" ca="1">_xlfn.TEXTJOIN(", ", TRUE, IF((H5:H30 &gt;= 3) * (H5:H30 &lt; 25), B5:B30, ""))</f>
        <v/>
      </c>
      <c r="U10" s="58" t="s">
        <v>164</v>
      </c>
      <c r="V10" s="29" t="str" cm="1">
        <f t="array" aca="1" ref="V10" ca="1">_xlfn.TEXTJOIN(", ", TRUE, IF((O5:O30 &gt;= 3) * (O5:O30 &lt; 25), I5:I30, ""))</f>
        <v/>
      </c>
    </row>
    <row r="11" spans="2:22" x14ac:dyDescent="0.25">
      <c r="B11" s="77" t="s">
        <v>21</v>
      </c>
      <c r="C11" s="76" cm="1">
        <f t="array" aca="1" ref="C11" ca="1">INDIRECT("'Java Impact of Optimization'!G" &amp; 3 + (ROW(A7)-1)*4)</f>
        <v>0.21390999999999999</v>
      </c>
      <c r="D11" s="76" cm="1">
        <f t="array" aca="1" ref="D11" ca="1">INDIRECT("'Java Impact of Optimization'!G" &amp; 4 + (ROW(A7)-1)*4)</f>
        <v>14.137</v>
      </c>
      <c r="E11" s="75" cm="1">
        <f t="array" aca="1" ref="E11" ca="1">INDIRECT("'Java Impact of Optimization'!T" &amp; 3 + (ROW(A7)-1)*4)*100</f>
        <v>-98.486878404187593</v>
      </c>
      <c r="F11" s="76" cm="1">
        <f t="array" aca="1" ref="F11" ca="1">INDIRECT("'Java Impact of Optimization'!R" &amp; 3 + (ROW(A7)-1)*4)</f>
        <v>4.3765986000000003</v>
      </c>
      <c r="G11" s="76" cm="1">
        <f t="array" aca="1" ref="G11" ca="1">INDIRECT("'Java Impact of Optimization'!R" &amp; 4 + (ROW(A7)-1)*4)</f>
        <v>398.94614000000001</v>
      </c>
      <c r="H11" s="75" cm="1">
        <f t="array" aca="1" ref="H11" ca="1">INDIRECT("'Java Impact of Optimization'!W" &amp; 3 + (ROW(A7)-1)*4)*100</f>
        <v>-98.785406380813669</v>
      </c>
      <c r="I11" s="77" t="s">
        <v>21</v>
      </c>
      <c r="J11" s="76" cm="1">
        <f t="array" aca="1" ref="J11" ca="1">INDIRECT("'Java Impact of Optimization'!G" &amp; 5 + (ROW(A7)-1)*4)</f>
        <v>2.1030000000000004E-2</v>
      </c>
      <c r="K11" s="76" cm="1">
        <f t="array" aca="1" ref="K11" ca="1">INDIRECT("'Java Impact of Optimization'!G" &amp; 6 + (ROW(A7)-1)*4)</f>
        <v>9.5370000000000008</v>
      </c>
      <c r="L11" s="75" cm="1">
        <f t="array" aca="1" ref="L11" ca="1">INDIRECT("'Java Impact of Optimization'!T" &amp; 5 + (ROW(A7)-1)*4)*100</f>
        <v>-99.779490405787982</v>
      </c>
      <c r="M11" s="76" cm="1">
        <f t="array" aca="1" ref="M11" ca="1">INDIRECT("'Java Impact of Optimization'!R" &amp; 5 + (ROW(A7)-1)*4)</f>
        <v>0.43679310000000005</v>
      </c>
      <c r="N11" s="76" cm="1">
        <f t="array" aca="1" ref="N11" ca="1">INDIRECT("'Java Impact of Optimization'!R" &amp; 6 + (ROW(A7)-1)*4)</f>
        <v>314.81637000000001</v>
      </c>
      <c r="O11" s="75" cm="1">
        <f t="array" aca="1" ref="O11" ca="1">INDIRECT("'Java Impact of Optimization'!W" &amp; 5 + (ROW(A7)-1)*4)*100</f>
        <v>-99.808442275111105</v>
      </c>
      <c r="P11" s="75">
        <f t="shared" ca="1" si="0"/>
        <v>-99.296924327962387</v>
      </c>
      <c r="R11" s="59" t="s">
        <v>165</v>
      </c>
      <c r="S11" s="29" t="str" cm="1">
        <f t="array" aca="1" ref="S11" ca="1">_xlfn.TEXTJOIN(", ", TRUE, IF((H5:H30 &gt;= 25) * (H5:H30 &lt; 75), B5:B30, ""))</f>
        <v/>
      </c>
      <c r="U11" s="59" t="s">
        <v>165</v>
      </c>
      <c r="V11" s="29" t="str" cm="1">
        <f t="array" aca="1" ref="V11" ca="1">_xlfn.TEXTJOIN(", ", TRUE, IF((O5:O30 &gt;= 25) * (O5:O30 &lt; 75), I5:I30, ""))</f>
        <v/>
      </c>
    </row>
    <row r="12" spans="2:22" x14ac:dyDescent="0.25">
      <c r="B12" s="77" t="s">
        <v>23</v>
      </c>
      <c r="C12" s="76" cm="1">
        <f t="array" aca="1" ref="C12" ca="1">INDIRECT("'Java Impact of Optimization'!G" &amp; 3 + (ROW(A8)-1)*4)</f>
        <v>2.094E-2</v>
      </c>
      <c r="D12" s="76" cm="1">
        <f t="array" aca="1" ref="D12" ca="1">INDIRECT("'Java Impact of Optimization'!G" &amp; 4 + (ROW(A8)-1)*4)</f>
        <v>13.753</v>
      </c>
      <c r="E12" s="75" cm="1">
        <f t="array" aca="1" ref="E12" ca="1">INDIRECT("'Java Impact of Optimization'!T" &amp; 3 + (ROW(A8)-1)*4)*100</f>
        <v>-99.847742310768567</v>
      </c>
      <c r="F12" s="76" cm="1">
        <f t="array" aca="1" ref="F12" ca="1">INDIRECT("'Java Impact of Optimization'!R" &amp; 3 + (ROW(A8)-1)*4)</f>
        <v>0.42906059999999996</v>
      </c>
      <c r="G12" s="76" cm="1">
        <f t="array" aca="1" ref="G12" ca="1">INDIRECT("'Java Impact of Optimization'!R" &amp; 4 + (ROW(A8)-1)*4)</f>
        <v>272.03433999999999</v>
      </c>
      <c r="H12" s="75" cm="1">
        <f t="array" aca="1" ref="H12" ca="1">INDIRECT("'Java Impact of Optimization'!W" &amp; 3 + (ROW(A8)-1)*4)*100</f>
        <v>-99.835794953556572</v>
      </c>
      <c r="I12" s="77" t="s">
        <v>23</v>
      </c>
      <c r="J12" s="76" cm="1">
        <f t="array" aca="1" ref="J12" ca="1">INDIRECT("'Java Impact of Optimization'!G" &amp; 5 + (ROW(A8)-1)*4)</f>
        <v>2.094E-2</v>
      </c>
      <c r="K12" s="76" cm="1">
        <f t="array" aca="1" ref="K12" ca="1">INDIRECT("'Java Impact of Optimization'!G" &amp; 6 + (ROW(A8)-1)*4)</f>
        <v>8.9060000000000006</v>
      </c>
      <c r="L12" s="75" cm="1">
        <f t="array" aca="1" ref="L12" ca="1">INDIRECT("'Java Impact of Optimization'!T" &amp; 5 + (ROW(A8)-1)*4)*100</f>
        <v>-99.764877610599598</v>
      </c>
      <c r="M12" s="76" cm="1">
        <f t="array" aca="1" ref="M12" ca="1">INDIRECT("'Java Impact of Optimization'!R" &amp; 5 + (ROW(A8)-1)*4)</f>
        <v>0.42926999999999998</v>
      </c>
      <c r="N12" s="76" cm="1">
        <f t="array" aca="1" ref="N12" ca="1">INDIRECT("'Java Impact of Optimization'!R" &amp; 6 + (ROW(A8)-1)*4)</f>
        <v>174.20135999999999</v>
      </c>
      <c r="O12" s="75" cm="1">
        <f t="array" aca="1" ref="O12" ca="1">INDIRECT("'Java Impact of Optimization'!W" &amp; 5 + (ROW(A8)-1)*4)*100</f>
        <v>-99.743954533449383</v>
      </c>
      <c r="P12" s="75">
        <f t="shared" ca="1" si="0"/>
        <v>-99.789874743502978</v>
      </c>
      <c r="R12" s="60" t="s">
        <v>166</v>
      </c>
      <c r="S12" s="38" t="str" cm="1">
        <f t="array" aca="1" ref="S12" ca="1">_xlfn.TEXTJOIN(", ", TRUE, IF(H5:H30 &gt;= 75, B5:B30, ""))</f>
        <v/>
      </c>
      <c r="U12" s="60" t="s">
        <v>166</v>
      </c>
      <c r="V12" s="38" t="str" cm="1">
        <f t="array" aca="1" ref="V12" ca="1">_xlfn.TEXTJOIN(", ", TRUE, IF(O5:O30 &gt;= 75, I5:I30, ""))</f>
        <v/>
      </c>
    </row>
    <row r="13" spans="2:22" x14ac:dyDescent="0.25">
      <c r="B13" s="77" t="s">
        <v>25</v>
      </c>
      <c r="C13" s="76" cm="1">
        <f t="array" aca="1" ref="C13" ca="1">INDIRECT("'Java Impact of Optimization'!G" &amp; 3 + (ROW(A9)-1)*4)</f>
        <v>0.10996</v>
      </c>
      <c r="D13" s="76" cm="1">
        <f t="array" aca="1" ref="D13" ca="1">INDIRECT("'Java Impact of Optimization'!G" &amp; 4 + (ROW(A9)-1)*4)</f>
        <v>234.94</v>
      </c>
      <c r="E13" s="75" cm="1">
        <f t="array" aca="1" ref="E13" ca="1">INDIRECT("'Java Impact of Optimization'!T" &amp; 3 + (ROW(A9)-1)*4)*100</f>
        <v>-99.95319656082404</v>
      </c>
      <c r="F13" s="76" cm="1">
        <f t="array" aca="1" ref="F13" ca="1">INDIRECT("'Java Impact of Optimization'!R" &amp; 3 + (ROW(A9)-1)*4)</f>
        <v>2.2893672</v>
      </c>
      <c r="G13" s="76" cm="1">
        <f t="array" aca="1" ref="G13" ca="1">INDIRECT("'Java Impact of Optimization'!R" &amp; 4 + (ROW(A9)-1)*4)</f>
        <v>4931.3905999999997</v>
      </c>
      <c r="H13" s="75" cm="1">
        <f t="array" aca="1" ref="H13" ca="1">INDIRECT("'Java Impact of Optimization'!W" &amp; 3 + (ROW(A9)-1)*4)*100</f>
        <v>-99.9503376742108</v>
      </c>
      <c r="I13" s="77" t="s">
        <v>25</v>
      </c>
      <c r="J13" s="76" cm="1">
        <f t="array" aca="1" ref="J13" ca="1">INDIRECT("'Java Impact of Optimization'!G" &amp; 5 + (ROW(A9)-1)*4)</f>
        <v>2.6179999999999998E-2</v>
      </c>
      <c r="K13" s="76" cm="1">
        <f t="array" aca="1" ref="K13" ca="1">INDIRECT("'Java Impact of Optimization'!G" &amp; 6 + (ROW(A9)-1)*4)</f>
        <v>218.54</v>
      </c>
      <c r="L13" s="75" cm="1">
        <f t="array" aca="1" ref="L13" ca="1">INDIRECT("'Java Impact of Optimization'!T" &amp; 5 + (ROW(A9)-1)*4)*100</f>
        <v>-99.988020499679692</v>
      </c>
      <c r="M13" s="76" cm="1">
        <f t="array" aca="1" ref="M13" ca="1">INDIRECT("'Java Impact of Optimization'!R" &amp; 5 + (ROW(A9)-1)*4)</f>
        <v>0.56365540000000003</v>
      </c>
      <c r="N13" s="76" cm="1">
        <f t="array" aca="1" ref="N13" ca="1">INDIRECT("'Java Impact of Optimization'!R" &amp; 6 + (ROW(A9)-1)*4)</f>
        <v>4565.3005999999996</v>
      </c>
      <c r="O13" s="75" cm="1">
        <f t="array" aca="1" ref="O13" ca="1">INDIRECT("'Java Impact of Optimization'!W" &amp; 5 + (ROW(A9)-1)*4)*100</f>
        <v>-99.986321107324827</v>
      </c>
      <c r="P13" s="75">
        <f t="shared" ca="1" si="0"/>
        <v>-99.968329390767821</v>
      </c>
    </row>
    <row r="14" spans="2:22" x14ac:dyDescent="0.25">
      <c r="B14" s="77" t="s">
        <v>31</v>
      </c>
      <c r="C14" s="76" cm="1">
        <f t="array" aca="1" ref="C14" ca="1">INDIRECT("'Java Impact of Optimization'!G" &amp; 3 + (ROW(A10)-1)*4)</f>
        <v>1.5709999999999998E-2</v>
      </c>
      <c r="D14" s="76" cm="1">
        <f t="array" aca="1" ref="D14" ca="1">INDIRECT("'Java Impact of Optimization'!G" &amp; 4 + (ROW(A10)-1)*4)</f>
        <v>7.5910000000000002</v>
      </c>
      <c r="E14" s="75" cm="1">
        <f t="array" aca="1" ref="E14" ca="1">INDIRECT("'Java Impact of Optimization'!T" &amp; 3 + (ROW(A10)-1)*4)*100</f>
        <v>-99.793044394677892</v>
      </c>
      <c r="F14" s="76" cm="1">
        <f t="array" aca="1" ref="F14" ca="1">INDIRECT("'Java Impact of Optimization'!R" &amp; 3 + (ROW(A10)-1)*4)</f>
        <v>0.29126340000000001</v>
      </c>
      <c r="G14" s="76" cm="1">
        <f t="array" aca="1" ref="G14" ca="1">INDIRECT("'Java Impact of Optimization'!R" &amp; 4 + (ROW(A10)-1)*4)</f>
        <v>151.74409</v>
      </c>
      <c r="H14" s="75" cm="1">
        <f t="array" aca="1" ref="H14" ca="1">INDIRECT("'Java Impact of Optimization'!W" &amp; 3 + (ROW(A10)-1)*4)*100</f>
        <v>-99.780792012607449</v>
      </c>
      <c r="I14" s="77" t="s">
        <v>31</v>
      </c>
      <c r="J14" s="76" cm="1">
        <f t="array" aca="1" ref="J14" ca="1">INDIRECT("'Java Impact of Optimization'!G" &amp; 5 + (ROW(A10)-1)*4)</f>
        <v>2.0950000000000003E-2</v>
      </c>
      <c r="K14" s="76" cm="1">
        <f t="array" aca="1" ref="K14" ca="1">INDIRECT("'Java Impact of Optimization'!G" &amp; 6 + (ROW(A10)-1)*4)</f>
        <v>9.0280000000000005</v>
      </c>
      <c r="L14" s="75" cm="1">
        <f t="array" aca="1" ref="L14" ca="1">INDIRECT("'Java Impact of Optimization'!T" &amp; 5 + (ROW(A10)-1)*4)*100</f>
        <v>-99.767944173681883</v>
      </c>
      <c r="M14" s="76" cm="1">
        <f t="array" aca="1" ref="M14" ca="1">INDIRECT("'Java Impact of Optimization'!R" &amp; 5 + (ROW(A10)-1)*4)</f>
        <v>0.42486600000000002</v>
      </c>
      <c r="N14" s="76" cm="1">
        <f t="array" aca="1" ref="N14" ca="1">INDIRECT("'Java Impact of Optimization'!R" &amp; 6 + (ROW(A10)-1)*4)</f>
        <v>177.03908000000001</v>
      </c>
      <c r="O14" s="75" cm="1">
        <f t="array" aca="1" ref="O14" ca="1">INDIRECT("'Java Impact of Optimization'!W" &amp; 5 + (ROW(A10)-1)*4)*100</f>
        <v>-99.741049224226103</v>
      </c>
      <c r="P14" s="75">
        <f t="shared" ca="1" si="0"/>
        <v>-99.760920618416776</v>
      </c>
    </row>
    <row r="15" spans="2:22" x14ac:dyDescent="0.25">
      <c r="B15" s="77" t="s">
        <v>33</v>
      </c>
      <c r="C15" s="76" cm="1">
        <f t="array" aca="1" ref="C15" ca="1">INDIRECT("'Java Impact of Optimization'!G" &amp; 3 + (ROW(A11)-1)*4)</f>
        <v>2.0950000000000003E-2</v>
      </c>
      <c r="D15" s="76" cm="1">
        <f t="array" aca="1" ref="D15" ca="1">INDIRECT("'Java Impact of Optimization'!G" &amp; 4 + (ROW(A11)-1)*4)</f>
        <v>9.32</v>
      </c>
      <c r="E15" s="75" cm="1">
        <f t="array" aca="1" ref="E15" ca="1">INDIRECT("'Java Impact of Optimization'!T" &amp; 3 + (ROW(A11)-1)*4)*100</f>
        <v>-99.775214592274679</v>
      </c>
      <c r="F15" s="76" cm="1">
        <f t="array" aca="1" ref="F15" ca="1">INDIRECT("'Java Impact of Optimization'!R" &amp; 3 + (ROW(A11)-1)*4)</f>
        <v>0.42612299999999997</v>
      </c>
      <c r="G15" s="76" cm="1">
        <f t="array" aca="1" ref="G15" ca="1">INDIRECT("'Java Impact of Optimization'!R" &amp; 4 + (ROW(A11)-1)*4)</f>
        <v>182.48560000000001</v>
      </c>
      <c r="H15" s="75" cm="1">
        <f t="array" aca="1" ref="H15" ca="1">INDIRECT("'Java Impact of Optimization'!W" &amp; 3 + (ROW(A11)-1)*4)*100</f>
        <v>-99.754524598296186</v>
      </c>
      <c r="I15" s="77" t="s">
        <v>33</v>
      </c>
      <c r="J15" s="76" cm="1">
        <f t="array" aca="1" ref="J15" ca="1">INDIRECT("'Java Impact of Optimization'!G" &amp; 5 + (ROW(A11)-1)*4)</f>
        <v>2.094E-2</v>
      </c>
      <c r="K15" s="76" cm="1">
        <f t="array" aca="1" ref="K15" ca="1">INDIRECT("'Java Impact of Optimization'!G" &amp; 6 + (ROW(A11)-1)*4)</f>
        <v>8.8230000000000004</v>
      </c>
      <c r="L15" s="75" cm="1">
        <f t="array" aca="1" ref="L15" ca="1">INDIRECT("'Java Impact of Optimization'!T" &amp; 5 + (ROW(A11)-1)*4)*100</f>
        <v>-99.762665759945605</v>
      </c>
      <c r="M15" s="76" cm="1">
        <f t="array" aca="1" ref="M15" ca="1">INDIRECT("'Java Impact of Optimization'!R" &amp; 5 + (ROW(A11)-1)*4)</f>
        <v>0.427176</v>
      </c>
      <c r="N15" s="76" cm="1">
        <f t="array" aca="1" ref="N15" ca="1">INDIRECT("'Java Impact of Optimization'!R" &amp; 6 + (ROW(A11)-1)*4)</f>
        <v>172.40142</v>
      </c>
      <c r="O15" s="75" cm="1">
        <f t="array" aca="1" ref="O15" ca="1">INDIRECT("'Java Impact of Optimization'!W" &amp; 5 + (ROW(A11)-1)*4)*100</f>
        <v>-99.741755746805339</v>
      </c>
      <c r="P15" s="75">
        <f t="shared" ca="1" si="0"/>
        <v>-99.748140172550762</v>
      </c>
    </row>
    <row r="16" spans="2:22" x14ac:dyDescent="0.25">
      <c r="B16" s="77" t="s">
        <v>37</v>
      </c>
      <c r="C16" s="76" cm="1">
        <f t="array" aca="1" ref="C16" ca="1">INDIRECT("'Java Impact of Optimization'!G" &amp; 3 + (ROW(A12)-1)*4)</f>
        <v>2.0419999999999998</v>
      </c>
      <c r="D16" s="76" cm="1">
        <f t="array" aca="1" ref="D16" ca="1">INDIRECT("'Java Impact of Optimization'!G" &amp; 4 + (ROW(A12)-1)*4)</f>
        <v>60.16</v>
      </c>
      <c r="E16" s="75" cm="1">
        <f t="array" aca="1" ref="E16" ca="1">INDIRECT("'Java Impact of Optimization'!T" &amp; 3 + (ROW(A12)-1)*4)*100</f>
        <v>-96.605718085106389</v>
      </c>
      <c r="F16" s="76" cm="1">
        <f t="array" aca="1" ref="F16" ca="1">INDIRECT("'Java Impact of Optimization'!R" &amp; 3 + (ROW(A12)-1)*4)</f>
        <v>33.897199999999998</v>
      </c>
      <c r="G16" s="76" cm="1">
        <f t="array" aca="1" ref="G16" ca="1">INDIRECT("'Java Impact of Optimization'!R" &amp; 4 + (ROW(A12)-1)*4)</f>
        <v>1488.3584000000001</v>
      </c>
      <c r="H16" s="75" cm="1">
        <f t="array" aca="1" ref="H16" ca="1">INDIRECT("'Java Impact of Optimization'!W" &amp; 3 + (ROW(A12)-1)*4)*100</f>
        <v>-97.079919234981233</v>
      </c>
      <c r="I16" s="77" t="s">
        <v>37</v>
      </c>
      <c r="J16" s="76" cm="1">
        <f t="array" aca="1" ref="J16" ca="1">INDIRECT("'Java Impact of Optimization'!G" &amp; 5 + (ROW(A12)-1)*4)</f>
        <v>1.571</v>
      </c>
      <c r="K16" s="76" cm="1">
        <f t="array" aca="1" ref="K16" ca="1">INDIRECT("'Java Impact of Optimization'!G" &amp; 6 + (ROW(A12)-1)*4)</f>
        <v>53.625</v>
      </c>
      <c r="L16" s="75" cm="1">
        <f t="array" aca="1" ref="L16" ca="1">INDIRECT("'Java Impact of Optimization'!T" &amp; 5 + (ROW(A12)-1)*4)*100</f>
        <v>-97.070396270396273</v>
      </c>
      <c r="M16" s="76" cm="1">
        <f t="array" aca="1" ref="M16" ca="1">INDIRECT("'Java Impact of Optimization'!R" &amp; 5 + (ROW(A12)-1)*4)</f>
        <v>29.911840000000002</v>
      </c>
      <c r="N16" s="76" cm="1">
        <f t="array" aca="1" ref="N16" ca="1">INDIRECT("'Java Impact of Optimization'!R" &amp; 6 + (ROW(A12)-1)*4)</f>
        <v>1333.6537499999999</v>
      </c>
      <c r="O16" s="75" cm="1">
        <f t="array" aca="1" ref="O16" ca="1">INDIRECT("'Java Impact of Optimization'!W" &amp; 5 + (ROW(A12)-1)*4)*100</f>
        <v>-97.282887069907616</v>
      </c>
      <c r="P16" s="75">
        <f t="shared" ca="1" si="0"/>
        <v>-97.181403152444432</v>
      </c>
    </row>
    <row r="17" spans="2:16" x14ac:dyDescent="0.25">
      <c r="B17" s="77" t="s">
        <v>39</v>
      </c>
      <c r="C17" s="76" cm="1">
        <f t="array" aca="1" ref="C17" ca="1">INDIRECT("'Java Impact of Optimization'!G" &amp; 3 + (ROW(A13)-1)*4)</f>
        <v>0.49673</v>
      </c>
      <c r="D17" s="76" cm="1">
        <f t="array" aca="1" ref="D17" ca="1">INDIRECT("'Java Impact of Optimization'!G" &amp; 4 + (ROW(A13)-1)*4)</f>
        <v>29.381</v>
      </c>
      <c r="E17" s="75" cm="1">
        <f t="array" aca="1" ref="E17" ca="1">INDIRECT("'Java Impact of Optimization'!T" &amp; 3 + (ROW(A13)-1)*4)*100</f>
        <v>-98.309349579660321</v>
      </c>
      <c r="F17" s="76" cm="1">
        <f t="array" aca="1" ref="F17" ca="1">INDIRECT("'Java Impact of Optimization'!R" &amp; 3 + (ROW(A13)-1)*4)</f>
        <v>11.6930242</v>
      </c>
      <c r="G17" s="76" cm="1">
        <f t="array" aca="1" ref="G17" ca="1">INDIRECT("'Java Impact of Optimization'!R" &amp; 4 + (ROW(A13)-1)*4)</f>
        <v>738.34452999999996</v>
      </c>
      <c r="H17" s="75" cm="1">
        <f t="array" aca="1" ref="H17" ca="1">INDIRECT("'Java Impact of Optimization'!W" &amp; 3 + (ROW(A13)-1)*4)*100</f>
        <v>-98.458871323257341</v>
      </c>
      <c r="I17" s="77" t="s">
        <v>39</v>
      </c>
      <c r="J17" s="76" cm="1">
        <f t="array" aca="1" ref="J17" ca="1">INDIRECT("'Java Impact of Optimization'!G" &amp; 5 + (ROW(A13)-1)*4)</f>
        <v>1.0768200000000001</v>
      </c>
      <c r="K17" s="76" cm="1">
        <f t="array" aca="1" ref="K17" ca="1">INDIRECT("'Java Impact of Optimization'!G" &amp; 6 + (ROW(A13)-1)*4)</f>
        <v>21.047999999999998</v>
      </c>
      <c r="L17" s="75" cm="1">
        <f t="array" aca="1" ref="L17" ca="1">INDIRECT("'Java Impact of Optimization'!T" &amp; 5 + (ROW(A13)-1)*4)*100</f>
        <v>-94.883979475484608</v>
      </c>
      <c r="M17" s="76" cm="1">
        <f t="array" aca="1" ref="M17" ca="1">INDIRECT("'Java Impact of Optimization'!R" &amp; 5 + (ROW(A13)-1)*4)</f>
        <v>20.804162399999999</v>
      </c>
      <c r="N17" s="76" cm="1">
        <f t="array" aca="1" ref="N17" ca="1">INDIRECT("'Java Impact of Optimization'!R" &amp; 6 + (ROW(A13)-1)*4)</f>
        <v>524.09519999999998</v>
      </c>
      <c r="O17" s="75" cm="1">
        <f t="array" aca="1" ref="O17" ca="1">INDIRECT("'Java Impact of Optimization'!W" &amp; 5 + (ROW(A13)-1)*4)*100</f>
        <v>-96.173708517718495</v>
      </c>
      <c r="P17" s="75">
        <f t="shared" ca="1" si="0"/>
        <v>-97.316289920487918</v>
      </c>
    </row>
    <row r="18" spans="2:16" x14ac:dyDescent="0.25">
      <c r="B18" s="77" t="s">
        <v>49</v>
      </c>
      <c r="C18" s="76" cm="1">
        <f t="array" aca="1" ref="C18" ca="1">INDIRECT("'Java Impact of Optimization'!G" &amp; 3 + (ROW(A14)-1)*4)</f>
        <v>1.0469999999999999</v>
      </c>
      <c r="D18" s="76" cm="1">
        <f t="array" aca="1" ref="D18" ca="1">INDIRECT("'Java Impact of Optimization'!G" &amp; 4 + (ROW(A14)-1)*4)</f>
        <v>70.203000000000003</v>
      </c>
      <c r="E18" s="75" cm="1">
        <f t="array" aca="1" ref="E18" ca="1">INDIRECT("'Java Impact of Optimization'!T" &amp; 3 + (ROW(A14)-1)*4)*100</f>
        <v>-98.508610743130646</v>
      </c>
      <c r="F18" s="76" cm="1">
        <f t="array" aca="1" ref="F18" ca="1">INDIRECT("'Java Impact of Optimization'!R" &amp; 3 + (ROW(A14)-1)*4)</f>
        <v>19.69407</v>
      </c>
      <c r="G18" s="76" cm="1">
        <f t="array" aca="1" ref="G18" ca="1">INDIRECT("'Java Impact of Optimization'!R" &amp; 4 + (ROW(A14)-1)*4)</f>
        <v>1750.1607899999999</v>
      </c>
      <c r="H18" s="75" cm="1">
        <f t="array" aca="1" ref="H18" ca="1">INDIRECT("'Java Impact of Optimization'!W" &amp; 3 + (ROW(A14)-1)*4)*100</f>
        <v>-98.666128871501186</v>
      </c>
      <c r="I18" s="77" t="s">
        <v>49</v>
      </c>
      <c r="J18" s="76" cm="1">
        <f t="array" aca="1" ref="J18" ca="1">INDIRECT("'Java Impact of Optimization'!G" &amp; 5 + (ROW(A14)-1)*4)</f>
        <v>1.1870000000000001</v>
      </c>
      <c r="K18" s="76" cm="1">
        <f t="array" aca="1" ref="K18" ca="1">INDIRECT("'Java Impact of Optimization'!G" &amp; 6 + (ROW(A14)-1)*4)</f>
        <v>70.268000000000001</v>
      </c>
      <c r="L18" s="75" cm="1">
        <f t="array" aca="1" ref="L18" ca="1">INDIRECT("'Java Impact of Optimization'!T" &amp; 5 + (ROW(A14)-1)*4)*100</f>
        <v>-98.310753116639162</v>
      </c>
      <c r="M18" s="76" cm="1">
        <f t="array" aca="1" ref="M18" ca="1">INDIRECT("'Java Impact of Optimization'!R" &amp; 5 + (ROW(A14)-1)*4)</f>
        <v>21.176079999999999</v>
      </c>
      <c r="N18" s="76" cm="1">
        <f t="array" aca="1" ref="N18" ca="1">INDIRECT("'Java Impact of Optimization'!R" &amp; 6 + (ROW(A14)-1)*4)</f>
        <v>1736.3222800000001</v>
      </c>
      <c r="O18" s="75" cm="1">
        <f t="array" aca="1" ref="O18" ca="1">INDIRECT("'Java Impact of Optimization'!W" &amp; 5 + (ROW(A14)-1)*4)*100</f>
        <v>-98.592088609266085</v>
      </c>
      <c r="P18" s="75">
        <f t="shared" ca="1" si="0"/>
        <v>-98.629108740383629</v>
      </c>
    </row>
    <row r="19" spans="2:16" x14ac:dyDescent="0.25">
      <c r="B19" s="77" t="s">
        <v>51</v>
      </c>
      <c r="C19" s="76" cm="1">
        <f t="array" aca="1" ref="C19" ca="1">INDIRECT("'Java Impact of Optimization'!G" &amp; 3 + (ROW(A15)-1)*4)</f>
        <v>0.72726000000000002</v>
      </c>
      <c r="D19" s="76" cm="1">
        <f t="array" aca="1" ref="D19" ca="1">INDIRECT("'Java Impact of Optimization'!G" &amp; 4 + (ROW(A15)-1)*4)</f>
        <v>73.254000000000005</v>
      </c>
      <c r="E19" s="75" cm="1">
        <f t="array" aca="1" ref="E19" ca="1">INDIRECT("'Java Impact of Optimization'!T" &amp; 3 + (ROW(A15)-1)*4)*100</f>
        <v>-99.007207797526405</v>
      </c>
      <c r="F19" s="76" cm="1">
        <f t="array" aca="1" ref="F19" ca="1">INDIRECT("'Java Impact of Optimization'!R" &amp; 3 + (ROW(A15)-1)*4)</f>
        <v>18.065138400000002</v>
      </c>
      <c r="G19" s="76" cm="1">
        <f t="array" aca="1" ref="G19" ca="1">INDIRECT("'Java Impact of Optimization'!R" &amp; 4 + (ROW(A15)-1)*4)</f>
        <v>1854.0587399999999</v>
      </c>
      <c r="H19" s="75" cm="1">
        <f t="array" aca="1" ref="H19" ca="1">INDIRECT("'Java Impact of Optimization'!W" &amp; 3 + (ROW(A15)-1)*4)*100</f>
        <v>-98.992129709181427</v>
      </c>
      <c r="I19" s="77" t="s">
        <v>51</v>
      </c>
      <c r="J19" s="76" cm="1">
        <f t="array" aca="1" ref="J19" ca="1">INDIRECT("'Java Impact of Optimization'!G" &amp; 5 + (ROW(A15)-1)*4)</f>
        <v>0.71719999999999995</v>
      </c>
      <c r="K19" s="76" cm="1">
        <f t="array" aca="1" ref="K19" ca="1">INDIRECT("'Java Impact of Optimization'!G" &amp; 6 + (ROW(A15)-1)*4)</f>
        <v>53.290999999999997</v>
      </c>
      <c r="L19" s="75" cm="1">
        <f t="array" aca="1" ref="L19" ca="1">INDIRECT("'Java Impact of Optimization'!T" &amp; 5 + (ROW(A15)-1)*4)*100</f>
        <v>-98.654181756769447</v>
      </c>
      <c r="M19" s="76" cm="1">
        <f t="array" aca="1" ref="M19" ca="1">INDIRECT("'Java Impact of Optimization'!R" &amp; 5 + (ROW(A15)-1)*4)</f>
        <v>17.836764000000002</v>
      </c>
      <c r="N19" s="76" cm="1">
        <f t="array" aca="1" ref="N19" ca="1">INDIRECT("'Java Impact of Optimization'!R" &amp; 6 + (ROW(A15)-1)*4)</f>
        <v>1372.24325</v>
      </c>
      <c r="O19" s="75" cm="1">
        <f t="array" aca="1" ref="O19" ca="1">INDIRECT("'Java Impact of Optimization'!W" &amp; 5 + (ROW(A15)-1)*4)*100</f>
        <v>-98.635365871669606</v>
      </c>
      <c r="P19" s="75">
        <f t="shared" ca="1" si="0"/>
        <v>-98.813747790425509</v>
      </c>
    </row>
    <row r="20" spans="2:16" x14ac:dyDescent="0.25">
      <c r="B20" s="77" t="s">
        <v>55</v>
      </c>
      <c r="C20" s="76" cm="1">
        <f t="array" aca="1" ref="C20" ca="1">INDIRECT("'Java Impact of Optimization'!G" &amp; 3 + (ROW(A16)-1)*4)</f>
        <v>1.0469999999999999</v>
      </c>
      <c r="D20" s="76" cm="1">
        <f t="array" aca="1" ref="D20" ca="1">INDIRECT("'Java Impact of Optimization'!G" &amp; 4 + (ROW(A16)-1)*4)</f>
        <v>62.192</v>
      </c>
      <c r="E20" s="75" cm="1">
        <f t="array" aca="1" ref="E20" ca="1">INDIRECT("'Java Impact of Optimization'!T" &amp; 3 + (ROW(A16)-1)*4)*100</f>
        <v>-98.316503730383332</v>
      </c>
      <c r="F20" s="76" cm="1">
        <f t="array" aca="1" ref="F20" ca="1">INDIRECT("'Java Impact of Optimization'!R" &amp; 3 + (ROW(A16)-1)*4)</f>
        <v>19.390440000000002</v>
      </c>
      <c r="G20" s="76" cm="1">
        <f t="array" aca="1" ref="G20" ca="1">INDIRECT("'Java Impact of Optimization'!R" &amp; 4 + (ROW(A16)-1)*4)</f>
        <v>1541.7396799999999</v>
      </c>
      <c r="H20" s="75" cm="1">
        <f t="array" aca="1" ref="H20" ca="1">INDIRECT("'Java Impact of Optimization'!W" &amp; 3 + (ROW(A16)-1)*4)*100</f>
        <v>-98.386420129967476</v>
      </c>
      <c r="I20" s="77" t="s">
        <v>55</v>
      </c>
      <c r="J20" s="76" cm="1">
        <f t="array" aca="1" ref="J20" ca="1">INDIRECT("'Java Impact of Optimization'!G" &amp; 5 + (ROW(A16)-1)*4)</f>
        <v>1.57</v>
      </c>
      <c r="K20" s="76" cm="1">
        <f t="array" aca="1" ref="K20" ca="1">INDIRECT("'Java Impact of Optimization'!G" &amp; 6 + (ROW(A16)-1)*4)</f>
        <v>80.590999999999994</v>
      </c>
      <c r="L20" s="75" cm="1">
        <f t="array" aca="1" ref="L20" ca="1">INDIRECT("'Java Impact of Optimization'!T" &amp; 5 + (ROW(A16)-1)*4)*100</f>
        <v>-98.051891650432438</v>
      </c>
      <c r="M20" s="76" cm="1">
        <f t="array" aca="1" ref="M20" ca="1">INDIRECT("'Java Impact of Optimization'!R" &amp; 5 + (ROW(A16)-1)*4)</f>
        <v>26.156199999999998</v>
      </c>
      <c r="N20" s="76" cm="1">
        <f t="array" aca="1" ref="N20" ca="1">INDIRECT("'Java Impact of Optimization'!R" &amp; 6 + (ROW(A16)-1)*4)</f>
        <v>2032.5050200000001</v>
      </c>
      <c r="O20" s="75" cm="1">
        <f t="array" aca="1" ref="O20" ca="1">INDIRECT("'Java Impact of Optimization'!W" &amp; 5 + (ROW(A16)-1)*4)*100</f>
        <v>-98.395375827121228</v>
      </c>
      <c r="P20" s="75">
        <f t="shared" ca="1" si="0"/>
        <v>-98.390897978544359</v>
      </c>
    </row>
    <row r="21" spans="2:16" x14ac:dyDescent="0.25">
      <c r="B21" s="77" t="s">
        <v>57</v>
      </c>
      <c r="C21" s="76" cm="1">
        <f t="array" aca="1" ref="C21" ca="1">INDIRECT("'Java Impact of Optimization'!G" &amp; 3 + (ROW(A17)-1)*4)</f>
        <v>1.5709999999999998E-2</v>
      </c>
      <c r="D21" s="76" cm="1">
        <f t="array" aca="1" ref="D21" ca="1">INDIRECT("'Java Impact of Optimization'!G" &amp; 4 + (ROW(A17)-1)*4)</f>
        <v>3.8050000000000002</v>
      </c>
      <c r="E21" s="75" cm="1">
        <f t="array" aca="1" ref="E21" ca="1">INDIRECT("'Java Impact of Optimization'!T" &amp; 3 + (ROW(A17)-1)*4)*100</f>
        <v>-99.587122207621562</v>
      </c>
      <c r="F21" s="76" cm="1">
        <f t="array" aca="1" ref="F21" ca="1">INDIRECT("'Java Impact of Optimization'!R" &amp; 3 + (ROW(A17)-1)*4)</f>
        <v>0.2887498</v>
      </c>
      <c r="G21" s="76" cm="1">
        <f t="array" aca="1" ref="G21" ca="1">INDIRECT("'Java Impact of Optimization'!R" &amp; 4 + (ROW(A17)-1)*4)</f>
        <v>73.55064999999999</v>
      </c>
      <c r="H21" s="75" cm="1">
        <f t="array" aca="1" ref="H21" ca="1">INDIRECT("'Java Impact of Optimization'!W" &amp; 3 + (ROW(A17)-1)*4)*100</f>
        <v>-99.57508111456518</v>
      </c>
      <c r="I21" s="77" t="s">
        <v>57</v>
      </c>
      <c r="J21" s="76" cm="1">
        <f t="array" aca="1" ref="J21" ca="1">INDIRECT("'Java Impact of Optimization'!G" &amp; 5 + (ROW(A17)-1)*4)</f>
        <v>1.5700000000000002E-2</v>
      </c>
      <c r="K21" s="76" cm="1">
        <f t="array" aca="1" ref="K21" ca="1">INDIRECT("'Java Impact of Optimization'!G" &amp; 6 + (ROW(A17)-1)*4)</f>
        <v>3.91</v>
      </c>
      <c r="L21" s="75" cm="1">
        <f t="array" aca="1" ref="L21" ca="1">INDIRECT("'Java Impact of Optimization'!T" &amp; 5 + (ROW(A17)-1)*4)*100</f>
        <v>-99.598465473145779</v>
      </c>
      <c r="M21" s="76" cm="1">
        <f t="array" aca="1" ref="M21" ca="1">INDIRECT("'Java Impact of Optimization'!R" &amp; 5 + (ROW(A17)-1)*4)</f>
        <v>0.28825200000000001</v>
      </c>
      <c r="N21" s="76" cm="1">
        <f t="array" aca="1" ref="N21" ca="1">INDIRECT("'Java Impact of Optimization'!R" &amp; 6 + (ROW(A17)-1)*4)</f>
        <v>75.032900000000012</v>
      </c>
      <c r="O21" s="75" cm="1">
        <f t="array" aca="1" ref="O21" ca="1">INDIRECT("'Java Impact of Optimization'!W" &amp; 5 + (ROW(A17)-1)*4)*100</f>
        <v>-99.581283530601311</v>
      </c>
      <c r="P21" s="75">
        <f t="shared" ca="1" si="0"/>
        <v>-99.578182322583245</v>
      </c>
    </row>
    <row r="22" spans="2:16" x14ac:dyDescent="0.25">
      <c r="B22" s="77" t="s">
        <v>61</v>
      </c>
      <c r="C22" s="76" cm="1">
        <f t="array" aca="1" ref="C22" ca="1">INDIRECT("'Java Impact of Optimization'!G" &amp; 3 + (ROW(A18)-1)*4)</f>
        <v>66.290999999999997</v>
      </c>
      <c r="D22" s="76" cm="1">
        <f t="array" aca="1" ref="D22" ca="1">INDIRECT("'Java Impact of Optimization'!G" &amp; 4 + (ROW(A18)-1)*4)</f>
        <v>338.5</v>
      </c>
      <c r="E22" s="75" cm="1">
        <f t="array" aca="1" ref="E22" ca="1">INDIRECT("'Java Impact of Optimization'!T" &amp; 3 + (ROW(A18)-1)*4)*100</f>
        <v>-80.416248153618909</v>
      </c>
      <c r="F22" s="76" cm="1">
        <f t="array" aca="1" ref="F22" ca="1">INDIRECT("'Java Impact of Optimization'!R" &amp; 3 + (ROW(A18)-1)*4)</f>
        <v>1834.27197</v>
      </c>
      <c r="G22" s="76" cm="1">
        <f t="array" aca="1" ref="G22" ca="1">INDIRECT("'Java Impact of Optimization'!R" &amp; 4 + (ROW(A18)-1)*4)</f>
        <v>7991.9849999999997</v>
      </c>
      <c r="H22" s="75" cm="1">
        <f t="array" aca="1" ref="H22" ca="1">INDIRECT("'Java Impact of Optimization'!W" &amp; 3 + (ROW(A18)-1)*4)*100</f>
        <v>-76.792008480776119</v>
      </c>
      <c r="I22" s="77" t="s">
        <v>61</v>
      </c>
      <c r="J22" s="76" cm="1">
        <f t="array" aca="1" ref="J22" ca="1">INDIRECT("'Java Impact of Optimization'!G" &amp; 5 + (ROW(A18)-1)*4)</f>
        <v>76.941999999999993</v>
      </c>
      <c r="K22" s="76" cm="1">
        <f t="array" aca="1" ref="K22" ca="1">INDIRECT("'Java Impact of Optimization'!G" &amp; 6 + (ROW(A18)-1)*4)</f>
        <v>500.73</v>
      </c>
      <c r="L22" s="75" cm="1">
        <f t="array" aca="1" ref="L22" ca="1">INDIRECT("'Java Impact of Optimization'!T" &amp; 5 + (ROW(A18)-1)*4)*100</f>
        <v>-84.634034309907534</v>
      </c>
      <c r="M22" s="76" cm="1">
        <f t="array" aca="1" ref="M22" ca="1">INDIRECT("'Java Impact of Optimization'!R" &amp; 5 + (ROW(A18)-1)*4)</f>
        <v>2235.1651000000002</v>
      </c>
      <c r="N22" s="76" cm="1">
        <f t="array" aca="1" ref="N22" ca="1">INDIRECT("'Java Impact of Optimization'!R" &amp; 6 + (ROW(A18)-1)*4)</f>
        <v>12843.7245</v>
      </c>
      <c r="O22" s="75" cm="1">
        <f t="array" aca="1" ref="O22" ca="1">INDIRECT("'Java Impact of Optimization'!W" &amp; 5 + (ROW(A18)-1)*4)*100</f>
        <v>-82.069231858289868</v>
      </c>
      <c r="P22" s="75">
        <f t="shared" ca="1" si="0"/>
        <v>-79.430620169533</v>
      </c>
    </row>
    <row r="23" spans="2:16" x14ac:dyDescent="0.25">
      <c r="B23" s="77" t="s">
        <v>63</v>
      </c>
      <c r="C23" s="76" cm="1">
        <f t="array" aca="1" ref="C23" ca="1">INDIRECT("'Java Impact of Optimization'!G" &amp; 3 + (ROW(A19)-1)*4)</f>
        <v>2.094E-2</v>
      </c>
      <c r="D23" s="76" cm="1">
        <f t="array" aca="1" ref="D23" ca="1">INDIRECT("'Java Impact of Optimization'!G" &amp; 4 + (ROW(A19)-1)*4)</f>
        <v>3.665</v>
      </c>
      <c r="E23" s="75" cm="1">
        <f t="array" aca="1" ref="E23" ca="1">INDIRECT("'Java Impact of Optimization'!T" &amp; 3 + (ROW(A19)-1)*4)*100</f>
        <v>-99.428649386084587</v>
      </c>
      <c r="F23" s="76" cm="1">
        <f t="array" aca="1" ref="F23" ca="1">INDIRECT("'Java Impact of Optimization'!R" &amp; 3 + (ROW(A19)-1)*4)</f>
        <v>0.42361619999999989</v>
      </c>
      <c r="G23" s="76" cm="1">
        <f t="array" aca="1" ref="G23" ca="1">INDIRECT("'Java Impact of Optimization'!R" &amp; 4 + (ROW(A19)-1)*4)</f>
        <v>73.336650000000006</v>
      </c>
      <c r="H23" s="75" cm="1">
        <f t="array" aca="1" ref="H23" ca="1">INDIRECT("'Java Impact of Optimization'!W" &amp; 3 + (ROW(A19)-1)*4)*100</f>
        <v>-99.402867739477188</v>
      </c>
      <c r="I23" s="77" t="s">
        <v>63</v>
      </c>
      <c r="J23" s="76" cm="1">
        <f t="array" aca="1" ref="J23" ca="1">INDIRECT("'Java Impact of Optimization'!G" &amp; 5 + (ROW(A19)-1)*4)</f>
        <v>1.5709999999999998E-2</v>
      </c>
      <c r="K23" s="76" cm="1">
        <f t="array" aca="1" ref="K23" ca="1">INDIRECT("'Java Impact of Optimization'!G" &amp; 6 + (ROW(A19)-1)*4)</f>
        <v>4.1710000000000003</v>
      </c>
      <c r="L23" s="75" cm="1">
        <f t="array" aca="1" ref="L23" ca="1">INDIRECT("'Java Impact of Optimization'!T" &amp; 5 + (ROW(A19)-1)*4)*100</f>
        <v>-99.623351714217208</v>
      </c>
      <c r="M23" s="76" cm="1">
        <f t="array" aca="1" ref="M23" ca="1">INDIRECT("'Java Impact of Optimization'!R" &amp; 5 + (ROW(A19)-1)*4)</f>
        <v>0.28780719999999999</v>
      </c>
      <c r="N23" s="76" cm="1">
        <f t="array" aca="1" ref="N23" ca="1">INDIRECT("'Java Impact of Optimization'!R" &amp; 6 + (ROW(A19)-1)*4)</f>
        <v>81.251080000000002</v>
      </c>
      <c r="O23" s="75" cm="1">
        <f t="array" aca="1" ref="O23" ca="1">INDIRECT("'Java Impact of Optimization'!W" &amp; 5 + (ROW(A19)-1)*4)*100</f>
        <v>-99.611130589126461</v>
      </c>
      <c r="P23" s="75">
        <f t="shared" ca="1" si="0"/>
        <v>-99.506999164301817</v>
      </c>
    </row>
    <row r="24" spans="2:16" x14ac:dyDescent="0.25">
      <c r="B24" s="77" t="s">
        <v>65</v>
      </c>
      <c r="C24" s="76" cm="1">
        <f t="array" aca="1" ref="C24" ca="1">INDIRECT("'Java Impact of Optimization'!G" &amp; 3 + (ROW(A20)-1)*4)</f>
        <v>1.5709999999999998E-2</v>
      </c>
      <c r="D24" s="76" cm="1">
        <f t="array" aca="1" ref="D24" ca="1">INDIRECT("'Java Impact of Optimization'!G" &amp; 4 + (ROW(A20)-1)*4)</f>
        <v>13.875</v>
      </c>
      <c r="E24" s="75" cm="1">
        <f t="array" aca="1" ref="E24" ca="1">INDIRECT("'Java Impact of Optimization'!T" &amp; 3 + (ROW(A20)-1)*4)*100</f>
        <v>-99.886774774774764</v>
      </c>
      <c r="F24" s="76" cm="1">
        <f t="array" aca="1" ref="F24" ca="1">INDIRECT("'Java Impact of Optimization'!R" &amp; 3 + (ROW(A20)-1)*4)</f>
        <v>0.28576489999999999</v>
      </c>
      <c r="G24" s="76" cm="1">
        <f t="array" aca="1" ref="G24" ca="1">INDIRECT("'Java Impact of Optimization'!R" &amp; 4 + (ROW(A20)-1)*4)</f>
        <v>239.06625</v>
      </c>
      <c r="H24" s="75" cm="1">
        <f t="array" aca="1" ref="H24" ca="1">INDIRECT("'Java Impact of Optimization'!W" &amp; 3 + (ROW(A20)-1)*4)*100</f>
        <v>-99.892317620691458</v>
      </c>
      <c r="I24" s="77" t="s">
        <v>65</v>
      </c>
      <c r="J24" s="76" cm="1">
        <f t="array" aca="1" ref="J24" ca="1">INDIRECT("'Java Impact of Optimization'!G" &amp; 5 + (ROW(A20)-1)*4)</f>
        <v>1.5709999999999998E-2</v>
      </c>
      <c r="K24" s="76" cm="1">
        <f t="array" aca="1" ref="K24" ca="1">INDIRECT("'Java Impact of Optimization'!G" &amp; 6 + (ROW(A20)-1)*4)</f>
        <v>13.427</v>
      </c>
      <c r="L24" s="75" cm="1">
        <f t="array" aca="1" ref="L24" ca="1">INDIRECT("'Java Impact of Optimization'!T" &amp; 5 + (ROW(A20)-1)*4)*100</f>
        <v>-99.882996946451172</v>
      </c>
      <c r="M24" s="76" cm="1">
        <f t="array" aca="1" ref="M24" ca="1">INDIRECT("'Java Impact of Optimization'!R" &amp; 5 + (ROW(A20)-1)*4)</f>
        <v>0.28702169999999999</v>
      </c>
      <c r="N24" s="76" cm="1">
        <f t="array" aca="1" ref="N24" ca="1">INDIRECT("'Java Impact of Optimization'!R" &amp; 6 + (ROW(A20)-1)*4)</f>
        <v>245.98264</v>
      </c>
      <c r="O24" s="75" cm="1">
        <f t="array" aca="1" ref="O24" ca="1">INDIRECT("'Java Impact of Optimization'!W" &amp; 5 + (ROW(A20)-1)*4)*100</f>
        <v>-99.884770522149765</v>
      </c>
      <c r="P24" s="75">
        <f t="shared" ca="1" si="0"/>
        <v>-99.888544071420611</v>
      </c>
    </row>
    <row r="25" spans="2:16" x14ac:dyDescent="0.25">
      <c r="B25" s="77" t="s">
        <v>71</v>
      </c>
      <c r="C25" s="76" cm="1">
        <f t="array" aca="1" ref="C25" ca="1">INDIRECT("'Java Impact of Optimization'!G" &amp; 3 + (ROW(A21)-1)*4)</f>
        <v>0.59052000000000004</v>
      </c>
      <c r="D25" s="76" cm="1">
        <f t="array" aca="1" ref="D25" ca="1">INDIRECT("'Java Impact of Optimization'!G" &amp; 4 + (ROW(A21)-1)*4)</f>
        <v>22.478000000000002</v>
      </c>
      <c r="E25" s="75" cm="1">
        <f t="array" aca="1" ref="E25" ca="1">INDIRECT("'Java Impact of Optimization'!T" &amp; 3 + (ROW(A21)-1)*4)*100</f>
        <v>-97.372897944656984</v>
      </c>
      <c r="F25" s="76" cm="1">
        <f t="array" aca="1" ref="F25" ca="1">INDIRECT("'Java Impact of Optimization'!R" &amp; 3 + (ROW(A21)-1)*4)</f>
        <v>14.3319204</v>
      </c>
      <c r="G25" s="76" cm="1">
        <f t="array" aca="1" ref="G25" ca="1">INDIRECT("'Java Impact of Optimization'!R" &amp; 4 + (ROW(A21)-1)*4)</f>
        <v>548.01364000000001</v>
      </c>
      <c r="H25" s="75" cm="1">
        <f t="array" aca="1" ref="H25" ca="1">INDIRECT("'Java Impact of Optimization'!W" &amp; 3 + (ROW(A21)-1)*4)*100</f>
        <v>-97.421739842023939</v>
      </c>
      <c r="I25" s="77" t="s">
        <v>71</v>
      </c>
      <c r="J25" s="76" cm="1">
        <f t="array" aca="1" ref="J25" ca="1">INDIRECT("'Java Impact of Optimization'!G" &amp; 5 + (ROW(A21)-1)*4)</f>
        <v>0.54884999999999995</v>
      </c>
      <c r="K25" s="76" cm="1">
        <f t="array" aca="1" ref="K25" ca="1">INDIRECT("'Java Impact of Optimization'!G" &amp; 6 + (ROW(A21)-1)*4)</f>
        <v>18.945</v>
      </c>
      <c r="L25" s="75" cm="1">
        <f t="array" aca="1" ref="L25" ca="1">INDIRECT("'Java Impact of Optimization'!T" &amp; 5 + (ROW(A21)-1)*4)*100</f>
        <v>-97.102929532858269</v>
      </c>
      <c r="M25" s="76" cm="1">
        <f t="array" aca="1" ref="M25" ca="1">INDIRECT("'Java Impact of Optimization'!R" &amp; 5 + (ROW(A21)-1)*4)</f>
        <v>13.534640999999999</v>
      </c>
      <c r="N25" s="76" cm="1">
        <f t="array" aca="1" ref="N25" ca="1">INDIRECT("'Java Impact of Optimization'!R" &amp; 6 + (ROW(A21)-1)*4)</f>
        <v>455.43779999999998</v>
      </c>
      <c r="O25" s="75" cm="1">
        <f t="array" aca="1" ref="O25" ca="1">INDIRECT("'Java Impact of Optimization'!W" &amp; 5 + (ROW(A21)-1)*4)*100</f>
        <v>-97.15918863129636</v>
      </c>
      <c r="P25" s="75">
        <f t="shared" ca="1" si="0"/>
        <v>-97.290464236660142</v>
      </c>
    </row>
    <row r="26" spans="2:16" x14ac:dyDescent="0.25">
      <c r="B26" s="77" t="s">
        <v>79</v>
      </c>
      <c r="C26" s="76" cm="1">
        <f t="array" aca="1" ref="C26" ca="1">INDIRECT("'Java Impact of Optimization'!G" &amp; 3 + (ROW(A22)-1)*4)</f>
        <v>0.82471000000000005</v>
      </c>
      <c r="D26" s="76" cm="1">
        <f t="array" aca="1" ref="D26" ca="1">INDIRECT("'Java Impact of Optimization'!G" &amp; 4 + (ROW(A22)-1)*4)</f>
        <v>207.97</v>
      </c>
      <c r="E26" s="75" cm="1">
        <f t="array" aca="1" ref="E26" ca="1">INDIRECT("'Java Impact of Optimization'!T" &amp; 3 + (ROW(A22)-1)*4)*100</f>
        <v>-99.60344761263643</v>
      </c>
      <c r="F26" s="76" cm="1">
        <f t="array" aca="1" ref="F26" ca="1">INDIRECT("'Java Impact of Optimization'!R" &amp; 3 + (ROW(A22)-1)*4)</f>
        <v>24.485639900000002</v>
      </c>
      <c r="G26" s="76" cm="1">
        <f t="array" aca="1" ref="G26" ca="1">INDIRECT("'Java Impact of Optimization'!R" &amp; 4 + (ROW(A22)-1)*4)</f>
        <v>4390.2466999999997</v>
      </c>
      <c r="H26" s="75" cm="1">
        <f t="array" aca="1" ref="H26" ca="1">INDIRECT("'Java Impact of Optimization'!W" &amp; 3 + (ROW(A22)-1)*4)*100</f>
        <v>-99.512560445750282</v>
      </c>
      <c r="I26" s="77" t="s">
        <v>79</v>
      </c>
      <c r="J26" s="76" cm="1">
        <f t="array" aca="1" ref="J26" ca="1">INDIRECT("'Java Impact of Optimization'!G" &amp; 5 + (ROW(A22)-1)*4)</f>
        <v>0.8204300000000001</v>
      </c>
      <c r="K26" s="76" cm="1">
        <f t="array" aca="1" ref="K26" ca="1">INDIRECT("'Java Impact of Optimization'!G" &amp; 6 + (ROW(A22)-1)*4)</f>
        <v>52.569999999999993</v>
      </c>
      <c r="L26" s="75" cm="1">
        <f t="array" aca="1" ref="L26" ca="1">INDIRECT("'Java Impact of Optimization'!T" &amp; 5 + (ROW(A22)-1)*4)*100</f>
        <v>-98.439357047745858</v>
      </c>
      <c r="M26" s="76" cm="1">
        <f t="array" aca="1" ref="M26" ca="1">INDIRECT("'Java Impact of Optimization'!R" &amp; 5 + (ROW(A22)-1)*4)</f>
        <v>24.038599000000001</v>
      </c>
      <c r="N26" s="76" cm="1">
        <f t="array" aca="1" ref="N26" ca="1">INDIRECT("'Java Impact of Optimization'!R" &amp; 6 + (ROW(A22)-1)*4)</f>
        <v>1157.0657000000001</v>
      </c>
      <c r="O26" s="75" cm="1">
        <f t="array" aca="1" ref="O26" ca="1">INDIRECT("'Java Impact of Optimization'!W" &amp; 5 + (ROW(A22)-1)*4)*100</f>
        <v>-98.291732748327377</v>
      </c>
      <c r="P26" s="75">
        <f t="shared" ca="1" si="0"/>
        <v>-98.902146597038836</v>
      </c>
    </row>
    <row r="27" spans="2:16" x14ac:dyDescent="0.25">
      <c r="B27" s="77" t="s">
        <v>87</v>
      </c>
      <c r="C27" s="76" cm="1">
        <f t="array" aca="1" ref="C27" ca="1">INDIRECT("'Java Impact of Optimization'!G" &amp; 3 + (ROW(A23)-1)*4)</f>
        <v>1.5709999999999998E-2</v>
      </c>
      <c r="D27" s="76" cm="1">
        <f t="array" aca="1" ref="D27" ca="1">INDIRECT("'Java Impact of Optimization'!G" &amp; 4 + (ROW(A23)-1)*4)</f>
        <v>3.8919999999999999</v>
      </c>
      <c r="E27" s="75" cm="1">
        <f t="array" aca="1" ref="E27" ca="1">INDIRECT("'Java Impact of Optimization'!T" &amp; 3 + (ROW(A23)-1)*4)*100</f>
        <v>-99.596351490236387</v>
      </c>
      <c r="F27" s="76" cm="1">
        <f t="array" aca="1" ref="F27" ca="1">INDIRECT("'Java Impact of Optimization'!R" &amp; 3 + (ROW(A23)-1)*4)</f>
        <v>0.28765010000000002</v>
      </c>
      <c r="G27" s="76" cm="1">
        <f t="array" aca="1" ref="G27" ca="1">INDIRECT("'Java Impact of Optimization'!R" &amp; 4 + (ROW(A23)-1)*4)</f>
        <v>81.809839999999994</v>
      </c>
      <c r="H27" s="75" cm="1">
        <f t="array" aca="1" ref="H27" ca="1">INDIRECT("'Java Impact of Optimization'!W" &amp; 3 + (ROW(A23)-1)*4)*100</f>
        <v>-99.593838782750083</v>
      </c>
      <c r="I27" s="77" t="s">
        <v>87</v>
      </c>
      <c r="J27" s="76" cm="1">
        <f t="array" aca="1" ref="J27" ca="1">INDIRECT("'Java Impact of Optimization'!G" &amp; 5 + (ROW(A23)-1)*4)</f>
        <v>1.5700000000000002E-2</v>
      </c>
      <c r="K27" s="76" cm="1">
        <f t="array" aca="1" ref="K27" ca="1">INDIRECT("'Java Impact of Optimization'!G" &amp; 6 + (ROW(A23)-1)*4)</f>
        <v>4.0490000000000004</v>
      </c>
      <c r="L27" s="75" cm="1">
        <f t="array" aca="1" ref="L27" ca="1">INDIRECT("'Java Impact of Optimization'!T" &amp; 5 + (ROW(A23)-1)*4)*100</f>
        <v>-99.612249938256355</v>
      </c>
      <c r="M27" s="76" cm="1">
        <f t="array" aca="1" ref="M27" ca="1">INDIRECT("'Java Impact of Optimization'!R" &amp; 5 + (ROW(A23)-1)*4)</f>
        <v>0.28840900000000003</v>
      </c>
      <c r="N27" s="76" cm="1">
        <f t="array" aca="1" ref="N27" ca="1">INDIRECT("'Java Impact of Optimization'!R" &amp; 6 + (ROW(A23)-1)*4)</f>
        <v>84.826550000000012</v>
      </c>
      <c r="O27" s="75" cm="1">
        <f t="array" aca="1" ref="O27" ca="1">INDIRECT("'Java Impact of Optimization'!W" &amp; 5 + (ROW(A23)-1)*4)*100</f>
        <v>-99.629697444784355</v>
      </c>
      <c r="P27" s="75">
        <f t="shared" ca="1" si="0"/>
        <v>-99.611768113767226</v>
      </c>
    </row>
    <row r="28" spans="2:16" x14ac:dyDescent="0.25">
      <c r="B28" s="77" t="s">
        <v>91</v>
      </c>
      <c r="C28" s="76" cm="1">
        <f t="array" aca="1" ref="C28" ca="1">INDIRECT("'Java Impact of Optimization'!G" &amp; 3 + (ROW(A24)-1)*4)</f>
        <v>0.97989000000000004</v>
      </c>
      <c r="D28" s="76" cm="1">
        <f t="array" aca="1" ref="D28" ca="1">INDIRECT("'Java Impact of Optimization'!G" &amp; 4 + (ROW(A24)-1)*4)</f>
        <v>36.232999999999997</v>
      </c>
      <c r="E28" s="75" cm="1">
        <f t="array" aca="1" ref="E28" ca="1">INDIRECT("'Java Impact of Optimization'!T" &amp; 3 + (ROW(A24)-1)*4)*100</f>
        <v>-97.29558689592362</v>
      </c>
      <c r="F28" s="76" cm="1">
        <f t="array" aca="1" ref="F28" ca="1">INDIRECT("'Java Impact of Optimization'!R" &amp; 3 + (ROW(A24)-1)*4)</f>
        <v>23.51736</v>
      </c>
      <c r="G28" s="76" cm="1">
        <f t="array" aca="1" ref="G28" ca="1">INDIRECT("'Java Impact of Optimization'!R" &amp; 4 + (ROW(A24)-1)*4)</f>
        <v>904.37567999999999</v>
      </c>
      <c r="H28" s="75" cm="1">
        <f t="array" aca="1" ref="H28" ca="1">INDIRECT("'Java Impact of Optimization'!W" &amp; 3 + (ROW(A24)-1)*4)*100</f>
        <v>-97.41692931857699</v>
      </c>
      <c r="I28" s="77" t="s">
        <v>91</v>
      </c>
      <c r="J28" s="76" cm="1">
        <f t="array" aca="1" ref="J28" ca="1">INDIRECT("'Java Impact of Optimization'!G" &amp; 5 + (ROW(A24)-1)*4)</f>
        <v>0.50768999999999997</v>
      </c>
      <c r="K28" s="76" cm="1">
        <f t="array" aca="1" ref="K28" ca="1">INDIRECT("'Java Impact of Optimization'!G" &amp; 6 + (ROW(A24)-1)*4)</f>
        <v>14.775</v>
      </c>
      <c r="L28" s="75" cm="1">
        <f t="array" aca="1" ref="L28" ca="1">INDIRECT("'Java Impact of Optimization'!T" &amp; 5 + (ROW(A24)-1)*4)*100</f>
        <v>-96.563857868020307</v>
      </c>
      <c r="M28" s="76" cm="1">
        <f t="array" aca="1" ref="M28" ca="1">INDIRECT("'Java Impact of Optimization'!R" &amp; 5 + (ROW(A24)-1)*4)</f>
        <v>12.164252400000001</v>
      </c>
      <c r="N28" s="76" cm="1">
        <f t="array" aca="1" ref="N28" ca="1">INDIRECT("'Java Impact of Optimization'!R" &amp; 6 + (ROW(A24)-1)*4)</f>
        <v>363.61275000000001</v>
      </c>
      <c r="O28" s="75" cm="1">
        <f t="array" aca="1" ref="O28" ca="1">INDIRECT("'Java Impact of Optimization'!W" &amp; 5 + (ROW(A24)-1)*4)*100</f>
        <v>-96.74288903943058</v>
      </c>
      <c r="P28" s="75">
        <f t="shared" ca="1" si="0"/>
        <v>-97.079909179003778</v>
      </c>
    </row>
    <row r="29" spans="2:16" x14ac:dyDescent="0.25">
      <c r="B29" s="77" t="s">
        <v>93</v>
      </c>
      <c r="C29" s="76" cm="1">
        <f t="array" aca="1" ref="C29" ca="1">INDIRECT("'Java Impact of Optimization'!G" &amp; 3 + (ROW(A25)-1)*4)</f>
        <v>223.875</v>
      </c>
      <c r="D29" s="76" cm="1">
        <f t="array" aca="1" ref="D29" ca="1">INDIRECT("'Java Impact of Optimization'!G" &amp; 4 + (ROW(A25)-1)*4)</f>
        <v>2199.83</v>
      </c>
      <c r="E29" s="75" cm="1">
        <f t="array" aca="1" ref="E29" ca="1">INDIRECT("'Java Impact of Optimization'!T" &amp; 3 + (ROW(A25)-1)*4)*100</f>
        <v>-89.823077237786549</v>
      </c>
      <c r="F29" s="76" cm="1">
        <f t="array" aca="1" ref="F29" ca="1">INDIRECT("'Java Impact of Optimization'!R" &amp; 3 + (ROW(A25)-1)*4)</f>
        <v>6208.05375</v>
      </c>
      <c r="G29" s="76" cm="1">
        <f t="array" aca="1" ref="G29" ca="1">INDIRECT("'Java Impact of Optimization'!R" &amp; 4 + (ROW(A25)-1)*4)</f>
        <v>57305.571500000005</v>
      </c>
      <c r="H29" s="75" cm="1">
        <f t="array" aca="1" ref="H29" ca="1">INDIRECT("'Java Impact of Optimization'!W" &amp; 3 + (ROW(A25)-1)*4)*100</f>
        <v>-88.398560177989921</v>
      </c>
      <c r="I29" s="77" t="s">
        <v>93</v>
      </c>
      <c r="J29" s="76" cm="1">
        <f t="array" aca="1" ref="J29" ca="1">INDIRECT("'Java Impact of Optimization'!G" &amp; 5 + (ROW(A25)-1)*4)</f>
        <v>167.07400000000001</v>
      </c>
      <c r="K29" s="76" cm="1">
        <f t="array" aca="1" ref="K29" ca="1">INDIRECT("'Java Impact of Optimization'!G" &amp; 6 + (ROW(A25)-1)*4)</f>
        <v>1142.02</v>
      </c>
      <c r="L29" s="75" cm="1">
        <f t="array" aca="1" ref="L29" ca="1">INDIRECT("'Java Impact of Optimization'!T" &amp; 5 + (ROW(A25)-1)*4)*100</f>
        <v>-85.370308751160223</v>
      </c>
      <c r="M29" s="76" cm="1">
        <f t="array" aca="1" ref="M29" ca="1">INDIRECT("'Java Impact of Optimization'!R" &amp; 5 + (ROW(A25)-1)*4)</f>
        <v>4860.1826600000004</v>
      </c>
      <c r="N29" s="76" cm="1">
        <f t="array" aca="1" ref="N29" ca="1">INDIRECT("'Java Impact of Optimization'!R" &amp; 6 + (ROW(A25)-1)*4)</f>
        <v>30023.705799999996</v>
      </c>
      <c r="O29" s="75" cm="1">
        <f t="array" aca="1" ref="O29" ca="1">INDIRECT("'Java Impact of Optimization'!W" &amp; 5 + (ROW(A25)-1)*4)*100</f>
        <v>-82.339323681566981</v>
      </c>
      <c r="P29" s="75">
        <f t="shared" ca="1" si="0"/>
        <v>-85.368941929778458</v>
      </c>
    </row>
    <row r="30" spans="2:16" x14ac:dyDescent="0.25">
      <c r="B30" s="27" t="s">
        <v>95</v>
      </c>
      <c r="C30" s="76" cm="1">
        <f t="array" aca="1" ref="C30" ca="1">INDIRECT("'Java Impact of Optimization'!G" &amp; 3 + (ROW(A26)-1)*4)</f>
        <v>49.341000000000001</v>
      </c>
      <c r="D30" s="76" cm="1">
        <f t="array" aca="1" ref="D30" ca="1">INDIRECT("'Java Impact of Optimization'!G" &amp; 4 + (ROW(A26)-1)*4)</f>
        <v>7058.97</v>
      </c>
      <c r="E30" s="75" cm="1">
        <f t="array" aca="1" ref="E30" ca="1">INDIRECT("'Java Impact of Optimization'!T" &amp; 3 + (ROW(A26)-1)*4)*100</f>
        <v>-99.301017003897158</v>
      </c>
      <c r="F30" s="76" cm="1">
        <f t="array" aca="1" ref="F30" ca="1">INDIRECT("'Java Impact of Optimization'!R" &amp; 3 + (ROW(A26)-1)*4)</f>
        <v>978.43202999999994</v>
      </c>
      <c r="G30" s="76" cm="1">
        <f t="array" aca="1" ref="G30" ca="1">INDIRECT("'Java Impact of Optimization'!R" &amp; 4 + (ROW(A26)-1)*4)</f>
        <v>142238.24549999999</v>
      </c>
      <c r="H30" s="75" cm="1">
        <f t="array" aca="1" ref="H30" ca="1">INDIRECT("'Java Impact of Optimization'!W" &amp; 3 + (ROW(A26)-1)*4)*100</f>
        <v>-99.298797569894873</v>
      </c>
      <c r="I30" s="27" t="s">
        <v>95</v>
      </c>
      <c r="J30" s="76" cm="1">
        <f t="array" aca="1" ref="J30" ca="1">INDIRECT("'Java Impact of Optimization'!G" &amp; 5 + (ROW(A26)-1)*4)</f>
        <v>56.232999999999997</v>
      </c>
      <c r="K30" s="76" cm="1">
        <f t="array" aca="1" ref="K30" ca="1">INDIRECT("'Java Impact of Optimization'!G" &amp; 6 + (ROW(A26)-1)*4)</f>
        <v>6593.16</v>
      </c>
      <c r="L30" s="75" cm="1">
        <f t="array" aca="1" ref="L30" ca="1">INDIRECT("'Java Impact of Optimization'!T" &amp; 5 + (ROW(A26)-1)*4)*100</f>
        <v>-99.147100934908295</v>
      </c>
      <c r="M30" s="76" cm="1">
        <f t="array" aca="1" ref="M30" ca="1">INDIRECT("'Java Impact of Optimization'!R" &amp; 5 + (ROW(A26)-1)*4)</f>
        <v>1113.9757300000001</v>
      </c>
      <c r="N30" s="76" cm="1">
        <f t="array" aca="1" ref="N30" ca="1">INDIRECT("'Java Impact of Optimization'!R" &amp; 6 + (ROW(A26)-1)*4)</f>
        <v>129555.594</v>
      </c>
      <c r="O30" s="75" cm="1">
        <f t="array" aca="1" ref="O30" ca="1">INDIRECT("'Java Impact of Optimization'!W" &amp; 5 + (ROW(A26)-1)*4)*100</f>
        <v>-99.100432872856118</v>
      </c>
      <c r="P30" s="75">
        <f t="shared" ca="1" si="0"/>
        <v>-99.199615221375495</v>
      </c>
    </row>
    <row r="33" spans="2:15" ht="15.75" x14ac:dyDescent="0.25">
      <c r="B33" s="117" t="s">
        <v>211</v>
      </c>
      <c r="C33" s="137"/>
      <c r="D33" s="137"/>
      <c r="E33" s="118"/>
      <c r="G33" s="117" t="s">
        <v>211</v>
      </c>
      <c r="H33" s="137"/>
      <c r="I33" s="137"/>
      <c r="J33" s="118"/>
      <c r="L33" s="117" t="s">
        <v>211</v>
      </c>
      <c r="M33" s="137"/>
      <c r="N33" s="137"/>
      <c r="O33" s="118"/>
    </row>
    <row r="34" spans="2:15" x14ac:dyDescent="0.25">
      <c r="B34" s="108" t="s">
        <v>111</v>
      </c>
      <c r="C34" s="109"/>
      <c r="D34" s="109"/>
      <c r="E34" s="110"/>
      <c r="G34" s="108" t="s">
        <v>114</v>
      </c>
      <c r="H34" s="109"/>
      <c r="I34" s="109"/>
      <c r="J34" s="110"/>
      <c r="L34" s="108" t="s">
        <v>217</v>
      </c>
      <c r="M34" s="109"/>
      <c r="N34" s="109"/>
      <c r="O34" s="110"/>
    </row>
    <row r="35" spans="2:15" x14ac:dyDescent="0.25">
      <c r="B35" s="50" t="s">
        <v>155</v>
      </c>
      <c r="C35" s="51" t="s">
        <v>179</v>
      </c>
      <c r="D35" s="51" t="s">
        <v>180</v>
      </c>
      <c r="E35" s="52" t="s">
        <v>181</v>
      </c>
      <c r="G35" s="50" t="s">
        <v>155</v>
      </c>
      <c r="H35" s="51" t="s">
        <v>179</v>
      </c>
      <c r="I35" s="51" t="s">
        <v>180</v>
      </c>
      <c r="J35" s="52" t="s">
        <v>181</v>
      </c>
      <c r="L35" s="50" t="s">
        <v>155</v>
      </c>
      <c r="M35" s="51" t="s">
        <v>179</v>
      </c>
      <c r="N35" s="51" t="s">
        <v>180</v>
      </c>
      <c r="O35" s="52" t="s">
        <v>181</v>
      </c>
    </row>
    <row r="36" spans="2:15" x14ac:dyDescent="0.25">
      <c r="B36" s="5" t="s">
        <v>182</v>
      </c>
      <c r="C36" s="39" cm="1">
        <f t="array" aca="1" ref="C36" ca="1">AVERAGE(_xlfn._xlws.FILTER($H$5:$H$30, ISNUMBER(MATCH($B$5:$B$30, _xlfn.TEXTSPLIT(_xlfn.TEXTJOIN(", ", TRUE, S6:S8), ", "), 0))))</f>
        <v>-96.007591391287349</v>
      </c>
      <c r="D36" s="39" cm="1">
        <f t="array" aca="1" ref="D36" ca="1">MIN(_xlfn._xlws.FILTER($H$5:$H$30, ISNUMBER(MATCH($B$5:$B$30, _xlfn.TEXTSPLIT(_xlfn.TEXTJOIN(", ", TRUE, S6:S8), ", "), 0))))</f>
        <v>-99.9503376742108</v>
      </c>
      <c r="E36" s="39" cm="1">
        <f t="array" aca="1" ref="E36" ca="1">MAX(_xlfn._xlws.FILTER($H$5:$H$30, ISNUMBER(MATCH($B$5:$B$30, _xlfn.TEXTSPLIT(_xlfn.TEXTJOIN(", ", TRUE, S6:S8), ", "), 0))))</f>
        <v>-57.173731740114931</v>
      </c>
      <c r="G36" s="5" t="s">
        <v>182</v>
      </c>
      <c r="H36" s="39" cm="1">
        <f t="array" aca="1" ref="H36" ca="1">AVERAGE(_xlfn._xlws.FILTER($O$5:$O$30, ISNUMBER(MATCH($I$5:$I$30, _xlfn.TEXTSPLIT(_xlfn.TEXTJOIN(", ", TRUE, V6:V8), ", "), 0))))</f>
        <v>-97.568439510458333</v>
      </c>
      <c r="I36" s="39" cm="1">
        <f t="array" aca="1" ref="I36" ca="1">MIN(_xlfn._xlws.FILTER($O$5:$O$30, ISNUMBER(MATCH($I$5:$I$30, _xlfn.TEXTSPLIT(_xlfn.TEXTJOIN(", ", TRUE, V6:V8), ", "), 0))))</f>
        <v>-99.986321107324827</v>
      </c>
      <c r="J36" s="39" cm="1">
        <f t="array" aca="1" ref="J36" ca="1">MAX(_xlfn._xlws.FILTER($O$5:$O$30, ISNUMBER(MATCH($I$5:$I$30, _xlfn.TEXTSPLIT(_xlfn.TEXTJOIN(", ", TRUE, V6:V8), ", "), 0))))</f>
        <v>-82.069231858289868</v>
      </c>
      <c r="L36" s="5" t="s">
        <v>182</v>
      </c>
      <c r="M36" s="39">
        <f ca="1">AVERAGE(C36,H36)</f>
        <v>-96.788015450872848</v>
      </c>
      <c r="N36" s="39">
        <f ca="1">MIN(D36,I36)</f>
        <v>-99.986321107324827</v>
      </c>
      <c r="O36" s="39">
        <f ca="1">MAX(E36,J36)</f>
        <v>-57.173731740114931</v>
      </c>
    </row>
    <row r="37" spans="2:15" x14ac:dyDescent="0.25">
      <c r="B37" s="5" t="s">
        <v>183</v>
      </c>
      <c r="C37" s="39" t="e" cm="1" vm="1">
        <f t="array" aca="1" ref="C37" ca="1">AVERAGE(_xlfn._xlws.FILTER($H$5:$H$30, ISNUMBER(MATCH($B$5:$B$30, _xlfn.TEXTSPLIT(_xlfn.TEXTJOIN(", ", TRUE, S9), ", "), 0))))</f>
        <v>#VALUE!</v>
      </c>
      <c r="D37" s="39" t="e" cm="1" vm="1">
        <f t="array" aca="1" ref="D37" ca="1">MIN(_xlfn._xlws.FILTER($H$5:$H$30, ISNUMBER(MATCH($B$5:$B$30, _xlfn.TEXTSPLIT(_xlfn.TEXTJOIN(", ", TRUE, S9), ", "), 0))))</f>
        <v>#VALUE!</v>
      </c>
      <c r="E37" s="39" t="e" cm="1" vm="1">
        <f t="array" aca="1" ref="E37" ca="1">MAX(_xlfn._xlws.FILTER($H$5:$H$30, ISNUMBER(MATCH($B$5:$B$30, _xlfn.TEXTSPLIT(_xlfn.TEXTJOIN(", ", TRUE, S9), ", "), 0))))</f>
        <v>#VALUE!</v>
      </c>
      <c r="G37" s="5" t="s">
        <v>183</v>
      </c>
      <c r="H37" s="39" t="e" cm="1" vm="1">
        <f t="array" aca="1" ref="H37" ca="1">AVERAGE(_xlfn._xlws.FILTER($O$5:$O$30, ISNUMBER(MATCH($I$5:$I$30, _xlfn.TEXTSPLIT(_xlfn.TEXTJOIN(", ", TRUE, V9), ", "), 0))))</f>
        <v>#VALUE!</v>
      </c>
      <c r="I37" s="39" t="e" cm="1" vm="1">
        <f t="array" aca="1" ref="I37" ca="1">MIN(_xlfn._xlws.FILTER($O$5:$O$30, ISNUMBER(MATCH($I$5:$I$30, _xlfn.TEXTSPLIT(_xlfn.TEXTJOIN(", ", TRUE, V9), ", "), 0))))</f>
        <v>#VALUE!</v>
      </c>
      <c r="J37" s="39" t="e" cm="1" vm="1">
        <f t="array" aca="1" ref="J37" ca="1">MAX(_xlfn._xlws.FILTER($O$5:$O$30, ISNUMBER(MATCH($I$5:$I$30, _xlfn.TEXTSPLIT(_xlfn.TEXTJOIN(", ", TRUE, V9), ", "), 0))))</f>
        <v>#VALUE!</v>
      </c>
      <c r="L37" s="5" t="s">
        <v>183</v>
      </c>
      <c r="M37" s="39" t="e" vm="2">
        <f ca="1">AVERAGE(C37,H37)</f>
        <v>#VALUE!</v>
      </c>
      <c r="N37" s="39" t="e" vm="2">
        <f ca="1">MIN(D37,I37)</f>
        <v>#VALUE!</v>
      </c>
      <c r="O37" s="39" t="e" vm="2">
        <f ca="1">MAX(E37,J37)</f>
        <v>#VALUE!</v>
      </c>
    </row>
    <row r="38" spans="2:15" x14ac:dyDescent="0.25">
      <c r="B38" s="5" t="s">
        <v>184</v>
      </c>
      <c r="C38" s="39" t="e" cm="1" vm="1">
        <f t="array" aca="1" ref="C38" ca="1">AVERAGE(_xlfn._xlws.FILTER($H$5:$H$30, ISNUMBER(MATCH($B$5:$B$30, _xlfn.TEXTSPLIT(_xlfn.TEXTJOIN(", ", TRUE, S10:S12), ", "), 0))))</f>
        <v>#VALUE!</v>
      </c>
      <c r="D38" s="39" t="e" cm="1" vm="1">
        <f t="array" aca="1" ref="D38" ca="1">MIN(_xlfn._xlws.FILTER($H$5:$H$30, ISNUMBER(MATCH($B$5:$B$30, _xlfn.TEXTSPLIT(_xlfn.TEXTJOIN(", ", TRUE, S10:S12), ", "), 0))))</f>
        <v>#VALUE!</v>
      </c>
      <c r="E38" s="39" t="e" cm="1" vm="1">
        <f t="array" aca="1" ref="E38" ca="1">MAX(_xlfn._xlws.FILTER($H$5:$H$30, ISNUMBER(MATCH($B$5:$B$30, _xlfn.TEXTSPLIT(_xlfn.TEXTJOIN(", ", TRUE, S10:S12), ", "), 0))))</f>
        <v>#VALUE!</v>
      </c>
      <c r="G38" s="5" t="s">
        <v>184</v>
      </c>
      <c r="H38" s="39" t="e" cm="1" vm="1">
        <f t="array" aca="1" ref="H38" ca="1">AVERAGE(_xlfn._xlws.FILTER($O$5:$O$30, ISNUMBER(MATCH($I$5:$I$30, _xlfn.TEXTSPLIT(_xlfn.TEXTJOIN(", ", TRUE, V10:V12), ", "), 0))))</f>
        <v>#VALUE!</v>
      </c>
      <c r="I38" s="39" t="e" cm="1" vm="1">
        <f t="array" aca="1" ref="I38" ca="1">MIN(_xlfn._xlws.FILTER($O$5:$O$30, ISNUMBER(MATCH($I$5:$I$30, _xlfn.TEXTSPLIT(_xlfn.TEXTJOIN(", ", TRUE, V10:V12), ", "), 0))))</f>
        <v>#VALUE!</v>
      </c>
      <c r="J38" s="39" t="e" cm="1" vm="1">
        <f t="array" aca="1" ref="J38" ca="1">MAX(_xlfn._xlws.FILTER($O$5:$O$30, ISNUMBER(MATCH($I$5:$I$30, _xlfn.TEXTSPLIT(_xlfn.TEXTJOIN(", ", TRUE, V10:V12), ", "), 0))))</f>
        <v>#VALUE!</v>
      </c>
      <c r="L38" s="5" t="s">
        <v>184</v>
      </c>
      <c r="M38" s="39" t="e" vm="2">
        <f ca="1">AVERAGE(C38,H38)</f>
        <v>#VALUE!</v>
      </c>
      <c r="N38" s="39" t="e" vm="2">
        <f ca="1">MIN(D38,I38)</f>
        <v>#VALUE!</v>
      </c>
      <c r="O38" s="39" t="e" vm="2">
        <f ca="1">MAX(E38,J38)</f>
        <v>#VALUE!</v>
      </c>
    </row>
    <row r="39" spans="2:15" x14ac:dyDescent="0.25">
      <c r="B39" s="5" t="s">
        <v>121</v>
      </c>
      <c r="C39" s="39" cm="1">
        <f t="array" aca="1" ref="C39" ca="1">AVERAGE(_xlfn._xlws.FILTER($H$5:$H$30, ISNUMBER(MATCH($B$5:$B$30, _xlfn.TEXTSPLIT(_xlfn.TEXTJOIN(", ", TRUE, S6:S12), ", "), 0))))</f>
        <v>-96.007591391287349</v>
      </c>
      <c r="D39" s="39" cm="1">
        <f t="array" aca="1" ref="D39" ca="1">MIN(_xlfn._xlws.FILTER($H$5:$H$30, ISNUMBER(MATCH($B$5:$B$30, _xlfn.TEXTSPLIT(_xlfn.TEXTJOIN(", ", TRUE, S6:S12), ", "), 0))))</f>
        <v>-99.9503376742108</v>
      </c>
      <c r="E39" s="39" cm="1">
        <f t="array" aca="1" ref="E39" ca="1">MAX(_xlfn._xlws.FILTER($H$5:$H$30, ISNUMBER(MATCH($B$5:$B$30, _xlfn.TEXTSPLIT(_xlfn.TEXTJOIN(", ", TRUE, S6:S12), ", "), 0))))</f>
        <v>-57.173731740114931</v>
      </c>
      <c r="G39" s="5" t="s">
        <v>121</v>
      </c>
      <c r="H39" s="39" cm="1">
        <f t="array" aca="1" ref="H39" ca="1">AVERAGE(_xlfn._xlws.FILTER($O$5:$O$30, ISNUMBER(MATCH($I$5:$I$30, _xlfn.TEXTSPLIT(_xlfn.TEXTJOIN(", ", TRUE, V6:V12), ", "), 0))))</f>
        <v>-97.568439510458333</v>
      </c>
      <c r="I39" s="39" cm="1">
        <f t="array" aca="1" ref="I39" ca="1">MIN(_xlfn._xlws.FILTER($O$5:$O$30, ISNUMBER(MATCH($I$5:$I$30, _xlfn.TEXTSPLIT(_xlfn.TEXTJOIN(", ", TRUE, V6:V12), ", "), 0))))</f>
        <v>-99.986321107324827</v>
      </c>
      <c r="J39" s="39" cm="1">
        <f t="array" aca="1" ref="J39" ca="1">MAX(_xlfn._xlws.FILTER($O$5:$O$30, ISNUMBER(MATCH($I$5:$I$30, _xlfn.TEXTSPLIT(_xlfn.TEXTJOIN(", ", TRUE, V6:V12), ", "), 0))))</f>
        <v>-82.069231858289868</v>
      </c>
      <c r="L39" s="5" t="s">
        <v>121</v>
      </c>
      <c r="M39" s="39">
        <f ca="1">AVERAGE(C39,H39)</f>
        <v>-96.788015450872848</v>
      </c>
      <c r="N39" s="39">
        <f ca="1">MIN(D39,I39)</f>
        <v>-99.986321107324827</v>
      </c>
      <c r="O39" s="39">
        <f ca="1">MAX(E39,J39)</f>
        <v>-57.173731740114931</v>
      </c>
    </row>
    <row r="44" spans="2:15" x14ac:dyDescent="0.25">
      <c r="G44" s="1"/>
    </row>
  </sheetData>
  <mergeCells count="16">
    <mergeCell ref="R4:S4"/>
    <mergeCell ref="R3:S3"/>
    <mergeCell ref="U3:V3"/>
    <mergeCell ref="U4:V4"/>
    <mergeCell ref="B34:E34"/>
    <mergeCell ref="L33:O33"/>
    <mergeCell ref="L34:O34"/>
    <mergeCell ref="G34:J34"/>
    <mergeCell ref="B33:E33"/>
    <mergeCell ref="G33:J33"/>
    <mergeCell ref="C2:H2"/>
    <mergeCell ref="J2:O2"/>
    <mergeCell ref="C3:E3"/>
    <mergeCell ref="F3:H3"/>
    <mergeCell ref="J3:L3"/>
    <mergeCell ref="M3:O3"/>
  </mergeCells>
  <conditionalFormatting sqref="E5:E30">
    <cfRule type="expression" dxfId="55" priority="15">
      <formula>AND(E5 &gt; -3, E5 &lt; 3)</formula>
    </cfRule>
    <cfRule type="expression" dxfId="54" priority="16">
      <formula>AND(E5 &gt; -25, E5 &lt;= -3)</formula>
    </cfRule>
    <cfRule type="expression" dxfId="53" priority="17">
      <formula>AND(E5 &gt; -75, E5 &lt;= -25)</formula>
    </cfRule>
    <cfRule type="expression" dxfId="52" priority="18">
      <formula>E5 &lt;= -75</formula>
    </cfRule>
    <cfRule type="expression" dxfId="51" priority="19">
      <formula>AND(E5 &lt; 25, E5 &gt;= 3)</formula>
    </cfRule>
    <cfRule type="expression" dxfId="50" priority="20">
      <formula>AND(E5 &lt; 75, E5 &gt;= 25)</formula>
    </cfRule>
    <cfRule type="expression" dxfId="49" priority="21">
      <formula>E5 &gt;= 75</formula>
    </cfRule>
  </conditionalFormatting>
  <conditionalFormatting sqref="H5:H30">
    <cfRule type="expression" dxfId="48" priority="29">
      <formula>AND(H5 &gt; -3, H5 &lt; 3)</formula>
    </cfRule>
    <cfRule type="expression" dxfId="47" priority="30">
      <formula>AND(H5 &gt; -25, H5 &lt;= -3)</formula>
    </cfRule>
    <cfRule type="expression" dxfId="46" priority="31">
      <formula>AND(H5 &gt; -75, H5 &lt;= -25)</formula>
    </cfRule>
    <cfRule type="expression" dxfId="45" priority="32">
      <formula>H5 &lt;= -75</formula>
    </cfRule>
    <cfRule type="expression" dxfId="44" priority="33">
      <formula>AND(H5 &lt; 25, H5 &gt;= 3)</formula>
    </cfRule>
    <cfRule type="expression" dxfId="43" priority="34">
      <formula>AND(H5 &lt; 75, H5 &gt;= 25)</formula>
    </cfRule>
    <cfRule type="expression" dxfId="42" priority="35">
      <formula>H5 &gt;= 75</formula>
    </cfRule>
  </conditionalFormatting>
  <conditionalFormatting sqref="L5:L30">
    <cfRule type="expression" dxfId="41" priority="8">
      <formula>AND(L5 &gt; -3, L5 &lt; 3)</formula>
    </cfRule>
    <cfRule type="expression" dxfId="40" priority="9">
      <formula>AND(L5 &gt; -25, L5 &lt;= -3)</formula>
    </cfRule>
    <cfRule type="expression" dxfId="39" priority="10">
      <formula>AND(L5 &gt; -75, L5 &lt;= -25)</formula>
    </cfRule>
    <cfRule type="expression" dxfId="38" priority="11">
      <formula>L5 &lt;= -75</formula>
    </cfRule>
    <cfRule type="expression" dxfId="37" priority="12">
      <formula>AND(L5 &lt; 25, L5 &gt;= 3)</formula>
    </cfRule>
    <cfRule type="expression" dxfId="36" priority="13">
      <formula>AND(L5 &lt; 75, L5 &gt;= 25)</formula>
    </cfRule>
    <cfRule type="expression" dxfId="35" priority="14">
      <formula>L5 &gt;= 75</formula>
    </cfRule>
  </conditionalFormatting>
  <conditionalFormatting sqref="O5:P30">
    <cfRule type="expression" dxfId="34" priority="1">
      <formula>AND(O5 &gt; -3, O5 &lt; 3)</formula>
    </cfRule>
    <cfRule type="expression" dxfId="33" priority="2">
      <formula>AND(O5 &gt; -25, O5 &lt;= -3)</formula>
    </cfRule>
    <cfRule type="expression" dxfId="32" priority="3">
      <formula>AND(O5 &gt; -75, O5 &lt;= -25)</formula>
    </cfRule>
    <cfRule type="expression" dxfId="31" priority="4">
      <formula>O5 &lt;= -75</formula>
    </cfRule>
    <cfRule type="expression" dxfId="30" priority="5">
      <formula>AND(O5 &lt; 25, O5 &gt;= 3)</formula>
    </cfRule>
    <cfRule type="expression" dxfId="29" priority="6">
      <formula>AND(O5 &lt; 75, O5 &gt;= 25)</formula>
    </cfRule>
    <cfRule type="expression" dxfId="28" priority="7">
      <formula>O5 &gt;= 75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48F6D-F671-433F-9A07-6A8766BB65D9}">
  <dimension ref="B3:C70"/>
  <sheetViews>
    <sheetView topLeftCell="B1" zoomScaleNormal="100" workbookViewId="0">
      <selection activeCell="C4" sqref="C4"/>
    </sheetView>
  </sheetViews>
  <sheetFormatPr baseColWidth="10" defaultRowHeight="15" x14ac:dyDescent="0.25"/>
  <cols>
    <col min="2" max="2" width="103.85546875" customWidth="1"/>
    <col min="3" max="3" width="14.42578125" customWidth="1"/>
  </cols>
  <sheetData>
    <row r="3" spans="2:3" x14ac:dyDescent="0.25">
      <c r="B3" s="138" t="s">
        <v>195</v>
      </c>
      <c r="C3" s="138"/>
    </row>
    <row r="4" spans="2:3" x14ac:dyDescent="0.25">
      <c r="B4" s="5" t="s">
        <v>119</v>
      </c>
      <c r="C4" s="4">
        <f>COUNTIFS('C Impact of Technique'!Q3:Q106,"&lt;=-0.03")</f>
        <v>30</v>
      </c>
    </row>
    <row r="5" spans="2:3" x14ac:dyDescent="0.25">
      <c r="B5" s="5" t="s">
        <v>169</v>
      </c>
      <c r="C5" s="4">
        <f>COUNTIFS('C Impact of Technique'!Q3:Q106,"&gt;-0.03",'C Impact of Technique'!Q3:Q106,"&lt;0.03")</f>
        <v>5</v>
      </c>
    </row>
    <row r="6" spans="2:3" x14ac:dyDescent="0.25">
      <c r="B6" s="5" t="s">
        <v>120</v>
      </c>
      <c r="C6" s="4">
        <f>COUNTIFS('C Impact of Technique'!Q3:Q106,"&gt;=0.03")</f>
        <v>17</v>
      </c>
    </row>
    <row r="7" spans="2:3" x14ac:dyDescent="0.25">
      <c r="B7" s="5" t="s">
        <v>121</v>
      </c>
      <c r="C7" s="4">
        <f>SUM(C4:C6)</f>
        <v>52</v>
      </c>
    </row>
    <row r="10" spans="2:3" x14ac:dyDescent="0.25">
      <c r="B10" s="138" t="s">
        <v>196</v>
      </c>
      <c r="C10" s="138"/>
    </row>
    <row r="11" spans="2:3" x14ac:dyDescent="0.25">
      <c r="B11" s="5" t="s">
        <v>119</v>
      </c>
      <c r="C11" s="4">
        <f>COUNTIFS('Python Impact of Technique'!V3:V106,"&lt;=-0.03")</f>
        <v>35</v>
      </c>
    </row>
    <row r="12" spans="2:3" x14ac:dyDescent="0.25">
      <c r="B12" s="5" t="s">
        <v>169</v>
      </c>
      <c r="C12" s="4">
        <f>COUNTIFS('Python Impact of Technique'!V3:V106,"&gt;-0.03",'Python Impact of Technique'!V3:V106,"&lt;0.03")</f>
        <v>7</v>
      </c>
    </row>
    <row r="13" spans="2:3" x14ac:dyDescent="0.25">
      <c r="B13" s="5" t="s">
        <v>120</v>
      </c>
      <c r="C13" s="4">
        <f>COUNTIFS('Python Impact of Technique'!V3:V106,"&gt;=0.03")</f>
        <v>10</v>
      </c>
    </row>
    <row r="14" spans="2:3" x14ac:dyDescent="0.25">
      <c r="B14" s="5" t="s">
        <v>121</v>
      </c>
      <c r="C14" s="4">
        <f>SUM(C11:C13)</f>
        <v>52</v>
      </c>
    </row>
    <row r="17" spans="2:3" x14ac:dyDescent="0.25">
      <c r="B17" s="138" t="s">
        <v>197</v>
      </c>
      <c r="C17" s="138"/>
    </row>
    <row r="18" spans="2:3" x14ac:dyDescent="0.25">
      <c r="B18" s="5" t="s">
        <v>119</v>
      </c>
      <c r="C18" s="4">
        <f>COUNTIFS('Java Impact of Technique'!W3:W106,"&lt;=-0.03")</f>
        <v>27</v>
      </c>
    </row>
    <row r="19" spans="2:3" x14ac:dyDescent="0.25">
      <c r="B19" s="5" t="s">
        <v>169</v>
      </c>
      <c r="C19" s="4">
        <f>COUNTIFS('Java Impact of Technique'!W3:W106,"&gt;-0.03",'Java Impact of Technique'!W3:W106,"&lt;0.03")</f>
        <v>14</v>
      </c>
    </row>
    <row r="20" spans="2:3" x14ac:dyDescent="0.25">
      <c r="B20" s="5" t="s">
        <v>120</v>
      </c>
      <c r="C20" s="4">
        <f>COUNTIFS('Java Impact of Technique'!W3:W106,"&gt;=0.03")</f>
        <v>11</v>
      </c>
    </row>
    <row r="21" spans="2:3" x14ac:dyDescent="0.25">
      <c r="B21" s="5" t="s">
        <v>121</v>
      </c>
      <c r="C21" s="4">
        <f>SUM(C18:C20)</f>
        <v>52</v>
      </c>
    </row>
    <row r="24" spans="2:3" x14ac:dyDescent="0.25">
      <c r="B24" s="138" t="s">
        <v>198</v>
      </c>
      <c r="C24" s="138"/>
    </row>
    <row r="25" spans="2:3" x14ac:dyDescent="0.25">
      <c r="B25" s="5" t="s">
        <v>119</v>
      </c>
      <c r="C25" s="4">
        <f>C4+C11+C18</f>
        <v>92</v>
      </c>
    </row>
    <row r="26" spans="2:3" x14ac:dyDescent="0.25">
      <c r="B26" s="5" t="s">
        <v>169</v>
      </c>
      <c r="C26" s="4">
        <f>C5+C12+C19</f>
        <v>26</v>
      </c>
    </row>
    <row r="27" spans="2:3" x14ac:dyDescent="0.25">
      <c r="B27" s="5" t="s">
        <v>120</v>
      </c>
      <c r="C27" s="4">
        <f>C6+C13+C20</f>
        <v>38</v>
      </c>
    </row>
    <row r="28" spans="2:3" x14ac:dyDescent="0.25">
      <c r="B28" s="5" t="s">
        <v>121</v>
      </c>
      <c r="C28" s="4">
        <f>SUM(C25:C27)</f>
        <v>156</v>
      </c>
    </row>
    <row r="31" spans="2:3" x14ac:dyDescent="0.25">
      <c r="B31" s="138" t="s">
        <v>224</v>
      </c>
      <c r="C31" s="138"/>
    </row>
    <row r="32" spans="2:3" x14ac:dyDescent="0.25">
      <c r="B32" s="5" t="s">
        <v>119</v>
      </c>
      <c r="C32" s="4">
        <f>COUNTIFS('C Impact of Technique'!Q3:Q106,"&lt;=-0.03",'C Impact of Technique'!B3:B106,"O0")</f>
        <v>16</v>
      </c>
    </row>
    <row r="33" spans="2:3" x14ac:dyDescent="0.25">
      <c r="B33" s="5" t="s">
        <v>169</v>
      </c>
      <c r="C33" s="4">
        <f>COUNTIFS('C Impact of Technique'!Q3:Q106,"&gt;-0.03",'C Impact of Technique'!Q3:Q106,"&lt;0.03",'C Impact of Technique'!B3:B106,"O0")</f>
        <v>5</v>
      </c>
    </row>
    <row r="34" spans="2:3" x14ac:dyDescent="0.25">
      <c r="B34" s="5" t="s">
        <v>120</v>
      </c>
      <c r="C34" s="4">
        <f>COUNTIFS('C Impact of Technique'!Q3:Q106,"&gt;=0.03",'C Impact of Technique'!B3:B106,"O0")</f>
        <v>5</v>
      </c>
    </row>
    <row r="35" spans="2:3" x14ac:dyDescent="0.25">
      <c r="B35" s="5" t="s">
        <v>121</v>
      </c>
      <c r="C35" s="4">
        <f>SUM(C32:C34)</f>
        <v>26</v>
      </c>
    </row>
    <row r="36" spans="2:3" x14ac:dyDescent="0.25">
      <c r="C36" s="3"/>
    </row>
    <row r="37" spans="2:3" x14ac:dyDescent="0.25">
      <c r="C37" s="3"/>
    </row>
    <row r="38" spans="2:3" x14ac:dyDescent="0.25">
      <c r="B38" s="138" t="s">
        <v>225</v>
      </c>
      <c r="C38" s="138"/>
    </row>
    <row r="39" spans="2:3" x14ac:dyDescent="0.25">
      <c r="B39" s="5" t="s">
        <v>119</v>
      </c>
      <c r="C39" s="4">
        <f>COUNTIFS('C Impact of Technique'!Q3:Q106,"&lt;=-0.03",'C Impact of Technique'!B3:B106,"O3")</f>
        <v>14</v>
      </c>
    </row>
    <row r="40" spans="2:3" x14ac:dyDescent="0.25">
      <c r="B40" s="5" t="s">
        <v>169</v>
      </c>
      <c r="C40" s="4">
        <f>COUNTIFS('C Impact of Technique'!Q3:Q106,"&gt;-0.03",'C Impact of Technique'!Q3:Q106,"&lt;0.03",'C Impact of Technique'!B3:B106,"O3")</f>
        <v>0</v>
      </c>
    </row>
    <row r="41" spans="2:3" x14ac:dyDescent="0.25">
      <c r="B41" s="5" t="s">
        <v>120</v>
      </c>
      <c r="C41" s="4">
        <f>COUNTIFS('C Impact of Technique'!Q3:Q106,"&gt;=0.03",'C Impact of Technique'!B3:B106,"O3")</f>
        <v>12</v>
      </c>
    </row>
    <row r="42" spans="2:3" x14ac:dyDescent="0.25">
      <c r="B42" s="5" t="s">
        <v>121</v>
      </c>
      <c r="C42" s="4">
        <f>SUM(C39:C41)</f>
        <v>26</v>
      </c>
    </row>
    <row r="45" spans="2:3" x14ac:dyDescent="0.25">
      <c r="B45" s="138" t="s">
        <v>226</v>
      </c>
      <c r="C45" s="138"/>
    </row>
    <row r="46" spans="2:3" x14ac:dyDescent="0.25">
      <c r="B46" s="5" t="s">
        <v>119</v>
      </c>
      <c r="C46" s="4">
        <f>COUNTIFS('Python Impact of Technique'!V3:V106,"&lt;=-0.03",'Python Impact of Technique'!D3:D106,"")</f>
        <v>20</v>
      </c>
    </row>
    <row r="47" spans="2:3" x14ac:dyDescent="0.25">
      <c r="B47" s="5" t="s">
        <v>169</v>
      </c>
      <c r="C47" s="4">
        <f>COUNTIFS('Python Impact of Technique'!V3:V106,"&gt;-0.03",'Python Impact of Technique'!V3:V106,"&lt;0.03",'Python Impact of Technique'!D3:D106,"")</f>
        <v>2</v>
      </c>
    </row>
    <row r="48" spans="2:3" x14ac:dyDescent="0.25">
      <c r="B48" s="5" t="s">
        <v>120</v>
      </c>
      <c r="C48" s="4">
        <f>COUNTIFS('Python Impact of Technique'!V3:V106,"&gt;=0.03",'Python Impact of Technique'!D3:D106,"")</f>
        <v>4</v>
      </c>
    </row>
    <row r="49" spans="2:3" x14ac:dyDescent="0.25">
      <c r="B49" s="5" t="s">
        <v>121</v>
      </c>
      <c r="C49" s="4">
        <f>SUM(C46:C48)</f>
        <v>26</v>
      </c>
    </row>
    <row r="50" spans="2:3" x14ac:dyDescent="0.25">
      <c r="C50" s="3"/>
    </row>
    <row r="51" spans="2:3" x14ac:dyDescent="0.25">
      <c r="C51" s="3"/>
    </row>
    <row r="52" spans="2:3" x14ac:dyDescent="0.25">
      <c r="B52" s="138" t="s">
        <v>227</v>
      </c>
      <c r="C52" s="138"/>
    </row>
    <row r="53" spans="2:3" x14ac:dyDescent="0.25">
      <c r="B53" s="5" t="s">
        <v>119</v>
      </c>
      <c r="C53" s="4">
        <f>COUNTIFS('Python Impact of Technique'!V3:V106,"&lt;=-0.03",'Python Impact of Technique'!D3:D106,"Nuitka")</f>
        <v>15</v>
      </c>
    </row>
    <row r="54" spans="2:3" x14ac:dyDescent="0.25">
      <c r="B54" s="5" t="s">
        <v>169</v>
      </c>
      <c r="C54" s="4">
        <f>COUNTIFS('Python Impact of Technique'!V3:V106,"&gt;-0.03",'Python Impact of Technique'!V3:V106,"&lt;0.03",'Python Impact of Technique'!D3:D106,"Nuitka")</f>
        <v>5</v>
      </c>
    </row>
    <row r="55" spans="2:3" x14ac:dyDescent="0.25">
      <c r="B55" s="5" t="s">
        <v>120</v>
      </c>
      <c r="C55" s="4">
        <f>COUNTIFS('Python Impact of Technique'!V3:V106,"&gt;=0.03",'Python Impact of Technique'!D3:D106,"Nuitka")</f>
        <v>6</v>
      </c>
    </row>
    <row r="56" spans="2:3" x14ac:dyDescent="0.25">
      <c r="B56" s="5" t="s">
        <v>121</v>
      </c>
      <c r="C56" s="4">
        <f>SUM(C53:C55)</f>
        <v>26</v>
      </c>
    </row>
    <row r="59" spans="2:3" x14ac:dyDescent="0.25">
      <c r="B59" s="138" t="s">
        <v>228</v>
      </c>
      <c r="C59" s="138"/>
    </row>
    <row r="60" spans="2:3" x14ac:dyDescent="0.25">
      <c r="B60" s="5" t="s">
        <v>119</v>
      </c>
      <c r="C60" s="4">
        <f>COUNTIFS('Java Impact of Technique'!W3:W106,"&lt;=-0.03",'Java Impact of Technique'!D3:D106,"JIT")</f>
        <v>10</v>
      </c>
    </row>
    <row r="61" spans="2:3" x14ac:dyDescent="0.25">
      <c r="B61" s="5" t="s">
        <v>169</v>
      </c>
      <c r="C61" s="4">
        <f>COUNTIFS('Java Impact of Technique'!W3:W106,"&gt;-0.03",'Java Impact of Technique'!W3:W106,"&lt;0.03",'Java Impact of Technique'!D3:D106,"JIT")</f>
        <v>10</v>
      </c>
    </row>
    <row r="62" spans="2:3" x14ac:dyDescent="0.25">
      <c r="B62" s="5" t="s">
        <v>120</v>
      </c>
      <c r="C62" s="4">
        <f>COUNTIFS('Java Impact of Technique'!W3:W106,"&gt;=0.03",'Java Impact of Technique'!D3:D106,"JIT")</f>
        <v>6</v>
      </c>
    </row>
    <row r="63" spans="2:3" x14ac:dyDescent="0.25">
      <c r="B63" s="5" t="s">
        <v>121</v>
      </c>
      <c r="C63" s="4">
        <f>SUM(C60:C62)</f>
        <v>26</v>
      </c>
    </row>
    <row r="64" spans="2:3" x14ac:dyDescent="0.25">
      <c r="C64" s="3"/>
    </row>
    <row r="65" spans="2:3" x14ac:dyDescent="0.25">
      <c r="C65" s="3"/>
    </row>
    <row r="66" spans="2:3" x14ac:dyDescent="0.25">
      <c r="B66" s="138" t="s">
        <v>229</v>
      </c>
      <c r="C66" s="138"/>
    </row>
    <row r="67" spans="2:3" x14ac:dyDescent="0.25">
      <c r="B67" s="5" t="s">
        <v>119</v>
      </c>
      <c r="C67" s="4">
        <f>COUNTIFS('Java Impact of Technique'!W3:W106,"&lt;=-0.03",'Java Impact of Technique'!D3:D106,"Xint")</f>
        <v>17</v>
      </c>
    </row>
    <row r="68" spans="2:3" x14ac:dyDescent="0.25">
      <c r="B68" s="5" t="s">
        <v>169</v>
      </c>
      <c r="C68" s="4">
        <f>COUNTIFS('Java Impact of Technique'!W3:W106,"&gt;-0.03",'Java Impact of Technique'!W3:W106,"&lt;0.03",'Java Impact of Technique'!D3:D106,"Xint")</f>
        <v>4</v>
      </c>
    </row>
    <row r="69" spans="2:3" x14ac:dyDescent="0.25">
      <c r="B69" s="5" t="s">
        <v>120</v>
      </c>
      <c r="C69" s="4">
        <f>COUNTIFS('Java Impact of Technique'!W3:W106,"&gt;=0.03",'Java Impact of Technique'!D3:D106,"Xint")</f>
        <v>5</v>
      </c>
    </row>
    <row r="70" spans="2:3" x14ac:dyDescent="0.25">
      <c r="B70" s="5" t="s">
        <v>121</v>
      </c>
      <c r="C70" s="4">
        <f>SUM(C67:C69)</f>
        <v>26</v>
      </c>
    </row>
  </sheetData>
  <mergeCells count="10">
    <mergeCell ref="B3:C3"/>
    <mergeCell ref="B10:C10"/>
    <mergeCell ref="B17:C17"/>
    <mergeCell ref="B24:C24"/>
    <mergeCell ref="B59:C59"/>
    <mergeCell ref="B66:C66"/>
    <mergeCell ref="B31:C31"/>
    <mergeCell ref="B38:C38"/>
    <mergeCell ref="B45:C45"/>
    <mergeCell ref="B52:C52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0252-D23C-43C7-A8C8-E63DE8FE949A}">
  <dimension ref="A1:E57"/>
  <sheetViews>
    <sheetView topLeftCell="A7" zoomScale="104" zoomScaleNormal="256" workbookViewId="0">
      <selection activeCell="E24" sqref="E24"/>
    </sheetView>
  </sheetViews>
  <sheetFormatPr baseColWidth="10" defaultRowHeight="15" x14ac:dyDescent="0.25"/>
  <cols>
    <col min="1" max="1" width="13.140625" bestFit="1" customWidth="1"/>
    <col min="2" max="2" width="12.5703125" bestFit="1" customWidth="1"/>
    <col min="3" max="3" width="14.85546875" customWidth="1"/>
    <col min="4" max="4" width="11.5703125" bestFit="1" customWidth="1"/>
    <col min="5" max="5" width="13.5703125" bestFit="1" customWidth="1"/>
    <col min="6" max="6" width="14.42578125" customWidth="1"/>
  </cols>
  <sheetData>
    <row r="1" spans="1:5" x14ac:dyDescent="0.25">
      <c r="A1" s="65" t="s">
        <v>190</v>
      </c>
      <c r="B1" s="63" t="s">
        <v>189</v>
      </c>
      <c r="C1" s="63" t="s">
        <v>97</v>
      </c>
      <c r="D1" s="63" t="s">
        <v>191</v>
      </c>
      <c r="E1" s="63" t="s">
        <v>192</v>
      </c>
    </row>
    <row r="2" spans="1:5" x14ac:dyDescent="0.25">
      <c r="A2" s="62" t="s">
        <v>112</v>
      </c>
      <c r="B2" s="62" t="s">
        <v>122</v>
      </c>
      <c r="C2" s="3" t="s">
        <v>156</v>
      </c>
      <c r="D2" s="64">
        <f>'C Impact of Technique'!N3</f>
        <v>-0.22224580768414351</v>
      </c>
      <c r="E2" s="64">
        <f>'C Impact of Technique'!Q3</f>
        <v>-0.34326777870823721</v>
      </c>
    </row>
    <row r="3" spans="1:5" x14ac:dyDescent="0.25">
      <c r="A3" s="62" t="s">
        <v>113</v>
      </c>
      <c r="B3" s="62" t="s">
        <v>122</v>
      </c>
      <c r="C3" s="3" t="s">
        <v>156</v>
      </c>
      <c r="D3" s="64">
        <f>'C Impact of Technique'!N5</f>
        <v>-0.66634829672078955</v>
      </c>
      <c r="E3" s="64">
        <f>'C Impact of Technique'!Q5</f>
        <v>-0.81100245452958264</v>
      </c>
    </row>
    <row r="4" spans="1:5" x14ac:dyDescent="0.25">
      <c r="A4" s="62" t="s">
        <v>193</v>
      </c>
      <c r="B4" s="62" t="s">
        <v>123</v>
      </c>
      <c r="C4" s="3" t="s">
        <v>156</v>
      </c>
      <c r="D4" s="64">
        <f>'Python Impact of Technique'!S3</f>
        <v>-0.44392860949583707</v>
      </c>
      <c r="E4" s="64">
        <f>'Python Impact of Technique'!V3</f>
        <v>-0.44384416433402929</v>
      </c>
    </row>
    <row r="5" spans="1:5" x14ac:dyDescent="0.25">
      <c r="A5" s="62" t="s">
        <v>118</v>
      </c>
      <c r="B5" s="62" t="s">
        <v>123</v>
      </c>
      <c r="C5" s="3" t="s">
        <v>156</v>
      </c>
      <c r="D5" s="64">
        <f>'Python Impact of Technique'!S5</f>
        <v>-0.68784727588516259</v>
      </c>
      <c r="E5" s="64">
        <f>'Python Impact of Technique'!V5</f>
        <v>-0.69284878041857656</v>
      </c>
    </row>
    <row r="6" spans="1:5" x14ac:dyDescent="0.25">
      <c r="A6" s="62" t="s">
        <v>175</v>
      </c>
      <c r="B6" s="62" t="s">
        <v>187</v>
      </c>
      <c r="C6" s="3" t="s">
        <v>156</v>
      </c>
      <c r="D6" s="64">
        <f>'Java Impact of Technique'!T3</f>
        <v>-4.618007862454419E-3</v>
      </c>
      <c r="E6" s="64">
        <f>'Java Impact of Technique'!W3</f>
        <v>4.6988022511533804E-3</v>
      </c>
    </row>
    <row r="7" spans="1:5" x14ac:dyDescent="0.25">
      <c r="A7" s="62" t="s">
        <v>188</v>
      </c>
      <c r="B7" s="62" t="s">
        <v>187</v>
      </c>
      <c r="C7" s="3" t="s">
        <v>156</v>
      </c>
      <c r="D7" s="64">
        <f>'Java Impact of Technique'!T5</f>
        <v>-0.78641648238565454</v>
      </c>
      <c r="E7" s="64">
        <f>'Java Impact of Technique'!W5</f>
        <v>-0.75707387900206113</v>
      </c>
    </row>
    <row r="8" spans="1:5" x14ac:dyDescent="0.25">
      <c r="A8" s="62" t="s">
        <v>112</v>
      </c>
      <c r="B8" s="62" t="s">
        <v>122</v>
      </c>
      <c r="C8" s="3" t="s">
        <v>157</v>
      </c>
      <c r="D8" s="66">
        <f>'C Impact of Technique'!N7</f>
        <v>0.29419003552636402</v>
      </c>
      <c r="E8" s="66">
        <f>'C Impact of Technique'!Q7</f>
        <v>0.21788330684532009</v>
      </c>
    </row>
    <row r="9" spans="1:5" x14ac:dyDescent="0.25">
      <c r="A9" s="62" t="s">
        <v>113</v>
      </c>
      <c r="B9" s="62" t="s">
        <v>122</v>
      </c>
      <c r="C9" s="3" t="s">
        <v>157</v>
      </c>
      <c r="D9" s="66">
        <f>'C Impact of Technique'!N9</f>
        <v>0</v>
      </c>
      <c r="E9" s="66">
        <f>'C Impact of Technique'!Q9</f>
        <v>-0.14168039538714994</v>
      </c>
    </row>
    <row r="10" spans="1:5" x14ac:dyDescent="0.25">
      <c r="A10" s="62" t="s">
        <v>193</v>
      </c>
      <c r="B10" s="62" t="s">
        <v>123</v>
      </c>
      <c r="C10" s="3" t="s">
        <v>157</v>
      </c>
      <c r="D10" s="66">
        <f>'Python Impact of Technique'!S7</f>
        <v>-8.8209758638652547E-2</v>
      </c>
      <c r="E10" s="66">
        <f>'Python Impact of Technique'!V7</f>
        <v>-7.8080514506188317E-2</v>
      </c>
    </row>
    <row r="11" spans="1:5" x14ac:dyDescent="0.25">
      <c r="A11" s="62" t="s">
        <v>118</v>
      </c>
      <c r="B11" s="62" t="s">
        <v>123</v>
      </c>
      <c r="C11" s="3" t="s">
        <v>157</v>
      </c>
      <c r="D11" s="66">
        <f>'Python Impact of Technique'!S9</f>
        <v>-3.5015120165526124E-2</v>
      </c>
      <c r="E11" s="66">
        <f>'Python Impact of Technique'!V9</f>
        <v>-6.5085898600706169E-2</v>
      </c>
    </row>
    <row r="12" spans="1:5" x14ac:dyDescent="0.25">
      <c r="A12" s="62" t="s">
        <v>175</v>
      </c>
      <c r="B12" s="62" t="s">
        <v>187</v>
      </c>
      <c r="C12" s="3" t="s">
        <v>157</v>
      </c>
      <c r="D12" s="66">
        <f>'Java Impact of Technique'!T7</f>
        <v>-0.69009441701594498</v>
      </c>
      <c r="E12" s="66">
        <f>'Java Impact of Technique'!W7</f>
        <v>-0.70489247974796598</v>
      </c>
    </row>
    <row r="13" spans="1:5" x14ac:dyDescent="0.25">
      <c r="A13" s="62" t="s">
        <v>188</v>
      </c>
      <c r="B13" s="62" t="s">
        <v>187</v>
      </c>
      <c r="C13" s="3" t="s">
        <v>157</v>
      </c>
      <c r="D13" s="66">
        <f>'Java Impact of Technique'!T9</f>
        <v>-4.902109346587475E-2</v>
      </c>
      <c r="E13" s="66">
        <f>'Java Impact of Technique'!W9</f>
        <v>-5.446790302540426E-2</v>
      </c>
    </row>
    <row r="14" spans="1:5" x14ac:dyDescent="0.25">
      <c r="A14" s="62" t="s">
        <v>112</v>
      </c>
      <c r="B14" s="62" t="s">
        <v>122</v>
      </c>
      <c r="C14" s="3" t="s">
        <v>158</v>
      </c>
      <c r="D14" s="66">
        <f>'C Impact of Technique'!N11</f>
        <v>-0.5</v>
      </c>
      <c r="E14" s="66">
        <f>'C Impact of Technique'!Q11</f>
        <v>-0.54192603441962639</v>
      </c>
    </row>
    <row r="15" spans="1:5" x14ac:dyDescent="0.25">
      <c r="A15" s="62" t="s">
        <v>113</v>
      </c>
      <c r="B15" s="62" t="s">
        <v>122</v>
      </c>
      <c r="C15" s="3" t="s">
        <v>158</v>
      </c>
      <c r="D15" s="66">
        <f>'C Impact of Technique'!N13</f>
        <v>-0.5</v>
      </c>
      <c r="E15" s="66">
        <f>'C Impact of Technique'!Q13</f>
        <v>-0.54716981132075471</v>
      </c>
    </row>
    <row r="16" spans="1:5" x14ac:dyDescent="0.25">
      <c r="A16" s="62" t="s">
        <v>193</v>
      </c>
      <c r="B16" s="62" t="s">
        <v>123</v>
      </c>
      <c r="C16" s="3" t="s">
        <v>158</v>
      </c>
      <c r="D16" s="66">
        <f>'Python Impact of Technique'!S11</f>
        <v>-0.30661040787623067</v>
      </c>
      <c r="E16" s="66">
        <f>'Python Impact of Technique'!V11</f>
        <v>-0.31329004658220849</v>
      </c>
    </row>
    <row r="17" spans="1:5" x14ac:dyDescent="0.25">
      <c r="A17" s="62" t="s">
        <v>118</v>
      </c>
      <c r="B17" s="62" t="s">
        <v>123</v>
      </c>
      <c r="C17" s="3" t="s">
        <v>158</v>
      </c>
      <c r="D17" s="66">
        <f>'Python Impact of Technique'!S13</f>
        <v>-0.39892335298641368</v>
      </c>
      <c r="E17" s="66">
        <f>'Python Impact of Technique'!V13</f>
        <v>-0.42331657970206898</v>
      </c>
    </row>
    <row r="18" spans="1:5" x14ac:dyDescent="0.25">
      <c r="A18" s="62" t="s">
        <v>175</v>
      </c>
      <c r="B18" s="62" t="s">
        <v>187</v>
      </c>
      <c r="C18" s="3" t="s">
        <v>158</v>
      </c>
      <c r="D18" s="66">
        <f>'Java Impact of Technique'!T11</f>
        <v>0</v>
      </c>
      <c r="E18" s="66">
        <f>'Java Impact of Technique'!W11</f>
        <v>7.9487745639214551E-3</v>
      </c>
    </row>
    <row r="19" spans="1:5" x14ac:dyDescent="0.25">
      <c r="A19" s="62" t="s">
        <v>188</v>
      </c>
      <c r="B19" s="62" t="s">
        <v>187</v>
      </c>
      <c r="C19" s="3" t="s">
        <v>158</v>
      </c>
      <c r="D19" s="66">
        <f>'Java Impact of Technique'!T13</f>
        <v>7.5015628255885782E-3</v>
      </c>
      <c r="E19" s="66">
        <f>'Java Impact of Technique'!W13</f>
        <v>-2.0579863712741595E-2</v>
      </c>
    </row>
    <row r="20" spans="1:5" x14ac:dyDescent="0.25">
      <c r="A20" s="62" t="s">
        <v>112</v>
      </c>
      <c r="B20" s="62" t="s">
        <v>122</v>
      </c>
      <c r="C20" s="3" t="s">
        <v>31</v>
      </c>
      <c r="D20" s="66">
        <f>'C Impact of Technique'!N39</f>
        <v>0</v>
      </c>
      <c r="E20" s="66">
        <f>'C Impact of Technique'!Q39</f>
        <v>-6.5706570657065713E-2</v>
      </c>
    </row>
    <row r="21" spans="1:5" x14ac:dyDescent="0.25">
      <c r="A21" s="62" t="s">
        <v>113</v>
      </c>
      <c r="B21" s="62" t="s">
        <v>122</v>
      </c>
      <c r="C21" s="3" t="s">
        <v>31</v>
      </c>
      <c r="D21" s="66">
        <f>'C Impact of Technique'!N41</f>
        <v>6.0763888888888951E-2</v>
      </c>
      <c r="E21" s="66">
        <f>'C Impact of Technique'!Q41</f>
        <v>0.16593142254861973</v>
      </c>
    </row>
    <row r="22" spans="1:5" x14ac:dyDescent="0.25">
      <c r="A22" s="62" t="s">
        <v>193</v>
      </c>
      <c r="B22" s="62" t="s">
        <v>123</v>
      </c>
      <c r="C22" s="3" t="s">
        <v>31</v>
      </c>
      <c r="D22" s="66">
        <f>'Python Impact of Technique'!S39</f>
        <v>-8.2241713179177528E-2</v>
      </c>
      <c r="E22" s="66">
        <f>'Python Impact of Technique'!V39</f>
        <v>-3.4952950209055783E-2</v>
      </c>
    </row>
    <row r="23" spans="1:5" x14ac:dyDescent="0.25">
      <c r="A23" s="62" t="s">
        <v>118</v>
      </c>
      <c r="B23" s="62" t="s">
        <v>123</v>
      </c>
      <c r="C23" s="3" t="s">
        <v>31</v>
      </c>
      <c r="D23" s="66">
        <f>'Python Impact of Technique'!S41</f>
        <v>-7.1623465211459653E-2</v>
      </c>
      <c r="E23" s="66">
        <f>'Python Impact of Technique'!V41</f>
        <v>-5.5450796384420298E-2</v>
      </c>
    </row>
    <row r="24" spans="1:5" x14ac:dyDescent="0.25">
      <c r="A24" s="62" t="s">
        <v>175</v>
      </c>
      <c r="B24" s="62" t="s">
        <v>187</v>
      </c>
      <c r="C24" s="3" t="s">
        <v>31</v>
      </c>
      <c r="D24" s="66">
        <f>'Java Impact of Technique'!T39</f>
        <v>0.33354551241247632</v>
      </c>
      <c r="E24" s="66">
        <f>'Java Impact of Technique'!W39</f>
        <v>0.40460220022044863</v>
      </c>
    </row>
    <row r="25" spans="1:5" x14ac:dyDescent="0.25">
      <c r="A25" s="62" t="s">
        <v>188</v>
      </c>
      <c r="B25" s="62" t="s">
        <v>187</v>
      </c>
      <c r="C25" s="3" t="s">
        <v>31</v>
      </c>
      <c r="D25" s="66">
        <f>'Java Impact of Technique'!T41</f>
        <v>0.18930312211829803</v>
      </c>
      <c r="E25" s="66">
        <f>'Java Impact of Technique'!W41</f>
        <v>0.18902915226754513</v>
      </c>
    </row>
    <row r="34" spans="1:3" x14ac:dyDescent="0.25">
      <c r="A34" s="3"/>
      <c r="B34" s="62"/>
      <c r="C34" s="62"/>
    </row>
    <row r="35" spans="1:3" x14ac:dyDescent="0.25">
      <c r="A35" s="3"/>
      <c r="B35" s="62"/>
      <c r="C35" s="62"/>
    </row>
    <row r="36" spans="1:3" x14ac:dyDescent="0.25">
      <c r="A36" s="3"/>
      <c r="B36" s="62"/>
      <c r="C36" s="62"/>
    </row>
    <row r="37" spans="1:3" x14ac:dyDescent="0.25">
      <c r="A37" s="3"/>
      <c r="B37" s="62"/>
      <c r="C37" s="62"/>
    </row>
    <row r="38" spans="1:3" x14ac:dyDescent="0.25">
      <c r="A38" s="3"/>
      <c r="B38" s="62"/>
      <c r="C38" s="62"/>
    </row>
    <row r="39" spans="1:3" x14ac:dyDescent="0.25">
      <c r="A39" s="3"/>
      <c r="B39" s="62"/>
      <c r="C39" s="62"/>
    </row>
    <row r="40" spans="1:3" x14ac:dyDescent="0.25">
      <c r="A40" s="3"/>
      <c r="B40" s="62"/>
      <c r="C40" s="62"/>
    </row>
    <row r="41" spans="1:3" x14ac:dyDescent="0.25">
      <c r="A41" s="3"/>
      <c r="B41" s="62"/>
      <c r="C41" s="62"/>
    </row>
    <row r="42" spans="1:3" x14ac:dyDescent="0.25">
      <c r="A42" s="3"/>
      <c r="B42" s="62"/>
      <c r="C42" s="62"/>
    </row>
    <row r="43" spans="1:3" x14ac:dyDescent="0.25">
      <c r="A43" s="3"/>
      <c r="B43" s="62"/>
      <c r="C43" s="62"/>
    </row>
    <row r="44" spans="1:3" x14ac:dyDescent="0.25">
      <c r="A44" s="3"/>
      <c r="B44" s="62"/>
      <c r="C44" s="62"/>
    </row>
    <row r="45" spans="1:3" x14ac:dyDescent="0.25">
      <c r="A45" s="3"/>
      <c r="B45" s="62"/>
      <c r="C45" s="62"/>
    </row>
    <row r="46" spans="1:3" x14ac:dyDescent="0.25">
      <c r="A46" s="3"/>
      <c r="B46" s="62"/>
      <c r="C46" s="62"/>
    </row>
    <row r="47" spans="1:3" x14ac:dyDescent="0.25">
      <c r="A47" s="3"/>
      <c r="B47" s="62"/>
      <c r="C47" s="62"/>
    </row>
    <row r="48" spans="1:3" x14ac:dyDescent="0.25">
      <c r="A48" s="3"/>
      <c r="B48" s="62"/>
      <c r="C48" s="62"/>
    </row>
    <row r="49" spans="1:3" x14ac:dyDescent="0.25">
      <c r="A49" s="3"/>
      <c r="B49" s="62"/>
      <c r="C49" s="62"/>
    </row>
    <row r="50" spans="1:3" x14ac:dyDescent="0.25">
      <c r="A50" s="3"/>
      <c r="B50" s="62"/>
      <c r="C50" s="62"/>
    </row>
    <row r="51" spans="1:3" x14ac:dyDescent="0.25">
      <c r="A51" s="3"/>
      <c r="B51" s="62"/>
      <c r="C51" s="62"/>
    </row>
    <row r="52" spans="1:3" x14ac:dyDescent="0.25">
      <c r="A52" s="3"/>
      <c r="B52" s="62"/>
      <c r="C52" s="62"/>
    </row>
    <row r="53" spans="1:3" x14ac:dyDescent="0.25">
      <c r="A53" s="3"/>
      <c r="B53" s="62"/>
      <c r="C53" s="62"/>
    </row>
    <row r="54" spans="1:3" x14ac:dyDescent="0.25">
      <c r="A54" s="3"/>
      <c r="B54" s="62"/>
      <c r="C54" s="62"/>
    </row>
    <row r="55" spans="1:3" x14ac:dyDescent="0.25">
      <c r="A55" s="3"/>
      <c r="B55" s="62"/>
      <c r="C55" s="62"/>
    </row>
    <row r="56" spans="1:3" x14ac:dyDescent="0.25">
      <c r="A56" s="3"/>
      <c r="B56" s="62"/>
      <c r="C56" s="62"/>
    </row>
    <row r="57" spans="1:3" x14ac:dyDescent="0.25">
      <c r="A57" s="3"/>
      <c r="B57" s="62"/>
      <c r="C57" s="62"/>
    </row>
  </sheetData>
  <phoneticPr fontId="2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E60FB-864A-4034-9F0D-77C767A9CD17}">
  <dimension ref="A2:O35"/>
  <sheetViews>
    <sheetView topLeftCell="A10" zoomScale="85" zoomScaleNormal="100" workbookViewId="0">
      <selection activeCell="K41" sqref="K41"/>
    </sheetView>
  </sheetViews>
  <sheetFormatPr baseColWidth="10" defaultRowHeight="15" x14ac:dyDescent="0.25"/>
  <cols>
    <col min="1" max="1" width="12.42578125" customWidth="1"/>
    <col min="2" max="2" width="12.5703125" customWidth="1"/>
    <col min="3" max="7" width="13.5703125" customWidth="1"/>
    <col min="8" max="8" width="21.85546875" customWidth="1"/>
    <col min="9" max="9" width="27" customWidth="1"/>
    <col min="10" max="10" width="24.42578125" customWidth="1"/>
    <col min="11" max="11" width="18.85546875" customWidth="1"/>
    <col min="12" max="12" width="26.5703125" customWidth="1"/>
    <col min="13" max="13" width="29.42578125" customWidth="1"/>
    <col min="14" max="14" width="30.140625" customWidth="1"/>
    <col min="15" max="15" width="25.140625" bestFit="1" customWidth="1"/>
    <col min="16" max="16" width="22.5703125" bestFit="1" customWidth="1"/>
    <col min="17" max="17" width="16.85546875" bestFit="1" customWidth="1"/>
    <col min="18" max="18" width="24.7109375" bestFit="1" customWidth="1"/>
    <col min="19" max="19" width="27.7109375" bestFit="1" customWidth="1"/>
    <col min="20" max="20" width="28.42578125" bestFit="1" customWidth="1"/>
    <col min="21" max="21" width="8.7109375" bestFit="1" customWidth="1"/>
  </cols>
  <sheetData>
    <row r="2" spans="1:15" x14ac:dyDescent="0.25">
      <c r="B2" s="105" t="s">
        <v>122</v>
      </c>
      <c r="C2" s="105"/>
      <c r="D2" s="105" t="s">
        <v>123</v>
      </c>
      <c r="E2" s="105"/>
      <c r="F2" s="105" t="s">
        <v>187</v>
      </c>
      <c r="G2" s="105"/>
    </row>
    <row r="3" spans="1:15" x14ac:dyDescent="0.25">
      <c r="B3" s="15" t="s">
        <v>112</v>
      </c>
      <c r="C3" s="15" t="s">
        <v>113</v>
      </c>
      <c r="D3" s="15" t="s">
        <v>168</v>
      </c>
      <c r="E3" s="15" t="s">
        <v>118</v>
      </c>
      <c r="F3" s="15" t="s">
        <v>168</v>
      </c>
      <c r="G3" s="15" t="s">
        <v>118</v>
      </c>
    </row>
    <row r="4" spans="1:15" x14ac:dyDescent="0.25">
      <c r="A4" s="68" t="s">
        <v>97</v>
      </c>
      <c r="B4" s="69" t="s">
        <v>153</v>
      </c>
      <c r="C4" s="70" t="s">
        <v>199</v>
      </c>
      <c r="D4" s="61" t="s">
        <v>200</v>
      </c>
      <c r="E4" s="61" t="s">
        <v>170</v>
      </c>
      <c r="F4" s="61" t="s">
        <v>201</v>
      </c>
      <c r="G4" s="61" t="s">
        <v>202</v>
      </c>
      <c r="H4" s="69" t="s">
        <v>203</v>
      </c>
      <c r="I4" s="69" t="s">
        <v>204</v>
      </c>
      <c r="J4" s="69" t="s">
        <v>205</v>
      </c>
      <c r="K4" s="70" t="s">
        <v>206</v>
      </c>
      <c r="L4" s="69" t="s">
        <v>207</v>
      </c>
      <c r="M4" s="69" t="s">
        <v>208</v>
      </c>
      <c r="N4" s="69" t="s">
        <v>210</v>
      </c>
      <c r="O4" s="69" t="s">
        <v>209</v>
      </c>
    </row>
    <row r="5" spans="1:15" x14ac:dyDescent="0.25">
      <c r="A5" s="86" t="s">
        <v>156</v>
      </c>
      <c r="B5" s="1" cm="1">
        <f t="array" aca="1" ref="B5" ca="1">INDIRECT("'C Impact of Technique'!Q" &amp; 3 + (ROW(A1)-1)*4)*100</f>
        <v>-34.326777870823719</v>
      </c>
      <c r="C5" s="1" cm="1">
        <f t="array" aca="1" ref="C5" ca="1">INDIRECT("'C Impact of Technique'!Q" &amp; 5 + (ROW(A1)-1)*4)*100</f>
        <v>-81.100245452958262</v>
      </c>
      <c r="D5" s="1" cm="1">
        <f t="array" aca="1" ref="D5" ca="1">INDIRECT("'Python Impact of Technique'!V" &amp; 3 + (ROW(A1)-1)*4)*100</f>
        <v>-44.384416433402926</v>
      </c>
      <c r="E5" s="1" cm="1">
        <f t="array" aca="1" ref="E5" ca="1">INDIRECT("'Python Impact of Technique'!V" &amp; 5 + (ROW(A1)-1)*4)*100</f>
        <v>-69.284878041857652</v>
      </c>
      <c r="F5" s="1" cm="1">
        <f t="array" aca="1" ref="F5" ca="1">INDIRECT("'Java Impact of Technique'!W" &amp; 3 + (ROW(A1)-1)*4)*100</f>
        <v>0.46988022511533806</v>
      </c>
      <c r="G5" s="1" cm="1">
        <f t="array" aca="1" ref="G5" ca="1">INDIRECT("'Java Impact of Technique'!W" &amp; 5 + (ROW(A1)-1)*4)*100</f>
        <v>-75.707387900206115</v>
      </c>
      <c r="H5" s="39">
        <f ca="1">AVERAGE(Tabla3[[#This Row],[Impact (%)]:[Impact (%)2]])</f>
        <v>-57.71351166189099</v>
      </c>
      <c r="I5" s="39">
        <f ca="1">AVERAGE(Tabla3[[#This Row],[Impact (%)3]:[Impact (%)4]])</f>
        <v>-56.834647237630293</v>
      </c>
      <c r="J5" s="39">
        <f ca="1">AVERAGE(Tabla3[[#This Row],[Impact (%)5]:[Impact (%)6]])</f>
        <v>-37.618753837545391</v>
      </c>
      <c r="K5" s="39">
        <f ca="1">AVERAGE(Tabla3[[#This Row],[Average impact (%) C]:[Average impact (%) Java]])</f>
        <v>-50.722304245688889</v>
      </c>
      <c r="L5" s="37"/>
      <c r="M5" s="37"/>
      <c r="N5" s="37"/>
      <c r="O5" s="37" t="s">
        <v>125</v>
      </c>
    </row>
    <row r="6" spans="1:15" x14ac:dyDescent="0.25">
      <c r="A6" s="87" t="s">
        <v>157</v>
      </c>
      <c r="B6" s="1" cm="1">
        <f t="array" aca="1" ref="B6" ca="1">INDIRECT("'C Impact of Technique'!Q" &amp; 3 + (ROW(A2)-1)*4)*100</f>
        <v>21.78833068453201</v>
      </c>
      <c r="C6" s="1" cm="1">
        <f t="array" aca="1" ref="C6" ca="1">INDIRECT("'C Impact of Technique'!Q" &amp; 5 + (ROW(A2)-1)*4)*100</f>
        <v>-14.168039538714993</v>
      </c>
      <c r="D6" s="1" cm="1">
        <f t="array" aca="1" ref="D6" ca="1">INDIRECT("'Python Impact of Technique'!V" &amp; 3 + (ROW(A2)-1)*4)*100</f>
        <v>-7.8080514506188319</v>
      </c>
      <c r="E6" s="1" cm="1">
        <f t="array" aca="1" ref="E6" ca="1">INDIRECT("'Python Impact of Technique'!V" &amp; 5 + (ROW(A2)-1)*4)*100</f>
        <v>-6.5085898600706171</v>
      </c>
      <c r="F6" s="1" cm="1">
        <f t="array" aca="1" ref="F6" ca="1">INDIRECT("'Java Impact of Technique'!W" &amp; 3 + (ROW(A2)-1)*4)*100</f>
        <v>-70.489247974796598</v>
      </c>
      <c r="G6" s="1" cm="1">
        <f t="array" aca="1" ref="G6" ca="1">INDIRECT("'Java Impact of Technique'!W" &amp; 5 + (ROW(A2)-1)*4)*100</f>
        <v>-5.4467903025404256</v>
      </c>
      <c r="H6" s="39">
        <f ca="1">AVERAGE(Tabla3[[#This Row],[Impact (%)]:[Impact (%)2]])</f>
        <v>3.8101455729085085</v>
      </c>
      <c r="I6" s="39">
        <f ca="1">AVERAGE(Tabla3[[#This Row],[Impact (%)3]:[Impact (%)4]])</f>
        <v>-7.1583206553447241</v>
      </c>
      <c r="J6" s="39">
        <f ca="1">AVERAGE(Tabla3[[#This Row],[Impact (%)5]:[Impact (%)6]])</f>
        <v>-37.96801913866851</v>
      </c>
      <c r="K6" s="39">
        <f ca="1">AVERAGE(Tabla3[[#This Row],[Average impact (%) C]:[Average impact (%) Java]])</f>
        <v>-13.772064740368242</v>
      </c>
      <c r="L6" s="37"/>
      <c r="M6" s="37" t="s">
        <v>125</v>
      </c>
      <c r="N6" s="37"/>
      <c r="O6" s="37"/>
    </row>
    <row r="7" spans="1:15" x14ac:dyDescent="0.25">
      <c r="A7" s="87" t="s">
        <v>158</v>
      </c>
      <c r="B7" s="1" cm="1">
        <f t="array" aca="1" ref="B7" ca="1">INDIRECT("'C Impact of Technique'!Q" &amp; 3 + (ROW(A3)-1)*4)*100</f>
        <v>-54.192603441962639</v>
      </c>
      <c r="C7" s="1" cm="1">
        <f t="array" aca="1" ref="C7" ca="1">INDIRECT("'C Impact of Technique'!Q" &amp; 5 + (ROW(A3)-1)*4)*100</f>
        <v>-54.716981132075468</v>
      </c>
      <c r="D7" s="1" cm="1">
        <f t="array" aca="1" ref="D7" ca="1">INDIRECT("'Python Impact of Technique'!V" &amp; 3 + (ROW(A3)-1)*4)*100</f>
        <v>-31.32900465822085</v>
      </c>
      <c r="E7" s="1" cm="1">
        <f t="array" aca="1" ref="E7" ca="1">INDIRECT("'Python Impact of Technique'!V" &amp; 5 + (ROW(A3)-1)*4)*100</f>
        <v>-42.331657970206898</v>
      </c>
      <c r="F7" s="1" cm="1">
        <f t="array" aca="1" ref="F7" ca="1">INDIRECT("'Java Impact of Technique'!W" &amp; 3 + (ROW(A3)-1)*4)*100</f>
        <v>0.79487745639214547</v>
      </c>
      <c r="G7" s="1" cm="1">
        <f t="array" aca="1" ref="G7" ca="1">INDIRECT("'Java Impact of Technique'!W" &amp; 5 + (ROW(A3)-1)*4)*100</f>
        <v>-2.0579863712741595</v>
      </c>
      <c r="H7" s="39">
        <f ca="1">AVERAGE(Tabla3[[#This Row],[Impact (%)]:[Impact (%)2]])</f>
        <v>-54.454792287019053</v>
      </c>
      <c r="I7" s="39">
        <f ca="1">AVERAGE(Tabla3[[#This Row],[Impact (%)3]:[Impact (%)4]])</f>
        <v>-36.830331314213872</v>
      </c>
      <c r="J7" s="39">
        <f ca="1">AVERAGE(Tabla3[[#This Row],[Impact (%)5]:[Impact (%)6]])</f>
        <v>-0.63155445744100702</v>
      </c>
      <c r="K7" s="39">
        <f ca="1">AVERAGE(Tabla3[[#This Row],[Average impact (%) C]:[Average impact (%) Java]])</f>
        <v>-30.638892686224647</v>
      </c>
      <c r="L7" s="37" t="s">
        <v>125</v>
      </c>
      <c r="M7" s="37" t="s">
        <v>125</v>
      </c>
      <c r="N7" s="37"/>
      <c r="O7" s="37"/>
    </row>
    <row r="8" spans="1:15" x14ac:dyDescent="0.25">
      <c r="A8" s="87" t="s">
        <v>160</v>
      </c>
      <c r="B8" s="1" cm="1">
        <f t="array" aca="1" ref="B8" ca="1">INDIRECT("'C Impact of Technique'!Q" &amp; 3 + (ROW(A4)-1)*4)*100</f>
        <v>17.42869480071947</v>
      </c>
      <c r="C8" s="1" cm="1">
        <f t="array" aca="1" ref="C8" ca="1">INDIRECT("'C Impact of Technique'!Q" &amp; 5 + (ROW(A4)-1)*4)*100</f>
        <v>-80.576980408930851</v>
      </c>
      <c r="D8" s="1" cm="1">
        <f t="array" aca="1" ref="D8" ca="1">INDIRECT("'Python Impact of Technique'!V" &amp; 3 + (ROW(A4)-1)*4)*100</f>
        <v>-69.683630227634922</v>
      </c>
      <c r="E8" s="1" cm="1">
        <f t="array" aca="1" ref="E8" ca="1">INDIRECT("'Python Impact of Technique'!V" &amp; 5 + (ROW(A4)-1)*4)*100</f>
        <v>-52.168461082225939</v>
      </c>
      <c r="F8" s="1" cm="1">
        <f t="array" aca="1" ref="F8" ca="1">INDIRECT("'Java Impact of Technique'!W" &amp; 3 + (ROW(A4)-1)*4)*100</f>
        <v>-92.058701883923348</v>
      </c>
      <c r="G8" s="1" cm="1">
        <f t="array" aca="1" ref="G8" ca="1">INDIRECT("'Java Impact of Technique'!W" &amp; 5 + (ROW(A4)-1)*4)*100</f>
        <v>-82.069812548613541</v>
      </c>
      <c r="H8" s="39">
        <f ca="1">AVERAGE(Tabla3[[#This Row],[Impact (%)]:[Impact (%)2]])</f>
        <v>-31.574142804105691</v>
      </c>
      <c r="I8" s="39">
        <f ca="1">AVERAGE(Tabla3[[#This Row],[Impact (%)3]:[Impact (%)4]])</f>
        <v>-60.926045654930434</v>
      </c>
      <c r="J8" s="39">
        <f ca="1">AVERAGE(Tabla3[[#This Row],[Impact (%)5]:[Impact (%)6]])</f>
        <v>-87.064257216268444</v>
      </c>
      <c r="K8" s="39">
        <f ca="1">AVERAGE(Tabla3[[#This Row],[Average impact (%) C]:[Average impact (%) Java]])</f>
        <v>-59.854815225101525</v>
      </c>
      <c r="L8" s="37" t="s">
        <v>125</v>
      </c>
      <c r="M8" s="37" t="s">
        <v>125</v>
      </c>
      <c r="N8" s="37"/>
      <c r="O8" s="37"/>
    </row>
    <row r="9" spans="1:15" x14ac:dyDescent="0.25">
      <c r="A9" s="87" t="s">
        <v>159</v>
      </c>
      <c r="B9" s="1" cm="1">
        <f t="array" aca="1" ref="B9" ca="1">INDIRECT("'C Impact of Technique'!Q" &amp; 3 + (ROW(A5)-1)*4)*100</f>
        <v>-8.8453747467927055</v>
      </c>
      <c r="C9" s="1" cm="1">
        <f t="array" aca="1" ref="C9" ca="1">INDIRECT("'C Impact of Technique'!Q" &amp; 5 + (ROW(A5)-1)*4)*100</f>
        <v>-3.8106862904193144</v>
      </c>
      <c r="D9" s="1" cm="1">
        <f t="array" aca="1" ref="D9" ca="1">INDIRECT("'Python Impact of Technique'!V" &amp; 3 + (ROW(A5)-1)*4)*100</f>
        <v>-27.274013191821179</v>
      </c>
      <c r="E9" s="1" cm="1">
        <f t="array" aca="1" ref="E9" ca="1">INDIRECT("'Python Impact of Technique'!V" &amp; 5 + (ROW(A5)-1)*4)*100</f>
        <v>-25.910980406307505</v>
      </c>
      <c r="F9" s="1" cm="1">
        <f t="array" aca="1" ref="F9" ca="1">INDIRECT("'Java Impact of Technique'!W" &amp; 3 + (ROW(A5)-1)*4)*100</f>
        <v>-0.1403086790939925</v>
      </c>
      <c r="G9" s="1" cm="1">
        <f t="array" aca="1" ref="G9" ca="1">INDIRECT("'Java Impact of Technique'!W" &amp; 5 + (ROW(A5)-1)*4)*100</f>
        <v>1.297796191054629</v>
      </c>
      <c r="H9" s="39">
        <f ca="1">AVERAGE(Tabla3[[#This Row],[Impact (%)]:[Impact (%)2]])</f>
        <v>-6.3280305186060097</v>
      </c>
      <c r="I9" s="39">
        <f ca="1">AVERAGE(Tabla3[[#This Row],[Impact (%)3]:[Impact (%)4]])</f>
        <v>-26.592496799064342</v>
      </c>
      <c r="J9" s="39">
        <f ca="1">AVERAGE(Tabla3[[#This Row],[Impact (%)5]:[Impact (%)6]])</f>
        <v>0.57874375598031824</v>
      </c>
      <c r="K9" s="39">
        <f ca="1">AVERAGE(Tabla3[[#This Row],[Average impact (%) C]:[Average impact (%) Java]])</f>
        <v>-10.780594520563342</v>
      </c>
      <c r="L9" s="37"/>
      <c r="M9" s="37" t="s">
        <v>125</v>
      </c>
      <c r="N9" s="37"/>
      <c r="O9" s="37"/>
    </row>
    <row r="10" spans="1:15" x14ac:dyDescent="0.25">
      <c r="A10" s="87" t="s">
        <v>19</v>
      </c>
      <c r="B10" s="1" cm="1">
        <f t="array" aca="1" ref="B10" ca="1">INDIRECT("'C Impact of Technique'!Q" &amp; 3 + (ROW(A6)-1)*4)*100</f>
        <v>-99.692291932242398</v>
      </c>
      <c r="C10" s="1" cm="1">
        <f t="array" aca="1" ref="C10" ca="1">INDIRECT("'C Impact of Technique'!Q" &amp; 5 + (ROW(A6)-1)*4)*100</f>
        <v>-99.871559371234</v>
      </c>
      <c r="D10" s="1" cm="1">
        <f t="array" aca="1" ref="D10" ca="1">INDIRECT("'Python Impact of Technique'!V" &amp; 3 + (ROW(A6)-1)*4)*100</f>
        <v>-52.180376640790492</v>
      </c>
      <c r="E10" s="1" cm="1">
        <f t="array" aca="1" ref="E10" ca="1">INDIRECT("'Python Impact of Technique'!V" &amp; 5 + (ROW(A6)-1)*4)*100</f>
        <v>-69.557375147005601</v>
      </c>
      <c r="F10" s="1" cm="1">
        <f t="array" aca="1" ref="F10" ca="1">INDIRECT("'Java Impact of Technique'!W" &amp; 3 + (ROW(A6)-1)*4)*100</f>
        <v>-99.957789376107471</v>
      </c>
      <c r="G10" s="1" cm="1">
        <f t="array" aca="1" ref="G10" ca="1">INDIRECT("'Java Impact of Technique'!W" &amp; 5 + (ROW(A6)-1)*4)*100</f>
        <v>-96.630591111932546</v>
      </c>
      <c r="H10" s="39">
        <f ca="1">AVERAGE(Tabla3[[#This Row],[Impact (%)]:[Impact (%)2]])</f>
        <v>-99.781925651738192</v>
      </c>
      <c r="I10" s="39">
        <f ca="1">AVERAGE(Tabla3[[#This Row],[Impact (%)3]:[Impact (%)4]])</f>
        <v>-60.86887589389805</v>
      </c>
      <c r="J10" s="39">
        <f ca="1">AVERAGE(Tabla3[[#This Row],[Impact (%)5]:[Impact (%)6]])</f>
        <v>-98.294190244020001</v>
      </c>
      <c r="K10" s="39">
        <f ca="1">AVERAGE(Tabla3[[#This Row],[Average impact (%) C]:[Average impact (%) Java]])</f>
        <v>-86.314997263218743</v>
      </c>
      <c r="L10" s="37"/>
      <c r="M10" s="37" t="s">
        <v>125</v>
      </c>
      <c r="N10" s="37"/>
      <c r="O10" s="37" t="s">
        <v>125</v>
      </c>
    </row>
    <row r="11" spans="1:15" x14ac:dyDescent="0.25">
      <c r="A11" s="87" t="s">
        <v>21</v>
      </c>
      <c r="B11" s="1" cm="1">
        <f t="array" aca="1" ref="B11" ca="1">INDIRECT("'C Impact of Technique'!Q" &amp; 3 + (ROW(A7)-1)*4)*100</f>
        <v>-11.129660545353373</v>
      </c>
      <c r="C11" s="1" cm="1">
        <f t="array" aca="1" ref="C11" ca="1">INDIRECT("'C Impact of Technique'!Q" &amp; 5 + (ROW(A7)-1)*4)*100</f>
        <v>-31.416441528367429</v>
      </c>
      <c r="D11" s="1" cm="1">
        <f t="array" aca="1" ref="D11" ca="1">INDIRECT("'Python Impact of Technique'!V" &amp; 3 + (ROW(A7)-1)*4)*100</f>
        <v>-34.82427788814865</v>
      </c>
      <c r="E11" s="1" cm="1">
        <f t="array" aca="1" ref="E11" ca="1">INDIRECT("'Python Impact of Technique'!V" &amp; 5 + (ROW(A7)-1)*4)*100</f>
        <v>-5.9871736738393837</v>
      </c>
      <c r="F11" s="1" cm="1">
        <f t="array" aca="1" ref="F11" ca="1">INDIRECT("'Java Impact of Technique'!W" &amp; 3 + (ROW(A7)-1)*4)*100</f>
        <v>-88.835674927956717</v>
      </c>
      <c r="G11" s="1" cm="1">
        <f t="array" aca="1" ref="G11" ca="1">INDIRECT("'Java Impact of Technique'!W" &amp; 5 + (ROW(A7)-1)*4)*100</f>
        <v>-29.211322577094862</v>
      </c>
      <c r="H11" s="39">
        <f ca="1">AVERAGE(Tabla3[[#This Row],[Impact (%)]:[Impact (%)2]])</f>
        <v>-21.273051036860402</v>
      </c>
      <c r="I11" s="39">
        <f ca="1">AVERAGE(Tabla3[[#This Row],[Impact (%)3]:[Impact (%)4]])</f>
        <v>-20.405725780994018</v>
      </c>
      <c r="J11" s="39">
        <f ca="1">AVERAGE(Tabla3[[#This Row],[Impact (%)5]:[Impact (%)6]])</f>
        <v>-59.023498752525789</v>
      </c>
      <c r="K11" s="39">
        <f ca="1">AVERAGE(Tabla3[[#This Row],[Average impact (%) C]:[Average impact (%) Java]])</f>
        <v>-33.567425190126734</v>
      </c>
      <c r="L11" s="37" t="s">
        <v>125</v>
      </c>
      <c r="M11" s="37"/>
      <c r="N11" s="37"/>
      <c r="O11" s="37" t="s">
        <v>125</v>
      </c>
    </row>
    <row r="12" spans="1:15" x14ac:dyDescent="0.25">
      <c r="A12" s="87" t="s">
        <v>23</v>
      </c>
      <c r="B12" s="1" cm="1">
        <f t="array" aca="1" ref="B12" ca="1">INDIRECT("'C Impact of Technique'!Q" &amp; 3 + (ROW(A8)-1)*4)*100</f>
        <v>-21.317011397214014</v>
      </c>
      <c r="C12" s="1" cm="1">
        <f t="array" aca="1" ref="C12" ca="1">INDIRECT("'C Impact of Technique'!Q" &amp; 5 + (ROW(A8)-1)*4)*100</f>
        <v>12.103541848205078</v>
      </c>
      <c r="D12" s="1" cm="1">
        <f t="array" aca="1" ref="D12" ca="1">INDIRECT("'Python Impact of Technique'!V" &amp; 3 + (ROW(A8)-1)*4)*100</f>
        <v>-16.992982719477656</v>
      </c>
      <c r="E12" s="1" cm="1">
        <f t="array" aca="1" ref="E12" ca="1">INDIRECT("'Python Impact of Technique'!V" &amp; 5 + (ROW(A8)-1)*4)*100</f>
        <v>-16.443551697555062</v>
      </c>
      <c r="F12" s="1" cm="1">
        <f t="array" aca="1" ref="F12" ca="1">INDIRECT("'Java Impact of Technique'!W" &amp; 3 + (ROW(A8)-1)*4)*100</f>
        <v>0.43308791684711678</v>
      </c>
      <c r="G12" s="1" cm="1">
        <f t="array" aca="1" ref="G12" ca="1">INDIRECT("'Java Impact of Technique'!W" &amp; 5 + (ROW(A8)-1)*4)*100</f>
        <v>-35.591049167889082</v>
      </c>
      <c r="H12" s="39">
        <f ca="1">AVERAGE(Tabla3[[#This Row],[Impact (%)]:[Impact (%)2]])</f>
        <v>-4.606734774504468</v>
      </c>
      <c r="I12" s="39">
        <f ca="1">AVERAGE(Tabla3[[#This Row],[Impact (%)3]:[Impact (%)4]])</f>
        <v>-16.718267208516359</v>
      </c>
      <c r="J12" s="39">
        <f ca="1">AVERAGE(Tabla3[[#This Row],[Impact (%)5]:[Impact (%)6]])</f>
        <v>-17.578980625520984</v>
      </c>
      <c r="K12" s="39">
        <f ca="1">AVERAGE(Tabla3[[#This Row],[Average impact (%) C]:[Average impact (%) Java]])</f>
        <v>-12.967994202847271</v>
      </c>
      <c r="L12" s="37"/>
      <c r="M12" s="37" t="s">
        <v>125</v>
      </c>
      <c r="N12" s="37"/>
      <c r="O12" s="37"/>
    </row>
    <row r="13" spans="1:15" x14ac:dyDescent="0.25">
      <c r="A13" s="87" t="s">
        <v>25</v>
      </c>
      <c r="B13" s="1" cm="1">
        <f t="array" aca="1" ref="B13" ca="1">INDIRECT("'C Impact of Technique'!Q" &amp; 3 + (ROW(A9)-1)*4)*100</f>
        <v>-1.2566579607337245</v>
      </c>
      <c r="C13" s="1" cm="1">
        <f t="array" aca="1" ref="C13" ca="1">INDIRECT("'C Impact of Technique'!Q" &amp; 5 + (ROW(A9)-1)*4)*100</f>
        <v>-12.524632829181193</v>
      </c>
      <c r="D13" s="1" cm="1">
        <f t="array" aca="1" ref="D13" ca="1">INDIRECT("'Python Impact of Technique'!V" &amp; 3 + (ROW(A9)-1)*4)*100</f>
        <v>-20.412140015853751</v>
      </c>
      <c r="E13" s="1" cm="1">
        <f t="array" aca="1" ref="E13" ca="1">INDIRECT("'Python Impact of Technique'!V" &amp; 5 + (ROW(A9)-1)*4)*100</f>
        <v>1.1694198273670959</v>
      </c>
      <c r="F13" s="1" cm="1">
        <f t="array" aca="1" ref="F13" ca="1">INDIRECT("'Java Impact of Technique'!W" &amp; 3 + (ROW(A9)-1)*4)*100</f>
        <v>-73.714951176790763</v>
      </c>
      <c r="G13" s="1" cm="1">
        <f t="array" aca="1" ref="G13" ca="1">INDIRECT("'Java Impact of Technique'!W" &amp; 5 + (ROW(A9)-1)*4)*100</f>
        <v>-4.5700051135959914</v>
      </c>
      <c r="H13" s="39">
        <f ca="1">AVERAGE(Tabla3[[#This Row],[Impact (%)]:[Impact (%)2]])</f>
        <v>-6.8906453949574589</v>
      </c>
      <c r="I13" s="39">
        <f ca="1">AVERAGE(Tabla3[[#This Row],[Impact (%)3]:[Impact (%)4]])</f>
        <v>-9.6213600942433271</v>
      </c>
      <c r="J13" s="39">
        <f ca="1">AVERAGE(Tabla3[[#This Row],[Impact (%)5]:[Impact (%)6]])</f>
        <v>-39.14247814519338</v>
      </c>
      <c r="K13" s="39">
        <f ca="1">AVERAGE(Tabla3[[#This Row],[Average impact (%) C]:[Average impact (%) Java]])</f>
        <v>-18.551494544798057</v>
      </c>
      <c r="L13" s="37" t="s">
        <v>125</v>
      </c>
      <c r="M13" s="37"/>
      <c r="N13" s="37"/>
      <c r="O13" s="37" t="s">
        <v>125</v>
      </c>
    </row>
    <row r="14" spans="1:15" x14ac:dyDescent="0.25">
      <c r="A14" s="87" t="s">
        <v>31</v>
      </c>
      <c r="B14" s="1" cm="1">
        <f t="array" aca="1" ref="B14" ca="1">INDIRECT("'C Impact of Technique'!Q" &amp; 3 + (ROW(A10)-1)*4)*100</f>
        <v>-6.5706570657065715</v>
      </c>
      <c r="C14" s="1" cm="1">
        <f t="array" aca="1" ref="C14" ca="1">INDIRECT("'C Impact of Technique'!Q" &amp; 5 + (ROW(A10)-1)*4)*100</f>
        <v>16.593142254861974</v>
      </c>
      <c r="D14" s="1" cm="1">
        <f t="array" aca="1" ref="D14" ca="1">INDIRECT("'Python Impact of Technique'!V" &amp; 3 + (ROW(A10)-1)*4)*100</f>
        <v>-3.4952950209055782</v>
      </c>
      <c r="E14" s="1" cm="1">
        <f t="array" aca="1" ref="E14" ca="1">INDIRECT("'Python Impact of Technique'!V" &amp; 5 + (ROW(A10)-1)*4)*100</f>
        <v>-5.5450796384420293</v>
      </c>
      <c r="F14" s="1" cm="1">
        <f t="array" aca="1" ref="F14" ca="1">INDIRECT("'Java Impact of Technique'!W" &amp; 3 + (ROW(A10)-1)*4)*100</f>
        <v>40.460220022044865</v>
      </c>
      <c r="G14" s="1" cm="1">
        <f t="array" aca="1" ref="G14" ca="1">INDIRECT("'Java Impact of Technique'!W" &amp; 5 + (ROW(A10)-1)*4)*100</f>
        <v>18.902915226754512</v>
      </c>
      <c r="H14" s="39">
        <f ca="1">AVERAGE(Tabla3[[#This Row],[Impact (%)]:[Impact (%)2]])</f>
        <v>5.011242594577701</v>
      </c>
      <c r="I14" s="39">
        <f ca="1">AVERAGE(Tabla3[[#This Row],[Impact (%)3]:[Impact (%)4]])</f>
        <v>-4.5201873296738038</v>
      </c>
      <c r="J14" s="39">
        <f ca="1">AVERAGE(Tabla3[[#This Row],[Impact (%)5]:[Impact (%)6]])</f>
        <v>29.68156762439969</v>
      </c>
      <c r="K14" s="39">
        <f ca="1">AVERAGE(Tabla3[[#This Row],[Average impact (%) C]:[Average impact (%) Java]])</f>
        <v>10.057540963101196</v>
      </c>
      <c r="L14" s="37"/>
      <c r="M14" s="37"/>
      <c r="N14" s="37" t="s">
        <v>125</v>
      </c>
      <c r="O14" s="37"/>
    </row>
    <row r="15" spans="1:15" x14ac:dyDescent="0.25">
      <c r="A15" s="87" t="s">
        <v>33</v>
      </c>
      <c r="B15" s="1" cm="1">
        <f t="array" aca="1" ref="B15" ca="1">INDIRECT("'C Impact of Technique'!Q" &amp; 3 + (ROW(A11)-1)*4)*100</f>
        <v>1.4804845222072716</v>
      </c>
      <c r="C15" s="1" cm="1">
        <f t="array" aca="1" ref="C15" ca="1">INDIRECT("'C Impact of Technique'!Q" &amp; 5 + (ROW(A11)-1)*4)*100</f>
        <v>-8.0974276973324297</v>
      </c>
      <c r="D15" s="1" cm="1">
        <f t="array" aca="1" ref="D15" ca="1">INDIRECT("'Python Impact of Technique'!V" &amp; 3 + (ROW(A11)-1)*4)*100</f>
        <v>4.8706387864363325</v>
      </c>
      <c r="E15" s="1" cm="1">
        <f t="array" aca="1" ref="E15" ca="1">INDIRECT("'Python Impact of Technique'!V" &amp; 5 + (ROW(A11)-1)*4)*100</f>
        <v>19.346738850219126</v>
      </c>
      <c r="F15" s="1" cm="1">
        <f t="array" aca="1" ref="F15" ca="1">INDIRECT("'Java Impact of Technique'!W" &amp; 3 + (ROW(A11)-1)*4)*100</f>
        <v>-0.47865430630935535</v>
      </c>
      <c r="G15" s="1" cm="1">
        <f t="array" aca="1" ref="G15" ca="1">INDIRECT("'Java Impact of Technique'!W" &amp; 5 + (ROW(A11)-1)*4)*100</f>
        <v>-5.3994735214955858</v>
      </c>
      <c r="H15" s="39">
        <f ca="1">AVERAGE(Tabla3[[#This Row],[Impact (%)]:[Impact (%)2]])</f>
        <v>-3.308471587562579</v>
      </c>
      <c r="I15" s="39">
        <f ca="1">AVERAGE(Tabla3[[#This Row],[Impact (%)3]:[Impact (%)4]])</f>
        <v>12.108688818327728</v>
      </c>
      <c r="J15" s="39">
        <f ca="1">AVERAGE(Tabla3[[#This Row],[Impact (%)5]:[Impact (%)6]])</f>
        <v>-2.9390639139024706</v>
      </c>
      <c r="K15" s="39">
        <f ca="1">AVERAGE(Tabla3[[#This Row],[Average impact (%) C]:[Average impact (%) Java]])</f>
        <v>1.9537177722875594</v>
      </c>
      <c r="L15" s="37"/>
      <c r="M15" s="37"/>
      <c r="N15" s="37" t="s">
        <v>125</v>
      </c>
      <c r="O15" s="37"/>
    </row>
    <row r="16" spans="1:15" x14ac:dyDescent="0.25">
      <c r="A16" s="87" t="s">
        <v>37</v>
      </c>
      <c r="B16" s="1" cm="1">
        <f t="array" aca="1" ref="B16" ca="1">INDIRECT("'C Impact of Technique'!Q" &amp; 3 + (ROW(A12)-1)*4)*100</f>
        <v>34.799737035073242</v>
      </c>
      <c r="C16" s="1" cm="1">
        <f t="array" aca="1" ref="C16" ca="1">INDIRECT("'C Impact of Technique'!Q" &amp; 5 + (ROW(A12)-1)*4)*100</f>
        <v>13.700571278481846</v>
      </c>
      <c r="D16" s="1" cm="1">
        <f t="array" aca="1" ref="D16" ca="1">INDIRECT("'Python Impact of Technique'!V" &amp; 3 + (ROW(A12)-1)*4)*100</f>
        <v>0.81015123244076237</v>
      </c>
      <c r="E16" s="1" cm="1">
        <f t="array" aca="1" ref="E16" ca="1">INDIRECT("'Python Impact of Technique'!V" &amp; 5 + (ROW(A12)-1)*4)*100</f>
        <v>-2.4175998831744128</v>
      </c>
      <c r="F16" s="1" cm="1">
        <f t="array" aca="1" ref="F16" ca="1">INDIRECT("'Java Impact of Technique'!W" &amp; 3 + (ROW(A12)-1)*4)*100</f>
        <v>-13.977822295459591</v>
      </c>
      <c r="G16" s="1" cm="1">
        <f t="array" aca="1" ref="G16" ca="1">INDIRECT("'Java Impact of Technique'!W" &amp; 5 + (ROW(A12)-1)*4)*100</f>
        <v>-7.5519814807571892</v>
      </c>
      <c r="H16" s="39">
        <f ca="1">AVERAGE(Tabla3[[#This Row],[Impact (%)]:[Impact (%)2]])</f>
        <v>24.250154156777544</v>
      </c>
      <c r="I16" s="39">
        <f ca="1">AVERAGE(Tabla3[[#This Row],[Impact (%)3]:[Impact (%)4]])</f>
        <v>-0.80372432536682514</v>
      </c>
      <c r="J16" s="39">
        <f ca="1">AVERAGE(Tabla3[[#This Row],[Impact (%)5]:[Impact (%)6]])</f>
        <v>-10.76490188810839</v>
      </c>
      <c r="K16" s="39">
        <f ca="1">AVERAGE(Tabla3[[#This Row],[Average impact (%) C]:[Average impact (%) Java]])</f>
        <v>4.2271759811007756</v>
      </c>
      <c r="L16" s="37"/>
      <c r="M16" s="37" t="s">
        <v>125</v>
      </c>
      <c r="N16" s="37"/>
      <c r="O16" s="37" t="s">
        <v>125</v>
      </c>
    </row>
    <row r="17" spans="1:15" x14ac:dyDescent="0.25">
      <c r="A17" s="87" t="s">
        <v>39</v>
      </c>
      <c r="B17" s="1" cm="1">
        <f t="array" aca="1" ref="B17" ca="1">INDIRECT("'C Impact of Technique'!Q" &amp; 3 + (ROW(A13)-1)*4)*100</f>
        <v>-70.08552968596203</v>
      </c>
      <c r="C17" s="1" cm="1">
        <f t="array" aca="1" ref="C17" ca="1">INDIRECT("'C Impact of Technique'!Q" &amp; 5 + (ROW(A13)-1)*4)*100</f>
        <v>57.49350380537517</v>
      </c>
      <c r="D17" s="1" cm="1">
        <f t="array" aca="1" ref="D17" ca="1">INDIRECT("'Python Impact of Technique'!V" &amp; 3 + (ROW(A13)-1)*4)*100</f>
        <v>-9.3432347677227892</v>
      </c>
      <c r="E17" s="1" cm="1">
        <f t="array" aca="1" ref="E17" ca="1">INDIRECT("'Python Impact of Technique'!V" &amp; 5 + (ROW(A13)-1)*4)*100</f>
        <v>14.710905616765139</v>
      </c>
      <c r="F17" s="1" cm="1">
        <f t="array" aca="1" ref="F17" ca="1">INDIRECT("'Java Impact of Technique'!W" &amp; 3 + (ROW(A13)-1)*4)*100</f>
        <v>75.153372622166358</v>
      </c>
      <c r="G17" s="1" cm="1">
        <f t="array" aca="1" ref="G17" ca="1">INDIRECT("'Java Impact of Technique'!W" &amp; 5 + (ROW(A13)-1)*4)*100</f>
        <v>-29.452869279247746</v>
      </c>
      <c r="H17" s="39">
        <f ca="1">AVERAGE(Tabla3[[#This Row],[Impact (%)]:[Impact (%)2]])</f>
        <v>-6.2960129402934299</v>
      </c>
      <c r="I17" s="39">
        <f ca="1">AVERAGE(Tabla3[[#This Row],[Impact (%)3]:[Impact (%)4]])</f>
        <v>2.6838354245211749</v>
      </c>
      <c r="J17" s="39">
        <f ca="1">AVERAGE(Tabla3[[#This Row],[Impact (%)5]:[Impact (%)6]])</f>
        <v>22.850251671459304</v>
      </c>
      <c r="K17" s="39">
        <f ca="1">AVERAGE(Tabla3[[#This Row],[Average impact (%) C]:[Average impact (%) Java]])</f>
        <v>6.4126913852290164</v>
      </c>
      <c r="L17" s="37"/>
      <c r="M17" s="37" t="s">
        <v>125</v>
      </c>
      <c r="N17" s="37"/>
      <c r="O17" s="37" t="s">
        <v>125</v>
      </c>
    </row>
    <row r="18" spans="1:15" x14ac:dyDescent="0.25">
      <c r="A18" s="87" t="s">
        <v>49</v>
      </c>
      <c r="B18" s="1" cm="1">
        <f t="array" aca="1" ref="B18" ca="1">INDIRECT("'C Impact of Technique'!Q" &amp; 3 + (ROW(A14)-1)*4)*100</f>
        <v>-20.259485981490965</v>
      </c>
      <c r="C18" s="1" cm="1">
        <f t="array" aca="1" ref="C18" ca="1">INDIRECT("'C Impact of Technique'!Q" &amp; 5 + (ROW(A14)-1)*4)*100</f>
        <v>-22.376136589281785</v>
      </c>
      <c r="D18" s="1" cm="1">
        <f t="array" aca="1" ref="D18" ca="1">INDIRECT("'Python Impact of Technique'!V" &amp; 3 + (ROW(A14)-1)*4)*100</f>
        <v>-6.8791099551593513</v>
      </c>
      <c r="E18" s="1" cm="1">
        <f t="array" aca="1" ref="E18" ca="1">INDIRECT("'Python Impact of Technique'!V" &amp; 5 + (ROW(A14)-1)*4)*100</f>
        <v>-10.324756903777324</v>
      </c>
      <c r="F18" s="1" cm="1">
        <f t="array" aca="1" ref="F18" ca="1">INDIRECT("'Java Impact of Technique'!W" &amp; 3 + (ROW(A14)-1)*4)*100</f>
        <v>5.5328774597779615</v>
      </c>
      <c r="G18" s="1" cm="1">
        <f t="array" aca="1" ref="G18" ca="1">INDIRECT("'Java Impact of Technique'!W" &amp; 5 + (ROW(A14)-1)*4)*100</f>
        <v>-1.696180778665447E-2</v>
      </c>
      <c r="H18" s="39">
        <f ca="1">AVERAGE(Tabla3[[#This Row],[Impact (%)]:[Impact (%)2]])</f>
        <v>-21.317811285386377</v>
      </c>
      <c r="I18" s="39">
        <f ca="1">AVERAGE(Tabla3[[#This Row],[Impact (%)3]:[Impact (%)4]])</f>
        <v>-8.6019334294683372</v>
      </c>
      <c r="J18" s="39">
        <f ca="1">AVERAGE(Tabla3[[#This Row],[Impact (%)5]:[Impact (%)6]])</f>
        <v>2.7579578259956534</v>
      </c>
      <c r="K18" s="39">
        <f ca="1">AVERAGE(Tabla3[[#This Row],[Average impact (%) C]:[Average impact (%) Java]])</f>
        <v>-9.0539289629530213</v>
      </c>
      <c r="L18" s="37"/>
      <c r="M18" s="37" t="s">
        <v>125</v>
      </c>
      <c r="N18" s="37"/>
      <c r="O18" s="37" t="s">
        <v>125</v>
      </c>
    </row>
    <row r="19" spans="1:15" x14ac:dyDescent="0.25">
      <c r="A19" s="87" t="s">
        <v>51</v>
      </c>
      <c r="B19" s="1" cm="1">
        <f t="array" aca="1" ref="B19" ca="1">INDIRECT("'C Impact of Technique'!Q" &amp; 3 + (ROW(A15)-1)*4)*100</f>
        <v>0.32219652263731924</v>
      </c>
      <c r="C19" s="1" cm="1">
        <f t="array" aca="1" ref="C19" ca="1">INDIRECT("'C Impact of Technique'!Q" &amp; 5 + (ROW(A15)-1)*4)*100</f>
        <v>-89.181534844989258</v>
      </c>
      <c r="D19" s="1" cm="1">
        <f t="array" aca="1" ref="D19" ca="1">INDIRECT("'Python Impact of Technique'!V" &amp; 3 + (ROW(A15)-1)*4)*100</f>
        <v>-24.193086436020895</v>
      </c>
      <c r="E19" s="1" cm="1">
        <f t="array" aca="1" ref="E19" ca="1">INDIRECT("'Python Impact of Technique'!V" &amp; 5 + (ROW(A15)-1)*4)*100</f>
        <v>-15.49149791696304</v>
      </c>
      <c r="F19" s="1" cm="1">
        <f t="array" aca="1" ref="F19" ca="1">INDIRECT("'Java Impact of Technique'!W" &amp; 3 + (ROW(A15)-1)*4)*100</f>
        <v>0.55422094616288509</v>
      </c>
      <c r="G19" s="1" cm="1">
        <f t="array" aca="1" ref="G19" ca="1">INDIRECT("'Java Impact of Technique'!W" &amp; 5 + (ROW(A15)-1)*4)*100</f>
        <v>-25.734224431249263</v>
      </c>
      <c r="H19" s="39">
        <f ca="1">AVERAGE(Tabla3[[#This Row],[Impact (%)]:[Impact (%)2]])</f>
        <v>-44.429669161175973</v>
      </c>
      <c r="I19" s="39">
        <f ca="1">AVERAGE(Tabla3[[#This Row],[Impact (%)3]:[Impact (%)4]])</f>
        <v>-19.842292176491966</v>
      </c>
      <c r="J19" s="39">
        <f ca="1">AVERAGE(Tabla3[[#This Row],[Impact (%)5]:[Impact (%)6]])</f>
        <v>-12.590001742543189</v>
      </c>
      <c r="K19" s="39">
        <f ca="1">AVERAGE(Tabla3[[#This Row],[Average impact (%) C]:[Average impact (%) Java]])</f>
        <v>-25.620654360070375</v>
      </c>
      <c r="L19" s="37"/>
      <c r="M19" s="37" t="s">
        <v>125</v>
      </c>
      <c r="N19" s="37"/>
      <c r="O19" s="37" t="s">
        <v>125</v>
      </c>
    </row>
    <row r="20" spans="1:15" x14ac:dyDescent="0.25">
      <c r="A20" s="87" t="s">
        <v>55</v>
      </c>
      <c r="B20" s="1" cm="1">
        <f t="array" aca="1" ref="B20" ca="1">INDIRECT("'C Impact of Technique'!Q" &amp; 3 + (ROW(A16)-1)*4)*100</f>
        <v>117.53809318882146</v>
      </c>
      <c r="C20" s="1" cm="1">
        <f t="array" aca="1" ref="C20" ca="1">INDIRECT("'C Impact of Technique'!Q" &amp; 5 + (ROW(A16)-1)*4)*100</f>
        <v>-7.8200100193229805</v>
      </c>
      <c r="D20" s="1" cm="1">
        <f t="array" aca="1" ref="D20" ca="1">INDIRECT("'Python Impact of Technique'!V" &amp; 3 + (ROW(A16)-1)*4)*100</f>
        <v>18.437834636047523</v>
      </c>
      <c r="E20" s="1" cm="1">
        <f t="array" aca="1" ref="E20" ca="1">INDIRECT("'Python Impact of Technique'!V" &amp; 5 + (ROW(A16)-1)*4)*100</f>
        <v>20.585199929652369</v>
      </c>
      <c r="F20" s="1" cm="1">
        <f t="array" aca="1" ref="F20" ca="1">INDIRECT("'Java Impact of Technique'!W" &amp; 3 + (ROW(A16)-1)*4)*100</f>
        <v>32.655847197753729</v>
      </c>
      <c r="G20" s="1" cm="1">
        <f t="array" aca="1" ref="G20" ca="1">INDIRECT("'Java Impact of Technique'!W" &amp; 5 + (ROW(A16)-1)*4)*100</f>
        <v>33.396223426190964</v>
      </c>
      <c r="H20" s="39">
        <f ca="1">AVERAGE(Tabla3[[#This Row],[Impact (%)]:[Impact (%)2]])</f>
        <v>54.859041584749242</v>
      </c>
      <c r="I20" s="39">
        <f ca="1">AVERAGE(Tabla3[[#This Row],[Impact (%)3]:[Impact (%)4]])</f>
        <v>19.511517282849944</v>
      </c>
      <c r="J20" s="39">
        <f ca="1">AVERAGE(Tabla3[[#This Row],[Impact (%)5]:[Impact (%)6]])</f>
        <v>33.02603531197235</v>
      </c>
      <c r="K20" s="39">
        <f ca="1">AVERAGE(Tabla3[[#This Row],[Average impact (%) C]:[Average impact (%) Java]])</f>
        <v>35.798864726523846</v>
      </c>
      <c r="L20" s="37"/>
      <c r="M20" s="37"/>
      <c r="N20" s="37"/>
      <c r="O20" s="88" t="s">
        <v>125</v>
      </c>
    </row>
    <row r="21" spans="1:15" x14ac:dyDescent="0.25">
      <c r="A21" s="87" t="s">
        <v>57</v>
      </c>
      <c r="B21" s="1" cm="1">
        <f t="array" aca="1" ref="B21" ca="1">INDIRECT("'C Impact of Technique'!Q" &amp; 3 + (ROW(A17)-1)*4)*100</f>
        <v>1.8577494692144394</v>
      </c>
      <c r="C21" s="1" cm="1">
        <f t="array" aca="1" ref="C21" ca="1">INDIRECT("'C Impact of Technique'!Q" &amp; 5 + (ROW(A17)-1)*4)*100</f>
        <v>4.2873051224944128</v>
      </c>
      <c r="D21" s="1" cm="1">
        <f t="array" aca="1" ref="D21" ca="1">INDIRECT("'Python Impact of Technique'!V" &amp; 3 + (ROW(A17)-1)*4)*100</f>
        <v>3.3175865989495472</v>
      </c>
      <c r="E21" s="1" cm="1">
        <f t="array" aca="1" ref="E21" ca="1">INDIRECT("'Python Impact of Technique'!V" &amp; 5 + (ROW(A17)-1)*4)*100</f>
        <v>16.449833371527653</v>
      </c>
      <c r="F21" s="1" cm="1">
        <f t="array" aca="1" ref="F21" ca="1">INDIRECT("'Java Impact of Technique'!W" &amp; 3 + (ROW(A17)-1)*4)*100</f>
        <v>-0.79376207599354631</v>
      </c>
      <c r="G21" s="1" cm="1">
        <f t="array" aca="1" ref="G21" ca="1">INDIRECT("'Java Impact of Technique'!W" &amp; 5 + (ROW(A17)-1)*4)*100</f>
        <v>0.67577257562733128</v>
      </c>
      <c r="H21" s="39">
        <f ca="1">AVERAGE(Tabla3[[#This Row],[Impact (%)]:[Impact (%)2]])</f>
        <v>3.0725272958544263</v>
      </c>
      <c r="I21" s="39">
        <f ca="1">AVERAGE(Tabla3[[#This Row],[Impact (%)3]:[Impact (%)4]])</f>
        <v>9.8837099852385997</v>
      </c>
      <c r="J21" s="39">
        <f ca="1">AVERAGE(Tabla3[[#This Row],[Impact (%)5]:[Impact (%)6]])</f>
        <v>-5.8994750183107514E-2</v>
      </c>
      <c r="K21" s="39">
        <f ca="1">AVERAGE(Tabla3[[#This Row],[Average impact (%) C]:[Average impact (%) Java]])</f>
        <v>4.2990808436366397</v>
      </c>
      <c r="L21" s="37"/>
      <c r="M21" s="37"/>
      <c r="N21" s="37" t="s">
        <v>125</v>
      </c>
      <c r="O21" s="88"/>
    </row>
    <row r="22" spans="1:15" x14ac:dyDescent="0.25">
      <c r="A22" s="87" t="s">
        <v>61</v>
      </c>
      <c r="B22" s="1" cm="1">
        <f t="array" aca="1" ref="B22" ca="1">INDIRECT("'C Impact of Technique'!Q" &amp; 3 + (ROW(A18)-1)*4)*100</f>
        <v>47.885204720464124</v>
      </c>
      <c r="C22" s="1" cm="1">
        <f t="array" aca="1" ref="C22" ca="1">INDIRECT("'C Impact of Technique'!Q" &amp; 5 + (ROW(A18)-1)*4)*100</f>
        <v>43.859344756558819</v>
      </c>
      <c r="D22" s="1" cm="1">
        <f t="array" aca="1" ref="D22" ca="1">INDIRECT("'Python Impact of Technique'!V" &amp; 3 + (ROW(A18)-1)*4)*100</f>
        <v>101.05267119561432</v>
      </c>
      <c r="E22" s="1" cm="1">
        <f t="array" aca="1" ref="E22" ca="1">INDIRECT("'Python Impact of Technique'!V" &amp; 5 + (ROW(A18)-1)*4)*100</f>
        <v>4.0793259725610227</v>
      </c>
      <c r="F22" s="1" cm="1">
        <f t="array" aca="1" ref="F22" ca="1">INDIRECT("'Java Impact of Technique'!W" &amp; 3 + (ROW(A18)-1)*4)*100</f>
        <v>26.154581551808981</v>
      </c>
      <c r="G22" s="1" cm="1">
        <f t="array" aca="1" ref="G22" ca="1">INDIRECT("'Java Impact of Technique'!W" &amp; 5 + (ROW(A18)-1)*4)*100</f>
        <v>63.283270165936422</v>
      </c>
      <c r="H22" s="39">
        <f ca="1">AVERAGE(Tabla3[[#This Row],[Impact (%)]:[Impact (%)2]])</f>
        <v>45.872274738511472</v>
      </c>
      <c r="I22" s="39">
        <f ca="1">AVERAGE(Tabla3[[#This Row],[Impact (%)3]:[Impact (%)4]])</f>
        <v>52.565998584087673</v>
      </c>
      <c r="J22" s="39">
        <f ca="1">AVERAGE(Tabla3[[#This Row],[Impact (%)5]:[Impact (%)6]])</f>
        <v>44.718925858872701</v>
      </c>
      <c r="K22" s="39">
        <f ca="1">AVERAGE(Tabla3[[#This Row],[Average impact (%) C]:[Average impact (%) Java]])</f>
        <v>47.719066393823944</v>
      </c>
      <c r="L22" s="37"/>
      <c r="M22" s="37" t="s">
        <v>125</v>
      </c>
      <c r="N22" s="37"/>
      <c r="O22" s="88"/>
    </row>
    <row r="23" spans="1:15" x14ac:dyDescent="0.25">
      <c r="A23" s="87" t="s">
        <v>63</v>
      </c>
      <c r="B23" s="1" cm="1">
        <f t="array" aca="1" ref="B23" ca="1">INDIRECT("'C Impact of Technique'!Q" &amp; 3 + (ROW(A19)-1)*4)*100</f>
        <v>-15.429309231762423</v>
      </c>
      <c r="C23" s="1" cm="1">
        <f t="array" aca="1" ref="C23" ca="1">INDIRECT("'C Impact of Technique'!Q" &amp; 5 + (ROW(A19)-1)*4)*100</f>
        <v>7.3619631901840439</v>
      </c>
      <c r="D23" s="1" cm="1">
        <f t="array" aca="1" ref="D23" ca="1">INDIRECT("'Python Impact of Technique'!V" &amp; 3 + (ROW(A19)-1)*4)*100</f>
        <v>-10.381105691372278</v>
      </c>
      <c r="E23" s="1" cm="1">
        <f t="array" aca="1" ref="E23" ca="1">INDIRECT("'Python Impact of Technique'!V" &amp; 5 + (ROW(A19)-1)*4)*100</f>
        <v>33.902988700528802</v>
      </c>
      <c r="F23" s="1" cm="1">
        <f t="array" aca="1" ref="F23" ca="1">INDIRECT("'Java Impact of Technique'!W" &amp; 3 + (ROW(A19)-1)*4)*100</f>
        <v>-29.658398233701515</v>
      </c>
      <c r="G23" s="1" cm="1">
        <f t="array" aca="1" ref="G23" ca="1">INDIRECT("'Java Impact of Technique'!W" &amp; 5 + (ROW(A19)-1)*4)*100</f>
        <v>8.0137405952079401</v>
      </c>
      <c r="H23" s="39">
        <f ca="1">AVERAGE(Tabla3[[#This Row],[Impact (%)]:[Impact (%)2]])</f>
        <v>-4.0336730207891893</v>
      </c>
      <c r="I23" s="39">
        <f ca="1">AVERAGE(Tabla3[[#This Row],[Impact (%)3]:[Impact (%)4]])</f>
        <v>11.760941504578263</v>
      </c>
      <c r="J23" s="39">
        <f ca="1">AVERAGE(Tabla3[[#This Row],[Impact (%)5]:[Impact (%)6]])</f>
        <v>-10.822328819246788</v>
      </c>
      <c r="K23" s="39">
        <f ca="1">AVERAGE(Tabla3[[#This Row],[Average impact (%) C]:[Average impact (%) Java]])</f>
        <v>-1.031686778485905</v>
      </c>
      <c r="L23" s="37"/>
      <c r="M23" s="37" t="s">
        <v>125</v>
      </c>
      <c r="N23" s="37"/>
      <c r="O23" s="88"/>
    </row>
    <row r="24" spans="1:15" x14ac:dyDescent="0.25">
      <c r="A24" s="87" t="s">
        <v>65</v>
      </c>
      <c r="B24" s="1" cm="1">
        <f t="array" aca="1" ref="B24" ca="1">INDIRECT("'C Impact of Technique'!Q" &amp; 3 + (ROW(A20)-1)*4)*100</f>
        <v>-1.4104372355430175</v>
      </c>
      <c r="C24" s="1" cm="1">
        <f t="array" aca="1" ref="C24" ca="1">INDIRECT("'C Impact of Technique'!Q" &amp; 5 + (ROW(A20)-1)*4)*100</f>
        <v>3.9135514018691571</v>
      </c>
      <c r="D24" s="1" cm="1">
        <f t="array" aca="1" ref="D24" ca="1">INDIRECT("'Python Impact of Technique'!V" &amp; 3 + (ROW(A20)-1)*4)*100</f>
        <v>-4.1382729181149465</v>
      </c>
      <c r="E24" s="1" cm="1">
        <f t="array" aca="1" ref="E24" ca="1">INDIRECT("'Python Impact of Technique'!V" &amp; 5 + (ROW(A20)-1)*4)*100</f>
        <v>-0.30565399865311282</v>
      </c>
      <c r="F24" s="1" cm="1">
        <f t="array" aca="1" ref="F24" ca="1">INDIRECT("'Java Impact of Technique'!W" &amp; 3 + (ROW(A20)-1)*4)*100</f>
        <v>1.8483855872718766</v>
      </c>
      <c r="G24" s="1" cm="1">
        <f t="array" aca="1" ref="G24" ca="1">INDIRECT("'Java Impact of Technique'!W" &amp; 5 + (ROW(A20)-1)*4)*100</f>
        <v>-4.8223016073483445</v>
      </c>
      <c r="H24" s="39">
        <f ca="1">AVERAGE(Tabla3[[#This Row],[Impact (%)]:[Impact (%)2]])</f>
        <v>1.2515570831630698</v>
      </c>
      <c r="I24" s="39">
        <f ca="1">AVERAGE(Tabla3[[#This Row],[Impact (%)3]:[Impact (%)4]])</f>
        <v>-2.2219634583840295</v>
      </c>
      <c r="J24" s="39">
        <f ca="1">AVERAGE(Tabla3[[#This Row],[Impact (%)5]:[Impact (%)6]])</f>
        <v>-1.4869580100382338</v>
      </c>
      <c r="K24" s="39">
        <f ca="1">AVERAGE(Tabla3[[#This Row],[Average impact (%) C]:[Average impact (%) Java]])</f>
        <v>-0.81912146175306455</v>
      </c>
      <c r="L24" s="37"/>
      <c r="M24" s="37" t="s">
        <v>125</v>
      </c>
      <c r="N24" s="37"/>
      <c r="O24" s="88"/>
    </row>
    <row r="25" spans="1:15" x14ac:dyDescent="0.25">
      <c r="A25" s="87" t="s">
        <v>71</v>
      </c>
      <c r="B25" s="1" cm="1">
        <f t="array" aca="1" ref="B25" ca="1">INDIRECT("'C Impact of Technique'!Q" &amp; 3 + (ROW(A21)-1)*4)*100</f>
        <v>-3.351687592375272</v>
      </c>
      <c r="C25" s="1" cm="1">
        <f t="array" aca="1" ref="C25" ca="1">INDIRECT("'C Impact of Technique'!Q" &amp; 5 + (ROW(A21)-1)*4)*100</f>
        <v>10.571652310101806</v>
      </c>
      <c r="D25" s="1" cm="1">
        <f t="array" aca="1" ref="D25" ca="1">INDIRECT("'Python Impact of Technique'!V" &amp; 3 + (ROW(A21)-1)*4)*100</f>
        <v>-13.259511732246471</v>
      </c>
      <c r="E25" s="1" cm="1">
        <f t="array" aca="1" ref="E25" ca="1">INDIRECT("'Python Impact of Technique'!V" &amp; 5 + (ROW(A21)-1)*4)*100</f>
        <v>-12.028577040559247</v>
      </c>
      <c r="F25" s="1" cm="1">
        <f t="array" aca="1" ref="F25" ca="1">INDIRECT("'Java Impact of Technique'!W" &amp; 3 + (ROW(A21)-1)*4)*100</f>
        <v>-7.5011132650567021</v>
      </c>
      <c r="G25" s="1" cm="1">
        <f t="array" aca="1" ref="G25" ca="1">INDIRECT("'Java Impact of Technique'!W" &amp; 5 + (ROW(A21)-1)*4)*100</f>
        <v>-16.049971866075001</v>
      </c>
      <c r="H25" s="39">
        <f ca="1">AVERAGE(Tabla3[[#This Row],[Impact (%)]:[Impact (%)2]])</f>
        <v>3.6099823588632667</v>
      </c>
      <c r="I25" s="39">
        <f ca="1">AVERAGE(Tabla3[[#This Row],[Impact (%)3]:[Impact (%)4]])</f>
        <v>-12.644044386402859</v>
      </c>
      <c r="J25" s="39">
        <f ca="1">AVERAGE(Tabla3[[#This Row],[Impact (%)5]:[Impact (%)6]])</f>
        <v>-11.775542565565852</v>
      </c>
      <c r="K25" s="39">
        <f ca="1">AVERAGE(Tabla3[[#This Row],[Average impact (%) C]:[Average impact (%) Java]])</f>
        <v>-6.9365348643684817</v>
      </c>
      <c r="L25" s="37"/>
      <c r="M25" s="37"/>
      <c r="N25" s="37"/>
      <c r="O25" s="88" t="s">
        <v>125</v>
      </c>
    </row>
    <row r="26" spans="1:15" x14ac:dyDescent="0.25">
      <c r="A26" s="87" t="s">
        <v>79</v>
      </c>
      <c r="B26" s="1" cm="1">
        <f t="array" aca="1" ref="B26" ca="1">INDIRECT("'C Impact of Technique'!Q" &amp; 3 + (ROW(A22)-1)*4)*100</f>
        <v>-15.380015339371027</v>
      </c>
      <c r="C26" s="1" cm="1">
        <f t="array" aca="1" ref="C26" ca="1">INDIRECT("'C Impact of Technique'!Q" &amp; 5 + (ROW(A22)-1)*4)*100</f>
        <v>-78.789760357693382</v>
      </c>
      <c r="D26" s="1" cm="1">
        <f t="array" aca="1" ref="D26" ca="1">INDIRECT("'Python Impact of Technique'!V" &amp; 3 + (ROW(A22)-1)*4)*100</f>
        <v>-37.571502279778656</v>
      </c>
      <c r="E26" s="1" cm="1">
        <f t="array" aca="1" ref="E26" ca="1">INDIRECT("'Python Impact of Technique'!V" &amp; 5 + (ROW(A22)-1)*4)*100</f>
        <v>0.50763369723440022</v>
      </c>
      <c r="F26" s="1" cm="1">
        <f t="array" aca="1" ref="F26" ca="1">INDIRECT("'Java Impact of Technique'!W" &amp; 3 + (ROW(A22)-1)*4)*100</f>
        <v>-2.47059467199918</v>
      </c>
      <c r="G26" s="1" cm="1">
        <f t="array" aca="1" ref="G26" ca="1">INDIRECT("'Java Impact of Technique'!W" &amp; 5 + (ROW(A22)-1)*4)*100</f>
        <v>-72.170812375656382</v>
      </c>
      <c r="H26" s="39">
        <f ca="1">AVERAGE(Tabla3[[#This Row],[Impact (%)]:[Impact (%)2]])</f>
        <v>-47.084887848532205</v>
      </c>
      <c r="I26" s="39">
        <f ca="1">AVERAGE(Tabla3[[#This Row],[Impact (%)3]:[Impact (%)4]])</f>
        <v>-18.53193429127213</v>
      </c>
      <c r="J26" s="39">
        <f ca="1">AVERAGE(Tabla3[[#This Row],[Impact (%)5]:[Impact (%)6]])</f>
        <v>-37.320703523827781</v>
      </c>
      <c r="K26" s="39">
        <f ca="1">AVERAGE(Tabla3[[#This Row],[Average impact (%) C]:[Average impact (%) Java]])</f>
        <v>-34.312508554544031</v>
      </c>
      <c r="L26" s="37"/>
      <c r="M26" s="37"/>
      <c r="N26" s="37"/>
      <c r="O26" s="88" t="s">
        <v>125</v>
      </c>
    </row>
    <row r="27" spans="1:15" x14ac:dyDescent="0.25">
      <c r="A27" s="87" t="s">
        <v>87</v>
      </c>
      <c r="B27" s="1" cm="1">
        <f t="array" aca="1" ref="B27" ca="1">INDIRECT("'C Impact of Technique'!Q" &amp; 3 + (ROW(A23)-1)*4)*100</f>
        <v>-15.222826886306814</v>
      </c>
      <c r="C27" s="1" cm="1">
        <f t="array" aca="1" ref="C27" ca="1">INDIRECT("'C Impact of Technique'!Q" &amp; 5 + (ROW(A23)-1)*4)*100</f>
        <v>15.288509389978774</v>
      </c>
      <c r="D27" s="1" cm="1">
        <f t="array" aca="1" ref="D27" ca="1">INDIRECT("'Python Impact of Technique'!V" &amp; 3 + (ROW(A23)-1)*4)*100</f>
        <v>-1.0895480132343356</v>
      </c>
      <c r="E27" s="1" cm="1">
        <f t="array" aca="1" ref="E27" ca="1">INDIRECT("'Python Impact of Technique'!V" &amp; 5 + (ROW(A23)-1)*4)*100</f>
        <v>1.2958413017751322</v>
      </c>
      <c r="F27" s="1" cm="1">
        <f t="array" aca="1" ref="F27" ca="1">INDIRECT("'Java Impact of Technique'!W" &amp; 3 + (ROW(A23)-1)*4)*100</f>
        <v>-1.5872082736901827</v>
      </c>
      <c r="G27" s="1" cm="1">
        <f t="array" aca="1" ref="G27" ca="1">INDIRECT("'Java Impact of Technique'!W" &amp; 5 + (ROW(A23)-1)*4)*100</f>
        <v>7.9427044656595021</v>
      </c>
      <c r="H27" s="39">
        <f ca="1">AVERAGE(Tabla3[[#This Row],[Impact (%)]:[Impact (%)2]])</f>
        <v>3.2841251835979968E-2</v>
      </c>
      <c r="I27" s="39">
        <f ca="1">AVERAGE(Tabla3[[#This Row],[Impact (%)3]:[Impact (%)4]])</f>
        <v>0.10314664427039832</v>
      </c>
      <c r="J27" s="39">
        <f ca="1">AVERAGE(Tabla3[[#This Row],[Impact (%)5]:[Impact (%)6]])</f>
        <v>3.1777480959846596</v>
      </c>
      <c r="K27" s="39">
        <f ca="1">AVERAGE(Tabla3[[#This Row],[Average impact (%) C]:[Average impact (%) Java]])</f>
        <v>1.1045786640303461</v>
      </c>
      <c r="L27" s="37"/>
      <c r="M27" s="37"/>
      <c r="N27" s="37" t="s">
        <v>125</v>
      </c>
      <c r="O27" s="88"/>
    </row>
    <row r="28" spans="1:15" x14ac:dyDescent="0.25">
      <c r="A28" s="87" t="s">
        <v>91</v>
      </c>
      <c r="B28" s="1" cm="1">
        <f t="array" aca="1" ref="B28" ca="1">INDIRECT("'C Impact of Technique'!Q" &amp; 3 + (ROW(A24)-1)*4)*100</f>
        <v>-57.77473300181024</v>
      </c>
      <c r="C28" s="1" cm="1">
        <f t="array" aca="1" ref="C28" ca="1">INDIRECT("'C Impact of Technique'!Q" &amp; 5 + (ROW(A24)-1)*4)*100</f>
        <v>449.66941262665063</v>
      </c>
      <c r="D28" s="1" cm="1">
        <f t="array" aca="1" ref="D28" ca="1">INDIRECT("'Python Impact of Technique'!V" &amp; 3 + (ROW(A24)-1)*4)*100</f>
        <v>-44.557423091856222</v>
      </c>
      <c r="E28" s="1" cm="1">
        <f t="array" aca="1" ref="E28" ca="1">INDIRECT("'Python Impact of Technique'!V" &amp; 5 + (ROW(A24)-1)*4)*100</f>
        <v>-34.27749333370857</v>
      </c>
      <c r="F28" s="1" cm="1">
        <f t="array" aca="1" ref="F28" ca="1">INDIRECT("'Java Impact of Technique'!W" &amp; 3 + (ROW(A24)-1)*4)*100</f>
        <v>-48.90840481039082</v>
      </c>
      <c r="G28" s="1" cm="1">
        <f t="array" aca="1" ref="G28" ca="1">INDIRECT("'Java Impact of Technique'!W" &amp; 5 + (ROW(A24)-1)*4)*100</f>
        <v>-59.481514999310768</v>
      </c>
      <c r="H28" s="39">
        <f ca="1">AVERAGE(Tabla3[[#This Row],[Impact (%)]:[Impact (%)2]])</f>
        <v>195.94733981242018</v>
      </c>
      <c r="I28" s="39">
        <f ca="1">AVERAGE(Tabla3[[#This Row],[Impact (%)3]:[Impact (%)4]])</f>
        <v>-39.417458212782392</v>
      </c>
      <c r="J28" s="39">
        <f ca="1">AVERAGE(Tabla3[[#This Row],[Impact (%)5]:[Impact (%)6]])</f>
        <v>-54.194959904850791</v>
      </c>
      <c r="K28" s="39">
        <f ca="1">AVERAGE(Tabla3[[#This Row],[Average impact (%) C]:[Average impact (%) Java]])</f>
        <v>34.111640564929004</v>
      </c>
      <c r="L28" s="37"/>
      <c r="M28" s="37" t="s">
        <v>125</v>
      </c>
      <c r="N28" s="37"/>
      <c r="O28" s="88"/>
    </row>
    <row r="29" spans="1:15" x14ac:dyDescent="0.25">
      <c r="A29" s="87" t="s">
        <v>93</v>
      </c>
      <c r="B29" s="1" cm="1">
        <f t="array" aca="1" ref="B29" ca="1">INDIRECT("'C Impact of Technique'!Q" &amp; 3 + (ROW(A25)-1)*4)*100</f>
        <v>-50.531083840924026</v>
      </c>
      <c r="C29" s="1" cm="1">
        <f t="array" aca="1" ref="C29" ca="1">INDIRECT("'C Impact of Technique'!Q" &amp; 5 + (ROW(A25)-1)*4)*100</f>
        <v>6.969696969696952</v>
      </c>
      <c r="D29" s="1" cm="1">
        <f t="array" aca="1" ref="D29" ca="1">INDIRECT("'Python Impact of Technique'!V" &amp; 3 + (ROW(A25)-1)*4)*100</f>
        <v>-22.594942100395375</v>
      </c>
      <c r="E29" s="1" cm="1">
        <f t="array" aca="1" ref="E29" ca="1">INDIRECT("'Python Impact of Technique'!V" &amp; 5 + (ROW(A25)-1)*4)*100</f>
        <v>-31.728834126386378</v>
      </c>
      <c r="F29" s="1" cm="1">
        <f t="array" aca="1" ref="F29" ca="1">INDIRECT("'Java Impact of Technique'!W" &amp; 3 + (ROW(A25)-1)*4)*100</f>
        <v>-20.147074882501791</v>
      </c>
      <c r="G29" s="1" cm="1">
        <f t="array" aca="1" ref="G29" ca="1">INDIRECT("'Java Impact of Technique'!W" &amp; 5 + (ROW(A25)-1)*4)*100</f>
        <v>-47.543973477662909</v>
      </c>
      <c r="H29" s="39">
        <f ca="1">AVERAGE(Tabla3[[#This Row],[Impact (%)]:[Impact (%)2]])</f>
        <v>-21.780693435613536</v>
      </c>
      <c r="I29" s="39">
        <f ca="1">AVERAGE(Tabla3[[#This Row],[Impact (%)3]:[Impact (%)4]])</f>
        <v>-27.161888113390876</v>
      </c>
      <c r="J29" s="39">
        <f ca="1">AVERAGE(Tabla3[[#This Row],[Impact (%)5]:[Impact (%)6]])</f>
        <v>-33.84552418008235</v>
      </c>
      <c r="K29" s="39">
        <f ca="1">AVERAGE(Tabla3[[#This Row],[Average impact (%) C]:[Average impact (%) Java]])</f>
        <v>-27.596035243028922</v>
      </c>
      <c r="L29" s="37"/>
      <c r="M29" s="37" t="s">
        <v>125</v>
      </c>
      <c r="N29" s="37"/>
      <c r="O29" s="88"/>
    </row>
    <row r="30" spans="1:15" x14ac:dyDescent="0.25">
      <c r="A30" s="89" t="s">
        <v>95</v>
      </c>
      <c r="B30" s="1" cm="1">
        <f t="array" aca="1" ref="B30" ca="1">INDIRECT("'C Impact of Technique'!Q" &amp; 3 + (ROW(A26)-1)*4)*100</f>
        <v>-4.2171628465208926</v>
      </c>
      <c r="C30" s="1" cm="1">
        <f t="array" aca="1" ref="C30" ca="1">INDIRECT("'C Impact of Technique'!Q" &amp; 5 + (ROW(A26)-1)*4)*100</f>
        <v>-6.3647084479714771</v>
      </c>
      <c r="D30" s="1" cm="1">
        <f t="array" aca="1" ref="D30" ca="1">INDIRECT("'Python Impact of Technique'!V" &amp; 3 + (ROW(A26)-1)*4)*100</f>
        <v>-4.7721217400215119</v>
      </c>
      <c r="E30" s="1" cm="1">
        <f t="array" aca="1" ref="E30" ca="1">INDIRECT("'Python Impact of Technique'!V" &amp; 5 + (ROW(A26)-1)*4)*100</f>
        <v>-7.6442299034682817</v>
      </c>
      <c r="F30" s="1" cm="1">
        <f t="array" aca="1" ref="F30" ca="1">INDIRECT("'Java Impact of Technique'!W" &amp; 3 + (ROW(A26)-1)*4)*100</f>
        <v>13.42700471742792</v>
      </c>
      <c r="G30" s="1" cm="1">
        <f t="array" aca="1" ref="G30" ca="1">INDIRECT("'Java Impact of Technique'!W" &amp; 5 + (ROW(A26)-1)*4)*100</f>
        <v>-11.584929075908819</v>
      </c>
      <c r="H30" s="39">
        <f ca="1">AVERAGE(Tabla3[[#This Row],[Impact (%)]:[Impact (%)2]])</f>
        <v>-5.2909356472461848</v>
      </c>
      <c r="I30" s="39">
        <f ca="1">AVERAGE(Tabla3[[#This Row],[Impact (%)3]:[Impact (%)4]])</f>
        <v>-6.2081758217448968</v>
      </c>
      <c r="J30" s="39">
        <f ca="1">AVERAGE(Tabla3[[#This Row],[Impact (%)5]:[Impact (%)6]])</f>
        <v>0.92103782075955021</v>
      </c>
      <c r="K30" s="39">
        <f ca="1">AVERAGE(Tabla3[[#This Row],[Average impact (%) C]:[Average impact (%) Java]])</f>
        <v>-3.52602454941051</v>
      </c>
      <c r="L30" s="6"/>
      <c r="M30" s="6" t="s">
        <v>125</v>
      </c>
      <c r="N30" s="6"/>
      <c r="O30" s="90"/>
    </row>
    <row r="31" spans="1:15" x14ac:dyDescent="0.25">
      <c r="A31" s="25"/>
      <c r="B31" s="1"/>
      <c r="C31" s="1"/>
      <c r="D31" s="1"/>
      <c r="E31" s="1"/>
      <c r="F31" s="1"/>
      <c r="G31" s="1"/>
      <c r="H31" s="1"/>
      <c r="I31" s="1"/>
      <c r="J31" s="1"/>
      <c r="K31" s="1" t="s">
        <v>121</v>
      </c>
      <c r="L31" s="71">
        <f ca="1">AVERAGEIF(Tabla3[(1) data/memory structure],"x",Tabla3[Global impact (%)])</f>
        <v>-35.653156911562739</v>
      </c>
      <c r="M31" s="71">
        <f ca="1">AVERAGEIF(Tabla3[(2) algorithm implementation],"x",Tabla3[Global impact (%)])</f>
        <v>-11.84413972930893</v>
      </c>
      <c r="N31" s="71">
        <f ca="1">AVERAGEIF(Tabla3[(3) arithmetic/logic operations],"x",Tabla3[Global impact (%)])</f>
        <v>4.3537295607639352</v>
      </c>
      <c r="O31" s="71">
        <f ca="1">AVERAGEIF(Tabla3[(4) loops],"x",Tabla3[Global impact (%)])</f>
        <v>-19.876465081174061</v>
      </c>
    </row>
    <row r="32" spans="1:15" x14ac:dyDescent="0.25">
      <c r="K32" s="65" t="s">
        <v>122</v>
      </c>
      <c r="L32" s="71">
        <f ca="1">AVERAGEIF(Tabla3[(1) data/memory structure],"x",Tabla3[Average impact (%) C])</f>
        <v>-28.548157880735651</v>
      </c>
      <c r="M32" s="71">
        <f ca="1">AVERAGEIF(Tabla3[(2) algorithm implementation],"x",Tabla3[Average impact (%) C])</f>
        <v>-1.797684385168584</v>
      </c>
      <c r="N32" s="71">
        <f ca="1">AVERAGEIF(Tabla3[(3) arithmetic/logic operations],"x",Tabla3[Average impact (%) C])</f>
        <v>1.2020348886763821</v>
      </c>
      <c r="O32" s="71">
        <f ca="1">AVERAGEIF(Tabla3[(4) loops],"x",Tabla3[Average impact (%) C])</f>
        <v>-20.188030625494999</v>
      </c>
    </row>
    <row r="33" spans="11:15" x14ac:dyDescent="0.25">
      <c r="K33" s="65" t="s">
        <v>123</v>
      </c>
      <c r="L33" s="71">
        <f ca="1">AVERAGEIF(Tabla3[(1) data/memory structure],"x",Tabla3[Average impact (%) Python])</f>
        <v>-31.945865711095411</v>
      </c>
      <c r="M33" s="71">
        <f ca="1">AVERAGEIF(Tabla3[(2) algorithm implementation],"x",Tabla3[Average impact (%) Python])</f>
        <v>-15.396312346900627</v>
      </c>
      <c r="N33" s="71">
        <f ca="1">AVERAGEIF(Tabla3[(3) arithmetic/logic operations],"x",Tabla3[Average impact (%) Python])</f>
        <v>4.3938395295407311</v>
      </c>
      <c r="O33" s="71">
        <f ca="1">AVERAGEIF(Tabla3[(4) loops],"x",Tabla3[Average impact (%) Java])</f>
        <v>-22.535984171809318</v>
      </c>
    </row>
    <row r="34" spans="11:15" ht="15.75" thickBot="1" x14ac:dyDescent="0.3">
      <c r="K34" s="65" t="s">
        <v>187</v>
      </c>
      <c r="L34" s="71">
        <f ca="1">AVERAGEIF(Tabla3[(1) data/memory structure],"x",Tabla3[Average impact (%) Java])</f>
        <v>-46.465447142857158</v>
      </c>
      <c r="M34" s="71">
        <f ca="1">AVERAGEIF(Tabla3[(2) algorithm implementation],"x",Tabla3[Average impact (%) Java])</f>
        <v>-18.338422455857575</v>
      </c>
      <c r="N34" s="71">
        <f ca="1">AVERAGEIF(Tabla3[(3) arithmetic/logic operations],"x",Tabla3[Average impact (%) Java])</f>
        <v>7.4653142640746939</v>
      </c>
      <c r="O34" s="71">
        <f ca="1">AVERAGEIF(Tabla3[(4) loops],"x",Tabla3[Average impact (%) Python])</f>
        <v>-16.905380446217887</v>
      </c>
    </row>
    <row r="35" spans="11:15" ht="15.75" thickTop="1" x14ac:dyDescent="0.25">
      <c r="K35" s="72" t="s">
        <v>179</v>
      </c>
      <c r="L35" s="73">
        <f ca="1">AVERAGEIF(Tabla3[(1) data/memory structure],"x",Tabla3[Global impact (%)])</f>
        <v>-35.653156911562739</v>
      </c>
      <c r="M35" s="73">
        <f ca="1">AVERAGEIF(Tabla3[(2) algorithm implementation],"x",Tabla3[Global impact (%)])</f>
        <v>-11.84413972930893</v>
      </c>
      <c r="N35" s="73">
        <f ca="1">AVERAGEIF(Tabla3[(3) arithmetic/logic operations],"x",Tabla3[Global impact (%)])</f>
        <v>4.3537295607639352</v>
      </c>
      <c r="O35" s="73">
        <f ca="1">AVERAGEIF(Tabla3[(4) loops],"x",Tabla3[Global impact (%)])</f>
        <v>-19.876465081174061</v>
      </c>
    </row>
  </sheetData>
  <mergeCells count="3">
    <mergeCell ref="B2:C2"/>
    <mergeCell ref="D2:E2"/>
    <mergeCell ref="F2:G2"/>
  </mergeCells>
  <conditionalFormatting sqref="H5:H30">
    <cfRule type="expression" dxfId="27" priority="36">
      <formula>AND(H5 &gt; -3, H5 &lt; 3)</formula>
    </cfRule>
    <cfRule type="expression" dxfId="26" priority="37">
      <formula>AND(H5 &gt; -25, H5 &lt;= -3)</formula>
    </cfRule>
    <cfRule type="expression" dxfId="25" priority="38">
      <formula>AND(H5 &gt; -75, H5 &lt;= -25)</formula>
    </cfRule>
    <cfRule type="expression" dxfId="24" priority="39">
      <formula>H5 &lt;= -75</formula>
    </cfRule>
    <cfRule type="expression" dxfId="23" priority="40">
      <formula>AND(H5 &lt; 25, H5 &gt;= 3)</formula>
    </cfRule>
    <cfRule type="expression" dxfId="22" priority="41">
      <formula>AND(H5 &lt; 75, H5 &gt;= 25)</formula>
    </cfRule>
    <cfRule type="expression" dxfId="21" priority="42">
      <formula>H5 &gt;= 75</formula>
    </cfRule>
  </conditionalFormatting>
  <conditionalFormatting sqref="I5:I30">
    <cfRule type="expression" dxfId="20" priority="15">
      <formula>AND(I5 &gt; -3, I5 &lt; 3)</formula>
    </cfRule>
    <cfRule type="expression" dxfId="19" priority="16">
      <formula>AND(I5 &gt; -25, I5 &lt;= -3)</formula>
    </cfRule>
    <cfRule type="expression" dxfId="18" priority="17">
      <formula>AND(I5 &gt; -75, I5 &lt;= -25)</formula>
    </cfRule>
    <cfRule type="expression" dxfId="17" priority="18">
      <formula>I5 &lt;= -75</formula>
    </cfRule>
    <cfRule type="expression" dxfId="16" priority="19">
      <formula>AND(I5 &lt; 25, I5 &gt;= 3)</formula>
    </cfRule>
    <cfRule type="expression" dxfId="15" priority="20">
      <formula>AND(I5 &lt; 75, I5 &gt;= 25)</formula>
    </cfRule>
    <cfRule type="expression" dxfId="14" priority="21">
      <formula>I5 &gt;= 75</formula>
    </cfRule>
  </conditionalFormatting>
  <conditionalFormatting sqref="J5:J30">
    <cfRule type="expression" dxfId="13" priority="8">
      <formula>AND(J5 &gt; -3, J5 &lt; 3)</formula>
    </cfRule>
    <cfRule type="expression" dxfId="12" priority="9">
      <formula>AND(J5 &gt; -25, J5 &lt;= -3)</formula>
    </cfRule>
    <cfRule type="expression" dxfId="11" priority="10">
      <formula>AND(J5 &gt; -75, J5 &lt;= -25)</formula>
    </cfRule>
    <cfRule type="expression" dxfId="10" priority="11">
      <formula>J5 &lt;= -75</formula>
    </cfRule>
    <cfRule type="expression" dxfId="9" priority="12">
      <formula>AND(J5 &lt; 25, J5 &gt;= 3)</formula>
    </cfRule>
    <cfRule type="expression" dxfId="8" priority="13">
      <formula>AND(J5 &lt; 75, J5 &gt;= 25)</formula>
    </cfRule>
    <cfRule type="expression" dxfId="7" priority="14">
      <formula>J5 &gt;= 75</formula>
    </cfRule>
  </conditionalFormatting>
  <conditionalFormatting sqref="K5:K30">
    <cfRule type="expression" dxfId="6" priority="1">
      <formula>AND(K5 &gt; -3, K5 &lt; 3)</formula>
    </cfRule>
    <cfRule type="expression" dxfId="5" priority="2">
      <formula>AND(K5 &gt; -25, K5 &lt;= -3)</formula>
    </cfRule>
    <cfRule type="expression" dxfId="4" priority="3">
      <formula>AND(K5 &gt; -75, K5 &lt;= -25)</formula>
    </cfRule>
    <cfRule type="expression" dxfId="3" priority="4">
      <formula>K5 &lt;= -75</formula>
    </cfRule>
    <cfRule type="expression" dxfId="2" priority="5">
      <formula>AND(K5 &lt; 25, K5 &gt;= 3)</formula>
    </cfRule>
    <cfRule type="expression" dxfId="1" priority="6">
      <formula>AND(K5 &lt; 75, K5 &gt;= 25)</formula>
    </cfRule>
    <cfRule type="expression" dxfId="0" priority="7">
      <formula>K5 &gt;= 75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4431E-C5EA-42A0-8C5B-A1E5D6C06584}">
  <dimension ref="A2:G158"/>
  <sheetViews>
    <sheetView zoomScale="103" zoomScaleNormal="130" workbookViewId="0">
      <selection activeCell="J14" sqref="J14"/>
    </sheetView>
  </sheetViews>
  <sheetFormatPr baseColWidth="10" defaultRowHeight="15" x14ac:dyDescent="0.25"/>
  <cols>
    <col min="3" max="3" width="11.85546875" bestFit="1" customWidth="1"/>
    <col min="4" max="4" width="13.5703125" bestFit="1" customWidth="1"/>
    <col min="5" max="5" width="11.85546875" bestFit="1" customWidth="1"/>
  </cols>
  <sheetData>
    <row r="2" spans="1:7" x14ac:dyDescent="0.25">
      <c r="A2" s="4"/>
      <c r="B2" s="4"/>
      <c r="C2" s="4" t="s">
        <v>191</v>
      </c>
      <c r="D2" s="4" t="s">
        <v>192</v>
      </c>
    </row>
    <row r="3" spans="1:7" x14ac:dyDescent="0.25">
      <c r="A3" s="97" t="s">
        <v>122</v>
      </c>
      <c r="B3" s="4" t="s">
        <v>156</v>
      </c>
      <c r="C3" s="67" cm="1">
        <f t="array" aca="1" ref="C3" ca="1">INDIRECT("'C Impact of Technique'!N" &amp; 3 + (ROW(B1)-1)*4)</f>
        <v>-0.22224580768414351</v>
      </c>
      <c r="D3" s="67" cm="1">
        <f t="array" aca="1" ref="D3" ca="1">INDIRECT("'C Impact of Technique'!Q" &amp; 3 + (ROW(B1)-1)*4)</f>
        <v>-0.34326777870823721</v>
      </c>
      <c r="F3" s="78" t="s">
        <v>122</v>
      </c>
      <c r="G3" s="78">
        <f ca="1">CORREL(C3:C54,D3:D54)</f>
        <v>0.91603059715209045</v>
      </c>
    </row>
    <row r="4" spans="1:7" x14ac:dyDescent="0.25">
      <c r="A4" s="97"/>
      <c r="B4" s="4" t="s">
        <v>157</v>
      </c>
      <c r="C4" s="67" cm="1">
        <f t="array" aca="1" ref="C4" ca="1">INDIRECT("'C Impact of Technique'!N" &amp; 3 + (ROW(B2)-1)*4)</f>
        <v>0.29419003552636402</v>
      </c>
      <c r="D4" s="67" cm="1">
        <f t="array" aca="1" ref="D4" ca="1">INDIRECT("'C Impact of Technique'!Q" &amp; 3 + (ROW(B2)-1)*4)</f>
        <v>0.21788330684532009</v>
      </c>
      <c r="F4" s="78" t="s">
        <v>123</v>
      </c>
      <c r="G4" s="78">
        <f ca="1">CORREL(C55:C106,D55:D106)</f>
        <v>0.99630497585452971</v>
      </c>
    </row>
    <row r="5" spans="1:7" x14ac:dyDescent="0.25">
      <c r="A5" s="97"/>
      <c r="B5" s="4" t="s">
        <v>158</v>
      </c>
      <c r="C5" s="67" cm="1">
        <f t="array" aca="1" ref="C5" ca="1">INDIRECT("'C Impact of Technique'!N" &amp; 3 + (ROW(B3)-1)*4)</f>
        <v>-0.5</v>
      </c>
      <c r="D5" s="67" cm="1">
        <f t="array" aca="1" ref="D5" ca="1">INDIRECT("'C Impact of Technique'!Q" &amp; 3 + (ROW(B3)-1)*4)</f>
        <v>-0.54192603441962639</v>
      </c>
      <c r="F5" s="78" t="s">
        <v>187</v>
      </c>
      <c r="G5" s="78">
        <f ca="1">CORREL(C107:C158,D107:D158)</f>
        <v>0.98409289558959989</v>
      </c>
    </row>
    <row r="6" spans="1:7" x14ac:dyDescent="0.25">
      <c r="A6" s="97"/>
      <c r="B6" s="4" t="s">
        <v>160</v>
      </c>
      <c r="C6" s="67" cm="1">
        <f t="array" aca="1" ref="C6" ca="1">INDIRECT("'C Impact of Technique'!N" &amp; 3 + (ROW(B4)-1)*4)</f>
        <v>0.12308998302207133</v>
      </c>
      <c r="D6" s="67" cm="1">
        <f t="array" aca="1" ref="D6" ca="1">INDIRECT("'C Impact of Technique'!Q" &amp; 3 + (ROW(B4)-1)*4)</f>
        <v>0.17428694800719469</v>
      </c>
      <c r="F6" s="78" t="s">
        <v>194</v>
      </c>
      <c r="G6" s="78">
        <f ca="1">CORREL(C3:C158,D3:D158)</f>
        <v>0.91874299273681514</v>
      </c>
    </row>
    <row r="7" spans="1:7" x14ac:dyDescent="0.25">
      <c r="A7" s="97"/>
      <c r="B7" s="4" t="s">
        <v>159</v>
      </c>
      <c r="C7" s="67" cm="1">
        <f t="array" aca="1" ref="C7" ca="1">INDIRECT("'C Impact of Technique'!N" &amp; 3 + (ROW(B5)-1)*4)</f>
        <v>0</v>
      </c>
      <c r="D7" s="67" cm="1">
        <f t="array" aca="1" ref="D7" ca="1">INDIRECT("'C Impact of Technique'!Q" &amp; 3 + (ROW(B5)-1)*4)</f>
        <v>-8.8453747467927057E-2</v>
      </c>
    </row>
    <row r="8" spans="1:7" x14ac:dyDescent="0.25">
      <c r="A8" s="97"/>
      <c r="B8" s="4" t="s">
        <v>19</v>
      </c>
      <c r="C8" s="67" cm="1">
        <f t="array" aca="1" ref="C8" ca="1">INDIRECT("'C Impact of Technique'!N" &amp; 3 + (ROW(B6)-1)*4)</f>
        <v>-0.98718620202438512</v>
      </c>
      <c r="D8" s="67" cm="1">
        <f t="array" aca="1" ref="D8" ca="1">INDIRECT("'C Impact of Technique'!Q" &amp; 3 + (ROW(B6)-1)*4)</f>
        <v>-0.99692291932242394</v>
      </c>
    </row>
    <row r="9" spans="1:7" x14ac:dyDescent="0.25">
      <c r="A9" s="97"/>
      <c r="B9" s="4" t="s">
        <v>21</v>
      </c>
      <c r="C9" s="67" cm="1">
        <f t="array" aca="1" ref="C9" ca="1">INDIRECT("'C Impact of Technique'!N" &amp; 3 + (ROW(B7)-1)*4)</f>
        <v>0</v>
      </c>
      <c r="D9" s="67" cm="1">
        <f t="array" aca="1" ref="D9" ca="1">INDIRECT("'C Impact of Technique'!Q" &amp; 3 + (ROW(B7)-1)*4)</f>
        <v>-0.11129660545353373</v>
      </c>
    </row>
    <row r="10" spans="1:7" x14ac:dyDescent="0.25">
      <c r="A10" s="97"/>
      <c r="B10" s="4" t="s">
        <v>23</v>
      </c>
      <c r="C10" s="67" cm="1">
        <f t="array" aca="1" ref="C10" ca="1">INDIRECT("'C Impact of Technique'!N" &amp; 3 + (ROW(B8)-1)*4)</f>
        <v>0</v>
      </c>
      <c r="D10" s="67" cm="1">
        <f t="array" aca="1" ref="D10" ca="1">INDIRECT("'C Impact of Technique'!Q" &amp; 3 + (ROW(B8)-1)*4)</f>
        <v>-0.21317011397214014</v>
      </c>
    </row>
    <row r="11" spans="1:7" x14ac:dyDescent="0.25">
      <c r="A11" s="97"/>
      <c r="B11" s="4" t="s">
        <v>25</v>
      </c>
      <c r="C11" s="67" cm="1">
        <f t="array" aca="1" ref="C11" ca="1">INDIRECT("'C Impact of Technique'!N" &amp; 3 + (ROW(B9)-1)*4)</f>
        <v>3.1037364211531334E-3</v>
      </c>
      <c r="D11" s="67" cm="1">
        <f t="array" aca="1" ref="D11" ca="1">INDIRECT("'C Impact of Technique'!Q" &amp; 3 + (ROW(B9)-1)*4)</f>
        <v>-1.2566579607337244E-2</v>
      </c>
    </row>
    <row r="12" spans="1:7" x14ac:dyDescent="0.25">
      <c r="A12" s="97"/>
      <c r="B12" s="4" t="s">
        <v>31</v>
      </c>
      <c r="C12" s="67" cm="1">
        <f t="array" aca="1" ref="C12" ca="1">INDIRECT("'C Impact of Technique'!N" &amp; 3 + (ROW(B10)-1)*4)</f>
        <v>0</v>
      </c>
      <c r="D12" s="67" cm="1">
        <f t="array" aca="1" ref="D12" ca="1">INDIRECT("'C Impact of Technique'!Q" &amp; 3 + (ROW(B10)-1)*4)</f>
        <v>-6.5706570657065713E-2</v>
      </c>
    </row>
    <row r="13" spans="1:7" x14ac:dyDescent="0.25">
      <c r="A13" s="97"/>
      <c r="B13" s="4" t="s">
        <v>33</v>
      </c>
      <c r="C13" s="67" cm="1">
        <f t="array" aca="1" ref="C13" ca="1">INDIRECT("'C Impact of Technique'!N" &amp; 3 + (ROW(B11)-1)*4)</f>
        <v>0</v>
      </c>
      <c r="D13" s="67" cm="1">
        <f t="array" aca="1" ref="D13" ca="1">INDIRECT("'C Impact of Technique'!Q" &amp; 3 + (ROW(B11)-1)*4)</f>
        <v>1.4804845222072715E-2</v>
      </c>
    </row>
    <row r="14" spans="1:7" x14ac:dyDescent="0.25">
      <c r="A14" s="97"/>
      <c r="B14" s="4" t="s">
        <v>37</v>
      </c>
      <c r="C14" s="67" cm="1">
        <f t="array" aca="1" ref="C14" ca="1">INDIRECT("'C Impact of Technique'!N" &amp; 3 + (ROW(B12)-1)*4)</f>
        <v>0.4070117125672682</v>
      </c>
      <c r="D14" s="67" cm="1">
        <f t="array" aca="1" ref="D14" ca="1">INDIRECT("'C Impact of Technique'!Q" &amp; 3 + (ROW(B12)-1)*4)</f>
        <v>0.34799737035073242</v>
      </c>
    </row>
    <row r="15" spans="1:7" x14ac:dyDescent="0.25">
      <c r="A15" s="97"/>
      <c r="B15" s="4" t="s">
        <v>39</v>
      </c>
      <c r="C15" s="67" cm="1">
        <f t="array" aca="1" ref="C15" ca="1">INDIRECT("'C Impact of Technique'!N" &amp; 3 + (ROW(B13)-1)*4)</f>
        <v>-0.64509605662285141</v>
      </c>
      <c r="D15" s="67" cm="1">
        <f t="array" aca="1" ref="D15" ca="1">INDIRECT("'C Impact of Technique'!Q" &amp; 3 + (ROW(B13)-1)*4)</f>
        <v>-0.70085529685962022</v>
      </c>
    </row>
    <row r="16" spans="1:7" x14ac:dyDescent="0.25">
      <c r="A16" s="97"/>
      <c r="B16" s="4" t="s">
        <v>49</v>
      </c>
      <c r="C16" s="67" cm="1">
        <f t="array" aca="1" ref="C16" ca="1">INDIRECT("'C Impact of Technique'!N" &amp; 3 + (ROW(B14)-1)*4)</f>
        <v>-0.19119363395225467</v>
      </c>
      <c r="D16" s="67" cm="1">
        <f t="array" aca="1" ref="D16" ca="1">INDIRECT("'C Impact of Technique'!Q" &amp; 3 + (ROW(B14)-1)*4)</f>
        <v>-0.20259485981490966</v>
      </c>
    </row>
    <row r="17" spans="1:4" x14ac:dyDescent="0.25">
      <c r="A17" s="97"/>
      <c r="B17" s="4" t="s">
        <v>51</v>
      </c>
      <c r="C17" s="67" cm="1">
        <f t="array" aca="1" ref="C17" ca="1">INDIRECT("'C Impact of Technique'!N" &amp; 3 + (ROW(B15)-1)*4)</f>
        <v>3.2794936156280645E-2</v>
      </c>
      <c r="D17" s="67" cm="1">
        <f t="array" aca="1" ref="D17" ca="1">INDIRECT("'C Impact of Technique'!Q" &amp; 3 + (ROW(B15)-1)*4)</f>
        <v>3.2219652263731921E-3</v>
      </c>
    </row>
    <row r="18" spans="1:4" x14ac:dyDescent="0.25">
      <c r="A18" s="97"/>
      <c r="B18" s="4" t="s">
        <v>55</v>
      </c>
      <c r="C18" s="67" cm="1">
        <f t="array" aca="1" ref="C18" ca="1">INDIRECT("'C Impact of Technique'!N" &amp; 3 + (ROW(B16)-1)*4)</f>
        <v>1.1855522045095503</v>
      </c>
      <c r="D18" s="67" cm="1">
        <f t="array" aca="1" ref="D18" ca="1">INDIRECT("'C Impact of Technique'!Q" &amp; 3 + (ROW(B16)-1)*4)</f>
        <v>1.1753809318882147</v>
      </c>
    </row>
    <row r="19" spans="1:4" x14ac:dyDescent="0.25">
      <c r="A19" s="97"/>
      <c r="B19" s="4" t="s">
        <v>57</v>
      </c>
      <c r="C19" s="67" cm="1">
        <f t="array" aca="1" ref="C19" ca="1">INDIRECT("'C Impact of Technique'!N" &amp; 3 + (ROW(B17)-1)*4)</f>
        <v>0</v>
      </c>
      <c r="D19" s="67" cm="1">
        <f t="array" aca="1" ref="D19" ca="1">INDIRECT("'C Impact of Technique'!Q" &amp; 3 + (ROW(B17)-1)*4)</f>
        <v>1.8577494692144394E-2</v>
      </c>
    </row>
    <row r="20" spans="1:4" x14ac:dyDescent="0.25">
      <c r="A20" s="97"/>
      <c r="B20" s="4" t="s">
        <v>61</v>
      </c>
      <c r="C20" s="67" cm="1">
        <f t="array" aca="1" ref="C20" ca="1">INDIRECT("'C Impact of Technique'!N" &amp; 3 + (ROW(B18)-1)*4)</f>
        <v>0.44945007145964089</v>
      </c>
      <c r="D20" s="67" cm="1">
        <f t="array" aca="1" ref="D20" ca="1">INDIRECT("'C Impact of Technique'!Q" &amp; 3 + (ROW(B18)-1)*4)</f>
        <v>0.47885204720464125</v>
      </c>
    </row>
    <row r="21" spans="1:4" x14ac:dyDescent="0.25">
      <c r="A21" s="97"/>
      <c r="B21" s="4" t="s">
        <v>63</v>
      </c>
      <c r="C21" s="67" cm="1">
        <f t="array" aca="1" ref="C21" ca="1">INDIRECT("'C Impact of Technique'!N" &amp; 3 + (ROW(B19)-1)*4)</f>
        <v>0</v>
      </c>
      <c r="D21" s="67" cm="1">
        <f t="array" aca="1" ref="D21" ca="1">INDIRECT("'C Impact of Technique'!Q" &amp; 3 + (ROW(B19)-1)*4)</f>
        <v>-0.15429309231762423</v>
      </c>
    </row>
    <row r="22" spans="1:4" x14ac:dyDescent="0.25">
      <c r="A22" s="97"/>
      <c r="B22" s="4" t="s">
        <v>65</v>
      </c>
      <c r="C22" s="67" cm="1">
        <f t="array" aca="1" ref="C22" ca="1">INDIRECT("'C Impact of Technique'!N" &amp; 3 + (ROW(B20)-1)*4)</f>
        <v>0</v>
      </c>
      <c r="D22" s="67" cm="1">
        <f t="array" aca="1" ref="D22" ca="1">INDIRECT("'C Impact of Technique'!Q" &amp; 3 + (ROW(B20)-1)*4)</f>
        <v>-1.4104372355430175E-2</v>
      </c>
    </row>
    <row r="23" spans="1:4" x14ac:dyDescent="0.25">
      <c r="A23" s="97"/>
      <c r="B23" s="4" t="s">
        <v>71</v>
      </c>
      <c r="C23" s="67" cm="1">
        <f t="array" aca="1" ref="C23" ca="1">INDIRECT("'C Impact of Technique'!N" &amp; 3 + (ROW(B21)-1)*4)</f>
        <v>4.2979942693411374E-3</v>
      </c>
      <c r="D23" s="67" cm="1">
        <f t="array" aca="1" ref="D23" ca="1">INDIRECT("'C Impact of Technique'!Q" &amp; 3 + (ROW(B21)-1)*4)</f>
        <v>-3.3516875923752722E-2</v>
      </c>
    </row>
    <row r="24" spans="1:4" x14ac:dyDescent="0.25">
      <c r="A24" s="97"/>
      <c r="B24" s="4" t="s">
        <v>79</v>
      </c>
      <c r="C24" s="67" cm="1">
        <f t="array" aca="1" ref="C24" ca="1">INDIRECT("'C Impact of Technique'!N" &amp; 3 + (ROW(B22)-1)*4)</f>
        <v>-8.7160343779841956E-2</v>
      </c>
      <c r="D24" s="67" cm="1">
        <f t="array" aca="1" ref="D24" ca="1">INDIRECT("'C Impact of Technique'!Q" &amp; 3 + (ROW(B22)-1)*4)</f>
        <v>-0.15380015339371028</v>
      </c>
    </row>
    <row r="25" spans="1:4" x14ac:dyDescent="0.25">
      <c r="A25" s="97"/>
      <c r="B25" s="4" t="s">
        <v>87</v>
      </c>
      <c r="C25" s="67" cm="1">
        <f t="array" aca="1" ref="C25" ca="1">INDIRECT("'C Impact of Technique'!N" &amp; 3 + (ROW(B23)-1)*4)</f>
        <v>1.9120458891013401E-3</v>
      </c>
      <c r="D25" s="67" cm="1">
        <f t="array" aca="1" ref="D25" ca="1">INDIRECT("'C Impact of Technique'!Q" &amp; 3 + (ROW(B23)-1)*4)</f>
        <v>-0.15222826886306814</v>
      </c>
    </row>
    <row r="26" spans="1:4" x14ac:dyDescent="0.25">
      <c r="A26" s="97"/>
      <c r="B26" s="4" t="s">
        <v>91</v>
      </c>
      <c r="C26" s="67" cm="1">
        <f t="array" aca="1" ref="C26" ca="1">INDIRECT("'C Impact of Technique'!N" &amp; 3 + (ROW(B24)-1)*4)</f>
        <v>-0.5000596872388684</v>
      </c>
      <c r="D26" s="67" cm="1">
        <f t="array" aca="1" ref="D26" ca="1">INDIRECT("'C Impact of Technique'!Q" &amp; 3 + (ROW(B24)-1)*4)</f>
        <v>-0.57774733001810241</v>
      </c>
    </row>
    <row r="27" spans="1:4" x14ac:dyDescent="0.25">
      <c r="A27" s="97"/>
      <c r="B27" s="4" t="s">
        <v>93</v>
      </c>
      <c r="C27" s="67" cm="1">
        <f t="array" aca="1" ref="C27" ca="1">INDIRECT("'C Impact of Technique'!N" &amp; 3 + (ROW(B25)-1)*4)</f>
        <v>-0.51611949742175789</v>
      </c>
      <c r="D27" s="67" cm="1">
        <f t="array" aca="1" ref="D27" ca="1">INDIRECT("'C Impact of Technique'!Q" &amp; 3 + (ROW(B25)-1)*4)</f>
        <v>-0.50531083840924029</v>
      </c>
    </row>
    <row r="28" spans="1:4" x14ac:dyDescent="0.25">
      <c r="A28" s="97"/>
      <c r="B28" s="4" t="s">
        <v>95</v>
      </c>
      <c r="C28" s="67" cm="1">
        <f t="array" aca="1" ref="C28" ca="1">INDIRECT("'C Impact of Technique'!N" &amp; 3 + (ROW(B26)-1)*4)</f>
        <v>-4.2171628465208985E-2</v>
      </c>
      <c r="D28" s="67" cm="1">
        <f t="array" aca="1" ref="D28" ca="1">INDIRECT("'C Impact of Technique'!Q" &amp; 3 + (ROW(B26)-1)*4)</f>
        <v>-4.217162846520893E-2</v>
      </c>
    </row>
    <row r="29" spans="1:4" x14ac:dyDescent="0.25">
      <c r="A29" s="97" t="s">
        <v>122</v>
      </c>
      <c r="B29" s="4" t="s">
        <v>156</v>
      </c>
      <c r="C29" s="67" cm="1">
        <f t="array" aca="1" ref="C29" ca="1">INDIRECT("'C Impact of Technique'!N" &amp; 5 + (ROW(B1)-1)*4)</f>
        <v>-0.66634829672078955</v>
      </c>
      <c r="D29" s="67" cm="1">
        <f t="array" aca="1" ref="D29" ca="1">INDIRECT("'C Impact of Technique'!Q" &amp; 5 + (ROW(B1)-1)*4)</f>
        <v>-0.81100245452958264</v>
      </c>
    </row>
    <row r="30" spans="1:4" x14ac:dyDescent="0.25">
      <c r="A30" s="97"/>
      <c r="B30" s="4" t="s">
        <v>157</v>
      </c>
      <c r="C30" s="67" cm="1">
        <f t="array" aca="1" ref="C30" ca="1">INDIRECT("'C Impact of Technique'!N" &amp; 5 + (ROW(B2)-1)*4)</f>
        <v>0</v>
      </c>
      <c r="D30" s="67" cm="1">
        <f t="array" aca="1" ref="D30" ca="1">INDIRECT("'C Impact of Technique'!Q" &amp; 5 + (ROW(B2)-1)*4)</f>
        <v>-0.14168039538714994</v>
      </c>
    </row>
    <row r="31" spans="1:4" x14ac:dyDescent="0.25">
      <c r="A31" s="97"/>
      <c r="B31" s="4" t="s">
        <v>158</v>
      </c>
      <c r="C31" s="67" cm="1">
        <f t="array" aca="1" ref="C31" ca="1">INDIRECT("'C Impact of Technique'!N" &amp; 5 + (ROW(B3)-1)*4)</f>
        <v>-0.5</v>
      </c>
      <c r="D31" s="67" cm="1">
        <f t="array" aca="1" ref="D31" ca="1">INDIRECT("'C Impact of Technique'!Q" &amp; 5 + (ROW(B3)-1)*4)</f>
        <v>-0.54716981132075471</v>
      </c>
    </row>
    <row r="32" spans="1:4" x14ac:dyDescent="0.25">
      <c r="A32" s="97"/>
      <c r="B32" s="4" t="s">
        <v>160</v>
      </c>
      <c r="C32" s="67" cm="1">
        <f t="array" aca="1" ref="C32" ca="1">INDIRECT("'C Impact of Technique'!N" &amp; 5 + (ROW(B4)-1)*4)</f>
        <v>-0.81072486495905216</v>
      </c>
      <c r="D32" s="67" cm="1">
        <f t="array" aca="1" ref="D32" ca="1">INDIRECT("'C Impact of Technique'!Q" &amp; 5 + (ROW(B4)-1)*4)</f>
        <v>-0.80576980408930854</v>
      </c>
    </row>
    <row r="33" spans="1:4" x14ac:dyDescent="0.25">
      <c r="A33" s="97"/>
      <c r="B33" s="4" t="s">
        <v>159</v>
      </c>
      <c r="C33" s="67" cm="1">
        <f t="array" aca="1" ref="C33" ca="1">INDIRECT("'C Impact of Technique'!N" &amp; 5 + (ROW(B5)-1)*4)</f>
        <v>3.4416826003824119E-2</v>
      </c>
      <c r="D33" s="67" cm="1">
        <f t="array" aca="1" ref="D33" ca="1">INDIRECT("'C Impact of Technique'!Q" &amp; 5 + (ROW(B5)-1)*4)</f>
        <v>-3.8106862904193142E-2</v>
      </c>
    </row>
    <row r="34" spans="1:4" x14ac:dyDescent="0.25">
      <c r="A34" s="97"/>
      <c r="B34" s="4" t="s">
        <v>19</v>
      </c>
      <c r="C34" s="67" cm="1">
        <f t="array" aca="1" ref="C34" ca="1">INDIRECT("'C Impact of Technique'!N" &amp; 5 + (ROW(B6)-1)*4)</f>
        <v>-0.99354870360831071</v>
      </c>
      <c r="D34" s="67" cm="1">
        <f t="array" aca="1" ref="D34" ca="1">INDIRECT("'C Impact of Technique'!Q" &amp; 5 + (ROW(B6)-1)*4)</f>
        <v>-0.99871559371233998</v>
      </c>
    </row>
    <row r="35" spans="1:4" x14ac:dyDescent="0.25">
      <c r="A35" s="97"/>
      <c r="B35" s="4" t="s">
        <v>21</v>
      </c>
      <c r="C35" s="67" cm="1">
        <f t="array" aca="1" ref="C35" ca="1">INDIRECT("'C Impact of Technique'!N" &amp; 5 + (ROW(B7)-1)*4)</f>
        <v>0</v>
      </c>
      <c r="D35" s="67" cm="1">
        <f t="array" aca="1" ref="D35" ca="1">INDIRECT("'C Impact of Technique'!Q" &amp; 5 + (ROW(B7)-1)*4)</f>
        <v>-0.31416441528367428</v>
      </c>
    </row>
    <row r="36" spans="1:4" x14ac:dyDescent="0.25">
      <c r="A36" s="97"/>
      <c r="B36" s="4" t="s">
        <v>23</v>
      </c>
      <c r="C36" s="67" cm="1">
        <f t="array" aca="1" ref="C36" ca="1">INDIRECT("'C Impact of Technique'!N" &amp; 5 + (ROW(B8)-1)*4)</f>
        <v>0.12939001848428824</v>
      </c>
      <c r="D36" s="67" cm="1">
        <f t="array" aca="1" ref="D36" ca="1">INDIRECT("'C Impact of Technique'!Q" &amp; 5 + (ROW(B8)-1)*4)</f>
        <v>0.12103541848205078</v>
      </c>
    </row>
    <row r="37" spans="1:4" x14ac:dyDescent="0.25">
      <c r="A37" s="97"/>
      <c r="B37" s="4" t="s">
        <v>25</v>
      </c>
      <c r="C37" s="67" cm="1">
        <f t="array" aca="1" ref="C37" ca="1">INDIRECT("'C Impact of Technique'!N" &amp; 5 + (ROW(B9)-1)*4)</f>
        <v>-3.7030831099195728E-2</v>
      </c>
      <c r="D37" s="67" cm="1">
        <f t="array" aca="1" ref="D37" ca="1">INDIRECT("'C Impact of Technique'!Q" &amp; 5 + (ROW(B9)-1)*4)</f>
        <v>-0.12524632829181193</v>
      </c>
    </row>
    <row r="38" spans="1:4" x14ac:dyDescent="0.25">
      <c r="A38" s="97"/>
      <c r="B38" s="4" t="s">
        <v>31</v>
      </c>
      <c r="C38" s="67" cm="1">
        <f t="array" aca="1" ref="C38" ca="1">INDIRECT("'C Impact of Technique'!N" &amp; 5 + (ROW(B10)-1)*4)</f>
        <v>6.0763888888888951E-2</v>
      </c>
      <c r="D38" s="67" cm="1">
        <f t="array" aca="1" ref="D38" ca="1">INDIRECT("'C Impact of Technique'!Q" &amp; 5 + (ROW(B10)-1)*4)</f>
        <v>0.16593142254861973</v>
      </c>
    </row>
    <row r="39" spans="1:4" x14ac:dyDescent="0.25">
      <c r="A39" s="97"/>
      <c r="B39" s="4" t="s">
        <v>33</v>
      </c>
      <c r="C39" s="67" cm="1">
        <f t="array" aca="1" ref="C39" ca="1">INDIRECT("'C Impact of Technique'!N" &amp; 5 + (ROW(B11)-1)*4)</f>
        <v>-0.15837104072398187</v>
      </c>
      <c r="D39" s="67" cm="1">
        <f t="array" aca="1" ref="D39" ca="1">INDIRECT("'C Impact of Technique'!Q" &amp; 5 + (ROW(B11)-1)*4)</f>
        <v>-8.0974276973324294E-2</v>
      </c>
    </row>
    <row r="40" spans="1:4" x14ac:dyDescent="0.25">
      <c r="A40" s="97"/>
      <c r="B40" s="4" t="s">
        <v>37</v>
      </c>
      <c r="C40" s="67" cm="1">
        <f t="array" aca="1" ref="C40" ca="1">INDIRECT("'C Impact of Technique'!N" &amp; 5 + (ROW(B12)-1)*4)</f>
        <v>4.4585987261145828E-3</v>
      </c>
      <c r="D40" s="67" cm="1">
        <f t="array" aca="1" ref="D40" ca="1">INDIRECT("'C Impact of Technique'!Q" &amp; 5 + (ROW(B12)-1)*4)</f>
        <v>0.13700571278481846</v>
      </c>
    </row>
    <row r="41" spans="1:4" x14ac:dyDescent="0.25">
      <c r="A41" s="97"/>
      <c r="B41" s="4" t="s">
        <v>39</v>
      </c>
      <c r="C41" s="67" cm="1">
        <f t="array" aca="1" ref="C41" ca="1">INDIRECT("'C Impact of Technique'!N" &amp; 5 + (ROW(B13)-1)*4)</f>
        <v>0.50525310410697244</v>
      </c>
      <c r="D41" s="67" cm="1">
        <f t="array" aca="1" ref="D41" ca="1">INDIRECT("'C Impact of Technique'!Q" &amp; 5 + (ROW(B13)-1)*4)</f>
        <v>0.57493503805375168</v>
      </c>
    </row>
    <row r="42" spans="1:4" x14ac:dyDescent="0.25">
      <c r="A42" s="97"/>
      <c r="B42" s="4" t="s">
        <v>49</v>
      </c>
      <c r="C42" s="67" cm="1">
        <f t="array" aca="1" ref="C42" ca="1">INDIRECT("'C Impact of Technique'!N" &amp; 5 + (ROW(B14)-1)*4)</f>
        <v>-0.22219873150105718</v>
      </c>
      <c r="D42" s="67" cm="1">
        <f t="array" aca="1" ref="D42" ca="1">INDIRECT("'C Impact of Technique'!Q" &amp; 5 + (ROW(B14)-1)*4)</f>
        <v>-0.22376136589281787</v>
      </c>
    </row>
    <row r="43" spans="1:4" x14ac:dyDescent="0.25">
      <c r="A43" s="97"/>
      <c r="B43" s="4" t="s">
        <v>51</v>
      </c>
      <c r="C43" s="67" cm="1">
        <f t="array" aca="1" ref="C43" ca="1">INDIRECT("'C Impact of Technique'!N" &amp; 5 + (ROW(B15)-1)*4)</f>
        <v>-0.79653597259231057</v>
      </c>
      <c r="D43" s="67" cm="1">
        <f t="array" aca="1" ref="D43" ca="1">INDIRECT("'C Impact of Technique'!Q" &amp; 5 + (ROW(B15)-1)*4)</f>
        <v>-0.89181534844989252</v>
      </c>
    </row>
    <row r="44" spans="1:4" x14ac:dyDescent="0.25">
      <c r="A44" s="97"/>
      <c r="B44" s="4" t="s">
        <v>55</v>
      </c>
      <c r="C44" s="67" cm="1">
        <f t="array" aca="1" ref="C44" ca="1">INDIRECT("'C Impact of Technique'!N" &amp; 5 + (ROW(B16)-1)*4)</f>
        <v>-8.4713375796178339E-2</v>
      </c>
      <c r="D44" s="67" cm="1">
        <f t="array" aca="1" ref="D44" ca="1">INDIRECT("'C Impact of Technique'!Q" &amp; 5 + (ROW(B16)-1)*4)</f>
        <v>-7.8200100193229802E-2</v>
      </c>
    </row>
    <row r="45" spans="1:4" x14ac:dyDescent="0.25">
      <c r="A45" s="97"/>
      <c r="B45" s="4" t="s">
        <v>57</v>
      </c>
      <c r="C45" s="67" cm="1">
        <f t="array" aca="1" ref="C45" ca="1">INDIRECT("'C Impact of Technique'!N" &amp; 5 + (ROW(B17)-1)*4)</f>
        <v>0</v>
      </c>
      <c r="D45" s="67" cm="1">
        <f t="array" aca="1" ref="D45" ca="1">INDIRECT("'C Impact of Technique'!Q" &amp; 5 + (ROW(B17)-1)*4)</f>
        <v>4.2873051224944128E-2</v>
      </c>
    </row>
    <row r="46" spans="1:4" x14ac:dyDescent="0.25">
      <c r="A46" s="97"/>
      <c r="B46" s="4" t="s">
        <v>61</v>
      </c>
      <c r="C46" s="67" cm="1">
        <f t="array" aca="1" ref="C46" ca="1">INDIRECT("'C Impact of Technique'!N" &amp; 5 + (ROW(B18)-1)*4)</f>
        <v>0.45436845947919208</v>
      </c>
      <c r="D46" s="67" cm="1">
        <f t="array" aca="1" ref="D46" ca="1">INDIRECT("'C Impact of Technique'!Q" &amp; 5 + (ROW(B18)-1)*4)</f>
        <v>0.43859344756558821</v>
      </c>
    </row>
    <row r="47" spans="1:4" x14ac:dyDescent="0.25">
      <c r="A47" s="97"/>
      <c r="B47" s="4" t="s">
        <v>63</v>
      </c>
      <c r="C47" s="67" cm="1">
        <f t="array" aca="1" ref="C47" ca="1">INDIRECT("'C Impact of Technique'!N" &amp; 5 + (ROW(B19)-1)*4)</f>
        <v>0</v>
      </c>
      <c r="D47" s="67" cm="1">
        <f t="array" aca="1" ref="D47" ca="1">INDIRECT("'C Impact of Technique'!Q" &amp; 5 + (ROW(B19)-1)*4)</f>
        <v>7.361963190184044E-2</v>
      </c>
    </row>
    <row r="48" spans="1:4" x14ac:dyDescent="0.25">
      <c r="A48" s="97"/>
      <c r="B48" s="4" t="s">
        <v>65</v>
      </c>
      <c r="C48" s="67" cm="1">
        <f t="array" aca="1" ref="C48" ca="1">INDIRECT("'C Impact of Technique'!N" &amp; 5 + (ROW(B20)-1)*4)</f>
        <v>0</v>
      </c>
      <c r="D48" s="67" cm="1">
        <f t="array" aca="1" ref="D48" ca="1">INDIRECT("'C Impact of Technique'!Q" &amp; 5 + (ROW(B20)-1)*4)</f>
        <v>3.9135514018691572E-2</v>
      </c>
    </row>
    <row r="49" spans="1:4" x14ac:dyDescent="0.25">
      <c r="A49" s="97"/>
      <c r="B49" s="4" t="s">
        <v>71</v>
      </c>
      <c r="C49" s="67" cm="1">
        <f t="array" aca="1" ref="C49" ca="1">INDIRECT("'C Impact of Technique'!N" &amp; 5 + (ROW(B21)-1)*4)</f>
        <v>0</v>
      </c>
      <c r="D49" s="67" cm="1">
        <f t="array" aca="1" ref="D49" ca="1">INDIRECT("'C Impact of Technique'!Q" &amp; 5 + (ROW(B21)-1)*4)</f>
        <v>0.10571652310101806</v>
      </c>
    </row>
    <row r="50" spans="1:4" x14ac:dyDescent="0.25">
      <c r="A50" s="97"/>
      <c r="B50" s="4" t="s">
        <v>79</v>
      </c>
      <c r="C50" s="67" cm="1">
        <f t="array" aca="1" ref="C50" ca="1">INDIRECT("'C Impact of Technique'!N" &amp; 5 + (ROW(B22)-1)*4)</f>
        <v>-0.69881588999236055</v>
      </c>
      <c r="D50" s="67" cm="1">
        <f t="array" aca="1" ref="D50" ca="1">INDIRECT("'C Impact of Technique'!Q" &amp; 5 + (ROW(B22)-1)*4)</f>
        <v>-0.78789760357693384</v>
      </c>
    </row>
    <row r="51" spans="1:4" x14ac:dyDescent="0.25">
      <c r="A51" s="97"/>
      <c r="B51" s="4" t="s">
        <v>87</v>
      </c>
      <c r="C51" s="67" cm="1">
        <f t="array" aca="1" ref="C51" ca="1">INDIRECT("'C Impact of Technique'!N" &amp; 5 + (ROW(B23)-1)*4)</f>
        <v>1.9120458891013401E-3</v>
      </c>
      <c r="D51" s="67" cm="1">
        <f t="array" aca="1" ref="D51" ca="1">INDIRECT("'C Impact of Technique'!Q" &amp; 5 + (ROW(B23)-1)*4)</f>
        <v>0.15288509389978774</v>
      </c>
    </row>
    <row r="52" spans="1:4" x14ac:dyDescent="0.25">
      <c r="A52" s="97"/>
      <c r="B52" s="4" t="s">
        <v>91</v>
      </c>
      <c r="C52" s="67" cm="1">
        <f t="array" aca="1" ref="C52" ca="1">INDIRECT("'C Impact of Technique'!N" &amp; 5 + (ROW(B24)-1)*4)</f>
        <v>1.8795411089866156</v>
      </c>
      <c r="D52" s="67" cm="1">
        <f t="array" aca="1" ref="D52" ca="1">INDIRECT("'C Impact of Technique'!Q" &amp; 5 + (ROW(B24)-1)*4)</f>
        <v>4.4966941262665063</v>
      </c>
    </row>
    <row r="53" spans="1:4" x14ac:dyDescent="0.25">
      <c r="A53" s="97"/>
      <c r="B53" s="4" t="s">
        <v>93</v>
      </c>
      <c r="C53" s="67" cm="1">
        <f t="array" aca="1" ref="C53" ca="1">INDIRECT("'C Impact of Technique'!N" &amp; 5 + (ROW(B25)-1)*4)</f>
        <v>0</v>
      </c>
      <c r="D53" s="67" cm="1">
        <f t="array" aca="1" ref="D53" ca="1">INDIRECT("'C Impact of Technique'!Q" &amp; 5 + (ROW(B25)-1)*4)</f>
        <v>6.9696969696969521E-2</v>
      </c>
    </row>
    <row r="54" spans="1:4" x14ac:dyDescent="0.25">
      <c r="A54" s="97"/>
      <c r="B54" s="4" t="s">
        <v>95</v>
      </c>
      <c r="C54" s="67" cm="1">
        <f t="array" aca="1" ref="C54" ca="1">INDIRECT("'C Impact of Technique'!N" &amp; 5 + (ROW(B26)-1)*4)</f>
        <v>-5.080860757587162E-2</v>
      </c>
      <c r="D54" s="67" cm="1">
        <f t="array" aca="1" ref="D54" ca="1">INDIRECT("'C Impact of Technique'!Q" &amp; 5 + (ROW(B26)-1)*4)</f>
        <v>-6.3647084479714774E-2</v>
      </c>
    </row>
    <row r="55" spans="1:4" x14ac:dyDescent="0.25">
      <c r="A55" s="97" t="s">
        <v>123</v>
      </c>
      <c r="B55" s="4" t="s">
        <v>156</v>
      </c>
      <c r="C55" s="67" cm="1">
        <f t="array" aca="1" ref="C55" ca="1">INDIRECT("'Python Impact of Technique'!S" &amp; 3 + (ROW(B1)-1)*4)</f>
        <v>-0.44392860949583707</v>
      </c>
      <c r="D55" s="67" cm="1">
        <f t="array" aca="1" ref="D55" ca="1">INDIRECT("'Python Impact of Technique'!V" &amp; 3 + (ROW(B1)-1)*4)</f>
        <v>-0.44384416433402929</v>
      </c>
    </row>
    <row r="56" spans="1:4" x14ac:dyDescent="0.25">
      <c r="A56" s="97"/>
      <c r="B56" s="4" t="s">
        <v>157</v>
      </c>
      <c r="C56" s="67" cm="1">
        <f t="array" aca="1" ref="C56" ca="1">INDIRECT("'Python Impact of Technique'!S" &amp; 3 + (ROW(B2)-1)*4)</f>
        <v>-8.8209758638652547E-2</v>
      </c>
      <c r="D56" s="67" cm="1">
        <f t="array" aca="1" ref="D56" ca="1">INDIRECT("'Python Impact of Technique'!V" &amp; 3 + (ROW(B2)-1)*4)</f>
        <v>-7.8080514506188317E-2</v>
      </c>
    </row>
    <row r="57" spans="1:4" x14ac:dyDescent="0.25">
      <c r="A57" s="97"/>
      <c r="B57" s="4" t="s">
        <v>158</v>
      </c>
      <c r="C57" s="67" cm="1">
        <f t="array" aca="1" ref="C57" ca="1">INDIRECT("'Python Impact of Technique'!S" &amp; 3 + (ROW(B3)-1)*4)</f>
        <v>-0.30661040787623067</v>
      </c>
      <c r="D57" s="67" cm="1">
        <f t="array" aca="1" ref="D57" ca="1">INDIRECT("'Python Impact of Technique'!V" &amp; 3 + (ROW(B3)-1)*4)</f>
        <v>-0.31329004658220849</v>
      </c>
    </row>
    <row r="58" spans="1:4" x14ac:dyDescent="0.25">
      <c r="A58" s="97"/>
      <c r="B58" s="4" t="s">
        <v>160</v>
      </c>
      <c r="C58" s="67" cm="1">
        <f t="array" aca="1" ref="C58" ca="1">INDIRECT("'Python Impact of Technique'!S" &amp; 3 + (ROW(B4)-1)*4)</f>
        <v>-0.70546443650535895</v>
      </c>
      <c r="D58" s="67" cm="1">
        <f t="array" aca="1" ref="D58" ca="1">INDIRECT("'Python Impact of Technique'!V" &amp; 3 + (ROW(B4)-1)*4)</f>
        <v>-0.69683630227634918</v>
      </c>
    </row>
    <row r="59" spans="1:4" x14ac:dyDescent="0.25">
      <c r="A59" s="97"/>
      <c r="B59" s="4" t="s">
        <v>159</v>
      </c>
      <c r="C59" s="67" cm="1">
        <f t="array" aca="1" ref="C59" ca="1">INDIRECT("'Python Impact of Technique'!S" &amp; 3 + (ROW(B5)-1)*4)</f>
        <v>-0.24924165824064712</v>
      </c>
      <c r="D59" s="67" cm="1">
        <f t="array" aca="1" ref="D59" ca="1">INDIRECT("'Python Impact of Technique'!V" &amp; 3 + (ROW(B5)-1)*4)</f>
        <v>-0.27274013191821178</v>
      </c>
    </row>
    <row r="60" spans="1:4" x14ac:dyDescent="0.25">
      <c r="A60" s="97"/>
      <c r="B60" s="4" t="s">
        <v>19</v>
      </c>
      <c r="C60" s="67" cm="1">
        <f t="array" aca="1" ref="C60" ca="1">INDIRECT("'Python Impact of Technique'!S" &amp; 3 + (ROW(B6)-1)*4)</f>
        <v>-0.49628450106157113</v>
      </c>
      <c r="D60" s="67" cm="1">
        <f t="array" aca="1" ref="D60" ca="1">INDIRECT("'Python Impact of Technique'!V" &amp; 3 + (ROW(B6)-1)*4)</f>
        <v>-0.52180376640790493</v>
      </c>
    </row>
    <row r="61" spans="1:4" x14ac:dyDescent="0.25">
      <c r="A61" s="97"/>
      <c r="B61" s="4" t="s">
        <v>21</v>
      </c>
      <c r="C61" s="67" cm="1">
        <f t="array" aca="1" ref="C61" ca="1">INDIRECT("'Python Impact of Technique'!S" &amp; 3 + (ROW(B7)-1)*4)</f>
        <v>-0.34223251379145952</v>
      </c>
      <c r="D61" s="67" cm="1">
        <f t="array" aca="1" ref="D61" ca="1">INDIRECT("'Python Impact of Technique'!V" &amp; 3 + (ROW(B7)-1)*4)</f>
        <v>-0.34824277888148647</v>
      </c>
    </row>
    <row r="62" spans="1:4" x14ac:dyDescent="0.25">
      <c r="A62" s="97"/>
      <c r="B62" s="4" t="s">
        <v>23</v>
      </c>
      <c r="C62" s="67" cm="1">
        <f t="array" aca="1" ref="C62" ca="1">INDIRECT("'Python Impact of Technique'!S" &amp; 3 + (ROW(B8)-1)*4)</f>
        <v>-0.17937219730941711</v>
      </c>
      <c r="D62" s="67" cm="1">
        <f t="array" aca="1" ref="D62" ca="1">INDIRECT("'Python Impact of Technique'!V" &amp; 3 + (ROW(B8)-1)*4)</f>
        <v>-0.16992982719477656</v>
      </c>
    </row>
    <row r="63" spans="1:4" x14ac:dyDescent="0.25">
      <c r="A63" s="97"/>
      <c r="B63" s="4" t="s">
        <v>25</v>
      </c>
      <c r="C63" s="67" cm="1">
        <f t="array" aca="1" ref="C63" ca="1">INDIRECT("'Python Impact of Technique'!S" &amp; 3 + (ROW(B9)-1)*4)</f>
        <v>-0.17713383407306249</v>
      </c>
      <c r="D63" s="67" cm="1">
        <f t="array" aca="1" ref="D63" ca="1">INDIRECT("'Python Impact of Technique'!V" &amp; 3 + (ROW(B9)-1)*4)</f>
        <v>-0.2041214001585375</v>
      </c>
    </row>
    <row r="64" spans="1:4" x14ac:dyDescent="0.25">
      <c r="A64" s="97"/>
      <c r="B64" s="4" t="s">
        <v>31</v>
      </c>
      <c r="C64" s="67" cm="1">
        <f t="array" aca="1" ref="C64" ca="1">INDIRECT("'Python Impact of Technique'!S" &amp; 3 + (ROW(B10)-1)*4)</f>
        <v>-8.2241713179177528E-2</v>
      </c>
      <c r="D64" s="67" cm="1">
        <f t="array" aca="1" ref="D64" ca="1">INDIRECT("'Python Impact of Technique'!V" &amp; 3 + (ROW(B10)-1)*4)</f>
        <v>-3.4952950209055783E-2</v>
      </c>
    </row>
    <row r="65" spans="1:4" x14ac:dyDescent="0.25">
      <c r="A65" s="97"/>
      <c r="B65" s="4" t="s">
        <v>33</v>
      </c>
      <c r="C65" s="67" cm="1">
        <f t="array" aca="1" ref="C65" ca="1">INDIRECT("'Python Impact of Technique'!S" &amp; 3 + (ROW(B11)-1)*4)</f>
        <v>3.0551592962434575E-2</v>
      </c>
      <c r="D65" s="67" cm="1">
        <f t="array" aca="1" ref="D65" ca="1">INDIRECT("'Python Impact of Technique'!V" &amp; 3 + (ROW(B11)-1)*4)</f>
        <v>4.8706387864363328E-2</v>
      </c>
    </row>
    <row r="66" spans="1:4" x14ac:dyDescent="0.25">
      <c r="A66" s="97"/>
      <c r="B66" s="4" t="s">
        <v>37</v>
      </c>
      <c r="C66" s="67" cm="1">
        <f t="array" aca="1" ref="C66" ca="1">INDIRECT("'Python Impact of Technique'!S" &amp; 3 + (ROW(B12)-1)*4)</f>
        <v>2.7590293757743977E-2</v>
      </c>
      <c r="D66" s="67" cm="1">
        <f t="array" aca="1" ref="D66" ca="1">INDIRECT("'Python Impact of Technique'!V" &amp; 3 + (ROW(B12)-1)*4)</f>
        <v>8.101512324407624E-3</v>
      </c>
    </row>
    <row r="67" spans="1:4" x14ac:dyDescent="0.25">
      <c r="A67" s="97"/>
      <c r="B67" s="4" t="s">
        <v>39</v>
      </c>
      <c r="C67" s="67" cm="1">
        <f t="array" aca="1" ref="C67" ca="1">INDIRECT("'Python Impact of Technique'!S" &amp; 3 + (ROW(B13)-1)*4)</f>
        <v>-0.11972307382299184</v>
      </c>
      <c r="D67" s="67" cm="1">
        <f t="array" aca="1" ref="D67" ca="1">INDIRECT("'Python Impact of Technique'!V" &amp; 3 + (ROW(B13)-1)*4)</f>
        <v>-9.3432347677227884E-2</v>
      </c>
    </row>
    <row r="68" spans="1:4" x14ac:dyDescent="0.25">
      <c r="A68" s="97"/>
      <c r="B68" s="4" t="s">
        <v>49</v>
      </c>
      <c r="C68" s="67" cm="1">
        <f t="array" aca="1" ref="C68" ca="1">INDIRECT("'Python Impact of Technique'!S" &amp; 3 + (ROW(B14)-1)*4)</f>
        <v>-6.1504892812245568E-2</v>
      </c>
      <c r="D68" s="67" cm="1">
        <f t="array" aca="1" ref="D68" ca="1">INDIRECT("'Python Impact of Technique'!V" &amp; 3 + (ROW(B14)-1)*4)</f>
        <v>-6.8791099551593515E-2</v>
      </c>
    </row>
    <row r="69" spans="1:4" x14ac:dyDescent="0.25">
      <c r="A69" s="97"/>
      <c r="B69" s="4" t="s">
        <v>51</v>
      </c>
      <c r="C69" s="67" cm="1">
        <f t="array" aca="1" ref="C69" ca="1">INDIRECT("'Python Impact of Technique'!S" &amp; 3 + (ROW(B15)-1)*4)</f>
        <v>-0.25899432057454386</v>
      </c>
      <c r="D69" s="67" cm="1">
        <f t="array" aca="1" ref="D69" ca="1">INDIRECT("'Python Impact of Technique'!V" &amp; 3 + (ROW(B15)-1)*4)</f>
        <v>-0.24193086436020894</v>
      </c>
    </row>
    <row r="70" spans="1:4" x14ac:dyDescent="0.25">
      <c r="A70" s="97"/>
      <c r="B70" s="4" t="s">
        <v>55</v>
      </c>
      <c r="C70" s="67" cm="1">
        <f t="array" aca="1" ref="C70" ca="1">INDIRECT("'Python Impact of Technique'!S" &amp; 3 + (ROW(B16)-1)*4)</f>
        <v>0.19090330219184351</v>
      </c>
      <c r="D70" s="67" cm="1">
        <f t="array" aca="1" ref="D70" ca="1">INDIRECT("'Python Impact of Technique'!V" &amp; 3 + (ROW(B16)-1)*4)</f>
        <v>0.18437834636047523</v>
      </c>
    </row>
    <row r="71" spans="1:4" x14ac:dyDescent="0.25">
      <c r="A71" s="97"/>
      <c r="B71" s="4" t="s">
        <v>57</v>
      </c>
      <c r="C71" s="67" cm="1">
        <f t="array" aca="1" ref="C71" ca="1">INDIRECT("'Python Impact of Technique'!S" &amp; 3 + (ROW(B17)-1)*4)</f>
        <v>1.3766993632765458E-2</v>
      </c>
      <c r="D71" s="67" cm="1">
        <f t="array" aca="1" ref="D71" ca="1">INDIRECT("'Python Impact of Technique'!V" &amp; 3 + (ROW(B17)-1)*4)</f>
        <v>3.317586598949547E-2</v>
      </c>
    </row>
    <row r="72" spans="1:4" x14ac:dyDescent="0.25">
      <c r="A72" s="97"/>
      <c r="B72" s="4" t="s">
        <v>61</v>
      </c>
      <c r="C72" s="67" cm="1">
        <f t="array" aca="1" ref="C72" ca="1">INDIRECT("'Python Impact of Technique'!S" &amp; 3 + (ROW(B18)-1)*4)</f>
        <v>0.95551958643880663</v>
      </c>
      <c r="D72" s="67" cm="1">
        <f t="array" aca="1" ref="D72" ca="1">INDIRECT("'Python Impact of Technique'!V" &amp; 3 + (ROW(B18)-1)*4)</f>
        <v>1.0105267119561432</v>
      </c>
    </row>
    <row r="73" spans="1:4" x14ac:dyDescent="0.25">
      <c r="A73" s="97"/>
      <c r="B73" s="4" t="s">
        <v>63</v>
      </c>
      <c r="C73" s="67" cm="1">
        <f t="array" aca="1" ref="C73" ca="1">INDIRECT("'Python Impact of Technique'!S" &amp; 3 + (ROW(B19)-1)*4)</f>
        <v>-0.11968658178256623</v>
      </c>
      <c r="D73" s="67" cm="1">
        <f t="array" aca="1" ref="D73" ca="1">INDIRECT("'Python Impact of Technique'!V" &amp; 3 + (ROW(B19)-1)*4)</f>
        <v>-0.10381105691372278</v>
      </c>
    </row>
    <row r="74" spans="1:4" x14ac:dyDescent="0.25">
      <c r="A74" s="97"/>
      <c r="B74" s="4" t="s">
        <v>65</v>
      </c>
      <c r="C74" s="67" cm="1">
        <f t="array" aca="1" ref="C74" ca="1">INDIRECT("'Python Impact of Technique'!S" &amp; 3 + (ROW(B20)-1)*4)</f>
        <v>-3.0570142535633959E-2</v>
      </c>
      <c r="D74" s="67" cm="1">
        <f t="array" aca="1" ref="D74" ca="1">INDIRECT("'Python Impact of Technique'!V" &amp; 3 + (ROW(B20)-1)*4)</f>
        <v>-4.1382729181149464E-2</v>
      </c>
    </row>
    <row r="75" spans="1:4" x14ac:dyDescent="0.25">
      <c r="A75" s="97"/>
      <c r="B75" s="4" t="s">
        <v>71</v>
      </c>
      <c r="C75" s="67" cm="1">
        <f t="array" aca="1" ref="C75" ca="1">INDIRECT("'Python Impact of Technique'!S" &amp; 3 + (ROW(B21)-1)*4)</f>
        <v>-0.12511369519891408</v>
      </c>
      <c r="D75" s="67" cm="1">
        <f t="array" aca="1" ref="D75" ca="1">INDIRECT("'Python Impact of Technique'!V" &amp; 3 + (ROW(B21)-1)*4)</f>
        <v>-0.13259511732246471</v>
      </c>
    </row>
    <row r="76" spans="1:4" x14ac:dyDescent="0.25">
      <c r="A76" s="97"/>
      <c r="B76" s="4" t="s">
        <v>79</v>
      </c>
      <c r="C76" s="67" cm="1">
        <f t="array" aca="1" ref="C76" ca="1">INDIRECT("'Python Impact of Technique'!S" &amp; 3 + (ROW(B22)-1)*4)</f>
        <v>-0.3547851146104421</v>
      </c>
      <c r="D76" s="67" cm="1">
        <f t="array" aca="1" ref="D76" ca="1">INDIRECT("'Python Impact of Technique'!V" &amp; 3 + (ROW(B22)-1)*4)</f>
        <v>-0.37571502279778657</v>
      </c>
    </row>
    <row r="77" spans="1:4" x14ac:dyDescent="0.25">
      <c r="A77" s="97"/>
      <c r="B77" s="4" t="s">
        <v>87</v>
      </c>
      <c r="C77" s="67" cm="1">
        <f t="array" aca="1" ref="C77" ca="1">INDIRECT("'Python Impact of Technique'!S" &amp; 3 + (ROW(B23)-1)*4)</f>
        <v>-4.1281577325939588E-2</v>
      </c>
      <c r="D77" s="67" cm="1">
        <f t="array" aca="1" ref="D77" ca="1">INDIRECT("'Python Impact of Technique'!V" &amp; 3 + (ROW(B23)-1)*4)</f>
        <v>-1.0895480132343356E-2</v>
      </c>
    </row>
    <row r="78" spans="1:4" x14ac:dyDescent="0.25">
      <c r="A78" s="97"/>
      <c r="B78" s="4" t="s">
        <v>91</v>
      </c>
      <c r="C78" s="67" cm="1">
        <f t="array" aca="1" ref="C78" ca="1">INDIRECT("'Python Impact of Technique'!S" &amp; 3 + (ROW(B24)-1)*4)</f>
        <v>-0.45641147566967827</v>
      </c>
      <c r="D78" s="67" cm="1">
        <f t="array" aca="1" ref="D78" ca="1">INDIRECT("'Python Impact of Technique'!V" &amp; 3 + (ROW(B24)-1)*4)</f>
        <v>-0.44557423091856219</v>
      </c>
    </row>
    <row r="79" spans="1:4" x14ac:dyDescent="0.25">
      <c r="A79" s="97"/>
      <c r="B79" s="4" t="s">
        <v>93</v>
      </c>
      <c r="C79" s="67" cm="1">
        <f t="array" aca="1" ref="C79" ca="1">INDIRECT("'Python Impact of Technique'!S" &amp; 3 + (ROW(B25)-1)*4)</f>
        <v>-0.21279196089082023</v>
      </c>
      <c r="D79" s="67" cm="1">
        <f t="array" aca="1" ref="D79" ca="1">INDIRECT("'Python Impact of Technique'!V" &amp; 3 + (ROW(B25)-1)*4)</f>
        <v>-0.22594942100395377</v>
      </c>
    </row>
    <row r="80" spans="1:4" x14ac:dyDescent="0.25">
      <c r="A80" s="97"/>
      <c r="B80" s="4" t="s">
        <v>95</v>
      </c>
      <c r="C80" s="67" cm="1">
        <f t="array" aca="1" ref="C80" ca="1">INDIRECT("'Python Impact of Technique'!S" &amp; 3 + (ROW(B26)-1)*4)</f>
        <v>-2.6745913818722163E-2</v>
      </c>
      <c r="D80" s="67" cm="1">
        <f t="array" aca="1" ref="D80" ca="1">INDIRECT("'Python Impact of Technique'!V" &amp; 3 + (ROW(B26)-1)*4)</f>
        <v>-4.7721217400215121E-2</v>
      </c>
    </row>
    <row r="81" spans="1:4" x14ac:dyDescent="0.25">
      <c r="A81" s="97" t="s">
        <v>123</v>
      </c>
      <c r="B81" s="4" t="s">
        <v>156</v>
      </c>
      <c r="C81" s="67" cm="1">
        <f t="array" aca="1" ref="C81" ca="1">INDIRECT("'Python Impact of Technique'!S" &amp; 5 + (ROW(B1)-1)*4)</f>
        <v>-0.68784727588516259</v>
      </c>
      <c r="D81" s="67" cm="1">
        <f t="array" aca="1" ref="D81" ca="1">INDIRECT("'Python Impact of Technique'!V" &amp; 5 + (ROW(B1)-1)*4)</f>
        <v>-0.69284878041857656</v>
      </c>
    </row>
    <row r="82" spans="1:4" x14ac:dyDescent="0.25">
      <c r="A82" s="97"/>
      <c r="B82" s="4" t="s">
        <v>157</v>
      </c>
      <c r="C82" s="67" cm="1">
        <f t="array" aca="1" ref="C82" ca="1">INDIRECT("'Python Impact of Technique'!S" &amp; 5 + (ROW(B2)-1)*4)</f>
        <v>-3.5015120165526124E-2</v>
      </c>
      <c r="D82" s="67" cm="1">
        <f t="array" aca="1" ref="D82" ca="1">INDIRECT("'Python Impact of Technique'!V" &amp; 5 + (ROW(B2)-1)*4)</f>
        <v>-6.5085898600706169E-2</v>
      </c>
    </row>
    <row r="83" spans="1:4" x14ac:dyDescent="0.25">
      <c r="A83" s="97"/>
      <c r="B83" s="4" t="s">
        <v>158</v>
      </c>
      <c r="C83" s="67" cm="1">
        <f t="array" aca="1" ref="C83" ca="1">INDIRECT("'Python Impact of Technique'!S" &amp; 5 + (ROW(B3)-1)*4)</f>
        <v>-0.39892335298641368</v>
      </c>
      <c r="D83" s="67" cm="1">
        <f t="array" aca="1" ref="D83" ca="1">INDIRECT("'Python Impact of Technique'!V" &amp; 5 + (ROW(B3)-1)*4)</f>
        <v>-0.42331657970206898</v>
      </c>
    </row>
    <row r="84" spans="1:4" x14ac:dyDescent="0.25">
      <c r="A84" s="97"/>
      <c r="B84" s="4" t="s">
        <v>160</v>
      </c>
      <c r="C84" s="67" cm="1">
        <f t="array" aca="1" ref="C84" ca="1">INDIRECT("'Python Impact of Technique'!S" &amp; 5 + (ROW(B4)-1)*4)</f>
        <v>-0.53980388898121978</v>
      </c>
      <c r="D84" s="67" cm="1">
        <f t="array" aca="1" ref="D84" ca="1">INDIRECT("'Python Impact of Technique'!V" &amp; 5 + (ROW(B4)-1)*4)</f>
        <v>-0.52168461082225936</v>
      </c>
    </row>
    <row r="85" spans="1:4" x14ac:dyDescent="0.25">
      <c r="A85" s="97"/>
      <c r="B85" s="4" t="s">
        <v>159</v>
      </c>
      <c r="C85" s="67" cm="1">
        <f t="array" aca="1" ref="C85" ca="1">INDIRECT("'Python Impact of Technique'!S" &amp; 5 + (ROW(B5)-1)*4)</f>
        <v>-0.24216216216216208</v>
      </c>
      <c r="D85" s="67" cm="1">
        <f t="array" aca="1" ref="D85" ca="1">INDIRECT("'Python Impact of Technique'!V" &amp; 5 + (ROW(B5)-1)*4)</f>
        <v>-0.25910980406307504</v>
      </c>
    </row>
    <row r="86" spans="1:4" x14ac:dyDescent="0.25">
      <c r="A86" s="97"/>
      <c r="B86" s="4" t="s">
        <v>19</v>
      </c>
      <c r="C86" s="67" cm="1">
        <f t="array" aca="1" ref="C86" ca="1">INDIRECT("'Python Impact of Technique'!S" &amp; 5 + (ROW(B6)-1)*4)</f>
        <v>-0.65248978356288778</v>
      </c>
      <c r="D86" s="67" cm="1">
        <f t="array" aca="1" ref="D86" ca="1">INDIRECT("'Python Impact of Technique'!V" &amp; 5 + (ROW(B6)-1)*4)</f>
        <v>-0.69557375147005607</v>
      </c>
    </row>
    <row r="87" spans="1:4" x14ac:dyDescent="0.25">
      <c r="A87" s="97"/>
      <c r="B87" s="4" t="s">
        <v>21</v>
      </c>
      <c r="C87" s="67" cm="1">
        <f t="array" aca="1" ref="C87" ca="1">INDIRECT("'Python Impact of Technique'!S" &amp; 5 + (ROW(B7)-1)*4)</f>
        <v>-9.8819907644946109E-2</v>
      </c>
      <c r="D87" s="67" cm="1">
        <f t="array" aca="1" ref="D87" ca="1">INDIRECT("'Python Impact of Technique'!V" &amp; 5 + (ROW(B7)-1)*4)</f>
        <v>-5.9871736738393834E-2</v>
      </c>
    </row>
    <row r="88" spans="1:4" x14ac:dyDescent="0.25">
      <c r="A88" s="97"/>
      <c r="B88" s="4" t="s">
        <v>23</v>
      </c>
      <c r="C88" s="67" cm="1">
        <f t="array" aca="1" ref="C88" ca="1">INDIRECT("'Python Impact of Technique'!S" &amp; 5 + (ROW(B8)-1)*4)</f>
        <v>-0.16107514224053376</v>
      </c>
      <c r="D88" s="67" cm="1">
        <f t="array" aca="1" ref="D88" ca="1">INDIRECT("'Python Impact of Technique'!V" &amp; 5 + (ROW(B8)-1)*4)</f>
        <v>-0.16443551697555062</v>
      </c>
    </row>
    <row r="89" spans="1:4" x14ac:dyDescent="0.25">
      <c r="A89" s="97"/>
      <c r="B89" s="4" t="s">
        <v>25</v>
      </c>
      <c r="C89" s="67" cm="1">
        <f t="array" aca="1" ref="C89" ca="1">INDIRECT("'Python Impact of Technique'!S" &amp; 5 + (ROW(B9)-1)*4)</f>
        <v>3.7790170931567023E-2</v>
      </c>
      <c r="D89" s="67" cm="1">
        <f t="array" aca="1" ref="D89" ca="1">INDIRECT("'Python Impact of Technique'!V" &amp; 5 + (ROW(B9)-1)*4)</f>
        <v>1.1694198273670959E-2</v>
      </c>
    </row>
    <row r="90" spans="1:4" x14ac:dyDescent="0.25">
      <c r="A90" s="97"/>
      <c r="B90" s="4" t="s">
        <v>31</v>
      </c>
      <c r="C90" s="67" cm="1">
        <f t="array" aca="1" ref="C90" ca="1">INDIRECT("'Python Impact of Technique'!S" &amp; 5 + (ROW(B10)-1)*4)</f>
        <v>-7.1623465211459653E-2</v>
      </c>
      <c r="D90" s="67" cm="1">
        <f t="array" aca="1" ref="D90" ca="1">INDIRECT("'Python Impact of Technique'!V" &amp; 5 + (ROW(B10)-1)*4)</f>
        <v>-5.5450796384420298E-2</v>
      </c>
    </row>
    <row r="91" spans="1:4" x14ac:dyDescent="0.25">
      <c r="A91" s="97"/>
      <c r="B91" s="4" t="s">
        <v>33</v>
      </c>
      <c r="C91" s="67" cm="1">
        <f t="array" aca="1" ref="C91" ca="1">INDIRECT("'Python Impact of Technique'!S" &amp; 5 + (ROW(B11)-1)*4)</f>
        <v>0.17911832946635739</v>
      </c>
      <c r="D91" s="67" cm="1">
        <f t="array" aca="1" ref="D91" ca="1">INDIRECT("'Python Impact of Technique'!V" &amp; 5 + (ROW(B11)-1)*4)</f>
        <v>0.19346738850219125</v>
      </c>
    </row>
    <row r="92" spans="1:4" x14ac:dyDescent="0.25">
      <c r="A92" s="97"/>
      <c r="B92" s="4" t="s">
        <v>37</v>
      </c>
      <c r="C92" s="67" cm="1">
        <f t="array" aca="1" ref="C92" ca="1">INDIRECT("'Python Impact of Technique'!S" &amp; 5 + (ROW(B12)-1)*4)</f>
        <v>1.6814835673196856E-2</v>
      </c>
      <c r="D92" s="67" cm="1">
        <f t="array" aca="1" ref="D92" ca="1">INDIRECT("'Python Impact of Technique'!V" &amp; 5 + (ROW(B12)-1)*4)</f>
        <v>-2.4175998831744129E-2</v>
      </c>
    </row>
    <row r="93" spans="1:4" x14ac:dyDescent="0.25">
      <c r="A93" s="97"/>
      <c r="B93" s="4" t="s">
        <v>39</v>
      </c>
      <c r="C93" s="67" cm="1">
        <f t="array" aca="1" ref="C93" ca="1">INDIRECT("'Python Impact of Technique'!S" &amp; 5 + (ROW(B13)-1)*4)</f>
        <v>7.1370766932270888E-2</v>
      </c>
      <c r="D93" s="67" cm="1">
        <f t="array" aca="1" ref="D93" ca="1">INDIRECT("'Python Impact of Technique'!V" &amp; 5 + (ROW(B13)-1)*4)</f>
        <v>0.14710905616765138</v>
      </c>
    </row>
    <row r="94" spans="1:4" x14ac:dyDescent="0.25">
      <c r="A94" s="97"/>
      <c r="B94" s="4" t="s">
        <v>49</v>
      </c>
      <c r="C94" s="67" cm="1">
        <f t="array" aca="1" ref="C94" ca="1">INDIRECT("'Python Impact of Technique'!S" &amp; 5 + (ROW(B14)-1)*4)</f>
        <v>-6.718555377815999E-2</v>
      </c>
      <c r="D94" s="67" cm="1">
        <f t="array" aca="1" ref="D94" ca="1">INDIRECT("'Python Impact of Technique'!V" &amp; 5 + (ROW(B14)-1)*4)</f>
        <v>-0.10324756903777324</v>
      </c>
    </row>
    <row r="95" spans="1:4" x14ac:dyDescent="0.25">
      <c r="A95" s="97"/>
      <c r="B95" s="4" t="s">
        <v>51</v>
      </c>
      <c r="C95" s="67" cm="1">
        <f t="array" aca="1" ref="C95" ca="1">INDIRECT("'Python Impact of Technique'!S" &amp; 5 + (ROW(B15)-1)*4)</f>
        <v>-0.14194471111459406</v>
      </c>
      <c r="D95" s="67" cm="1">
        <f t="array" aca="1" ref="D95" ca="1">INDIRECT("'Python Impact of Technique'!V" &amp; 5 + (ROW(B15)-1)*4)</f>
        <v>-0.1549149791696304</v>
      </c>
    </row>
    <row r="96" spans="1:4" x14ac:dyDescent="0.25">
      <c r="A96" s="97"/>
      <c r="B96" s="4" t="s">
        <v>55</v>
      </c>
      <c r="C96" s="67" cm="1">
        <f t="array" aca="1" ref="C96" ca="1">INDIRECT("'Python Impact of Technique'!S" &amp; 5 + (ROW(B16)-1)*4)</f>
        <v>0.21195757903979731</v>
      </c>
      <c r="D96" s="67" cm="1">
        <f t="array" aca="1" ref="D96" ca="1">INDIRECT("'Python Impact of Technique'!V" &amp; 5 + (ROW(B16)-1)*4)</f>
        <v>0.2058519992965237</v>
      </c>
    </row>
    <row r="97" spans="1:4" x14ac:dyDescent="0.25">
      <c r="A97" s="97"/>
      <c r="B97" s="4" t="s">
        <v>57</v>
      </c>
      <c r="C97" s="67" cm="1">
        <f t="array" aca="1" ref="C97" ca="1">INDIRECT("'Python Impact of Technique'!S" &amp; 5 + (ROW(B17)-1)*4)</f>
        <v>0.12734584450402142</v>
      </c>
      <c r="D97" s="67" cm="1">
        <f t="array" aca="1" ref="D97" ca="1">INDIRECT("'Python Impact of Technique'!V" &amp; 5 + (ROW(B17)-1)*4)</f>
        <v>0.16449833371527653</v>
      </c>
    </row>
    <row r="98" spans="1:4" x14ac:dyDescent="0.25">
      <c r="A98" s="97"/>
      <c r="B98" s="4" t="s">
        <v>61</v>
      </c>
      <c r="C98" s="67" cm="1">
        <f t="array" aca="1" ref="C98" ca="1">INDIRECT("'Python Impact of Technique'!S" &amp; 5 + (ROW(B18)-1)*4)</f>
        <v>4.7967692262994167E-2</v>
      </c>
      <c r="D98" s="67" cm="1">
        <f t="array" aca="1" ref="D98" ca="1">INDIRECT("'Python Impact of Technique'!V" &amp; 5 + (ROW(B18)-1)*4)</f>
        <v>4.079325972561023E-2</v>
      </c>
    </row>
    <row r="99" spans="1:4" x14ac:dyDescent="0.25">
      <c r="A99" s="97"/>
      <c r="B99" s="4" t="s">
        <v>63</v>
      </c>
      <c r="C99" s="67" cm="1">
        <f t="array" aca="1" ref="C99" ca="1">INDIRECT("'Python Impact of Technique'!S" &amp; 5 + (ROW(B19)-1)*4)</f>
        <v>0.30467793289248096</v>
      </c>
      <c r="D99" s="67" cm="1">
        <f t="array" aca="1" ref="D99" ca="1">INDIRECT("'Python Impact of Technique'!V" &amp; 5 + (ROW(B19)-1)*4)</f>
        <v>0.33902988700528802</v>
      </c>
    </row>
    <row r="100" spans="1:4" x14ac:dyDescent="0.25">
      <c r="A100" s="97"/>
      <c r="B100" s="4" t="s">
        <v>65</v>
      </c>
      <c r="C100" s="67" cm="1">
        <f t="array" aca="1" ref="C100" ca="1">INDIRECT("'Python Impact of Technique'!S" &amp; 5 + (ROW(B20)-1)*4)</f>
        <v>1.2243490256940805E-2</v>
      </c>
      <c r="D100" s="67" cm="1">
        <f t="array" aca="1" ref="D100" ca="1">INDIRECT("'Python Impact of Technique'!V" &amp; 5 + (ROW(B20)-1)*4)</f>
        <v>-3.0565399865311281E-3</v>
      </c>
    </row>
    <row r="101" spans="1:4" x14ac:dyDescent="0.25">
      <c r="A101" s="97"/>
      <c r="B101" s="4" t="s">
        <v>71</v>
      </c>
      <c r="C101" s="67" cm="1">
        <f t="array" aca="1" ref="C101" ca="1">INDIRECT("'Python Impact of Technique'!S" &amp; 5 + (ROW(B21)-1)*4)</f>
        <v>-0.12118191393319286</v>
      </c>
      <c r="D101" s="67" cm="1">
        <f t="array" aca="1" ref="D101" ca="1">INDIRECT("'Python Impact of Technique'!V" &amp; 5 + (ROW(B21)-1)*4)</f>
        <v>-0.12028577040559246</v>
      </c>
    </row>
    <row r="102" spans="1:4" x14ac:dyDescent="0.25">
      <c r="A102" s="97"/>
      <c r="B102" s="4" t="s">
        <v>79</v>
      </c>
      <c r="C102" s="67" cm="1">
        <f t="array" aca="1" ref="C102" ca="1">INDIRECT("'Python Impact of Technique'!S" &amp; 5 + (ROW(B22)-1)*4)</f>
        <v>-1.6069032614985386E-2</v>
      </c>
      <c r="D102" s="67" cm="1">
        <f t="array" aca="1" ref="D102" ca="1">INDIRECT("'Python Impact of Technique'!V" &amp; 5 + (ROW(B22)-1)*4)</f>
        <v>5.0763369723440021E-3</v>
      </c>
    </row>
    <row r="103" spans="1:4" x14ac:dyDescent="0.25">
      <c r="A103" s="97"/>
      <c r="B103" s="4" t="s">
        <v>87</v>
      </c>
      <c r="C103" s="67" cm="1">
        <f t="array" aca="1" ref="C103" ca="1">INDIRECT("'Python Impact of Technique'!S" &amp; 5 + (ROW(B23)-1)*4)</f>
        <v>-2.3706045041485598E-2</v>
      </c>
      <c r="D103" s="67" cm="1">
        <f t="array" aca="1" ref="D103" ca="1">INDIRECT("'Python Impact of Technique'!V" &amp; 5 + (ROW(B23)-1)*4)</f>
        <v>1.2958413017751323E-2</v>
      </c>
    </row>
    <row r="104" spans="1:4" x14ac:dyDescent="0.25">
      <c r="A104" s="97"/>
      <c r="B104" s="4" t="s">
        <v>91</v>
      </c>
      <c r="C104" s="67" cm="1">
        <f t="array" aca="1" ref="C104" ca="1">INDIRECT("'Python Impact of Technique'!S" &amp; 5 + (ROW(B24)-1)*4)</f>
        <v>-0.36876446811317815</v>
      </c>
      <c r="D104" s="67" cm="1">
        <f t="array" aca="1" ref="D104" ca="1">INDIRECT("'Python Impact of Technique'!V" &amp; 5 + (ROW(B24)-1)*4)</f>
        <v>-0.3427749333370857</v>
      </c>
    </row>
    <row r="105" spans="1:4" x14ac:dyDescent="0.25">
      <c r="A105" s="97"/>
      <c r="B105" s="4" t="s">
        <v>93</v>
      </c>
      <c r="C105" s="67" cm="1">
        <f t="array" aca="1" ref="C105" ca="1">INDIRECT("'Python Impact of Technique'!S" &amp; 5 + (ROW(B25)-1)*4)</f>
        <v>-0.31290681060485792</v>
      </c>
      <c r="D105" s="67" cm="1">
        <f t="array" aca="1" ref="D105" ca="1">INDIRECT("'Python Impact of Technique'!V" &amp; 5 + (ROW(B25)-1)*4)</f>
        <v>-0.31728834126386379</v>
      </c>
    </row>
    <row r="106" spans="1:4" x14ac:dyDescent="0.25">
      <c r="A106" s="97"/>
      <c r="B106" s="4" t="s">
        <v>95</v>
      </c>
      <c r="C106" s="67" cm="1">
        <f t="array" aca="1" ref="C106" ca="1">INDIRECT("'Python Impact of Technique'!S" &amp; 5 + (ROW(B26)-1)*4)</f>
        <v>-4.2766407904022571E-2</v>
      </c>
      <c r="D106" s="67" cm="1">
        <f t="array" aca="1" ref="D106" ca="1">INDIRECT("'Python Impact of Technique'!V" &amp; 5 + (ROW(B26)-1)*4)</f>
        <v>-7.6442299034682817E-2</v>
      </c>
    </row>
    <row r="107" spans="1:4" x14ac:dyDescent="0.25">
      <c r="A107" s="97" t="s">
        <v>187</v>
      </c>
      <c r="B107" s="4" t="s">
        <v>156</v>
      </c>
      <c r="C107" s="67" cm="1">
        <f t="array" aca="1" ref="C107" ca="1">INDIRECT("'Java Impact of Technique'!T" &amp; 3 + (ROW(B1)-1)*4)</f>
        <v>-4.618007862454419E-3</v>
      </c>
      <c r="D107" s="67" cm="1">
        <f t="array" aca="1" ref="D107" ca="1">INDIRECT("'Java Impact of Technique'!W" &amp; 3 + (ROW(W1)-1)*4)</f>
        <v>4.6988022511533804E-3</v>
      </c>
    </row>
    <row r="108" spans="1:4" x14ac:dyDescent="0.25">
      <c r="A108" s="97"/>
      <c r="B108" s="4" t="s">
        <v>157</v>
      </c>
      <c r="C108" s="67" cm="1">
        <f t="array" aca="1" ref="C108" ca="1">INDIRECT("'Java Impact of Technique'!T" &amp; 3 + (ROW(B2)-1)*4)</f>
        <v>-0.69009441701594498</v>
      </c>
      <c r="D108" s="67" cm="1">
        <f t="array" aca="1" ref="D108" ca="1">INDIRECT("'Java Impact of Technique'!W" &amp; 3 + (ROW(W2)-1)*4)</f>
        <v>-0.70489247974796598</v>
      </c>
    </row>
    <row r="109" spans="1:4" x14ac:dyDescent="0.25">
      <c r="A109" s="97"/>
      <c r="B109" s="4" t="s">
        <v>158</v>
      </c>
      <c r="C109" s="67" cm="1">
        <f t="array" aca="1" ref="C109" ca="1">INDIRECT("'Java Impact of Technique'!T" &amp; 3 + (ROW(B3)-1)*4)</f>
        <v>0</v>
      </c>
      <c r="D109" s="67" cm="1">
        <f t="array" aca="1" ref="D109" ca="1">INDIRECT("'Java Impact of Technique'!W" &amp; 3 + (ROW(W3)-1)*4)</f>
        <v>7.9487745639214551E-3</v>
      </c>
    </row>
    <row r="110" spans="1:4" x14ac:dyDescent="0.25">
      <c r="A110" s="97"/>
      <c r="B110" s="4" t="s">
        <v>160</v>
      </c>
      <c r="C110" s="67" cm="1">
        <f t="array" aca="1" ref="C110" ca="1">INDIRECT("'Java Impact of Technique'!T" &amp; 3 + (ROW(B4)-1)*4)</f>
        <v>-0.91212343249523731</v>
      </c>
      <c r="D110" s="67" cm="1">
        <f t="array" aca="1" ref="D110" ca="1">INDIRECT("'Java Impact of Technique'!W" &amp; 3 + (ROW(W4)-1)*4)</f>
        <v>-0.92058701883923344</v>
      </c>
    </row>
    <row r="111" spans="1:4" x14ac:dyDescent="0.25">
      <c r="A111" s="97"/>
      <c r="B111" s="4" t="s">
        <v>159</v>
      </c>
      <c r="C111" s="67" cm="1">
        <f t="array" aca="1" ref="C111" ca="1">INDIRECT("'Java Impact of Technique'!T" &amp; 3 + (ROW(B5)-1)*4)</f>
        <v>0</v>
      </c>
      <c r="D111" s="67" cm="1">
        <f t="array" aca="1" ref="D111" ca="1">INDIRECT("'Java Impact of Technique'!W" &amp; 3 + (ROW(W5)-1)*4)</f>
        <v>-1.4030867909399251E-3</v>
      </c>
    </row>
    <row r="112" spans="1:4" x14ac:dyDescent="0.25">
      <c r="A112" s="97"/>
      <c r="B112" s="4" t="s">
        <v>19</v>
      </c>
      <c r="C112" s="67" cm="1">
        <f t="array" aca="1" ref="C112" ca="1">INDIRECT("'Java Impact of Technique'!T" &amp; 3 + (ROW(B6)-1)*4)</f>
        <v>-0.94327408086747766</v>
      </c>
      <c r="D112" s="67" cm="1">
        <f t="array" aca="1" ref="D112" ca="1">INDIRECT("'Java Impact of Technique'!W" &amp; 3 + (ROW(W6)-1)*4)</f>
        <v>-0.99957789376107475</v>
      </c>
    </row>
    <row r="113" spans="1:4" x14ac:dyDescent="0.25">
      <c r="A113" s="97"/>
      <c r="B113" s="4" t="s">
        <v>21</v>
      </c>
      <c r="C113" s="67" cm="1">
        <f t="array" aca="1" ref="C113" ca="1">INDIRECT("'Java Impact of Technique'!T" &amp; 3 + (ROW(B7)-1)*4)</f>
        <v>-0.90168762563695004</v>
      </c>
      <c r="D113" s="67" cm="1">
        <f t="array" aca="1" ref="D113" ca="1">INDIRECT("'Java Impact of Technique'!W" &amp; 3 + (ROW(W7)-1)*4)</f>
        <v>-0.8883567492795672</v>
      </c>
    </row>
    <row r="114" spans="1:4" x14ac:dyDescent="0.25">
      <c r="A114" s="97"/>
      <c r="B114" s="4" t="s">
        <v>23</v>
      </c>
      <c r="C114" s="67" cm="1">
        <f t="array" aca="1" ref="C114" ca="1">INDIRECT("'Java Impact of Technique'!T" &amp; 3 + (ROW(B8)-1)*4)</f>
        <v>0</v>
      </c>
      <c r="D114" s="67" cm="1">
        <f t="array" aca="1" ref="D114" ca="1">INDIRECT("'Java Impact of Technique'!W" &amp; 3 + (ROW(W8)-1)*4)</f>
        <v>4.3308791684711677E-3</v>
      </c>
    </row>
    <row r="115" spans="1:4" x14ac:dyDescent="0.25">
      <c r="A115" s="97"/>
      <c r="B115" s="4" t="s">
        <v>25</v>
      </c>
      <c r="C115" s="67" cm="1">
        <f t="array" aca="1" ref="C115" ca="1">INDIRECT("'Java Impact of Technique'!T" &amp; 3 + (ROW(B9)-1)*4)</f>
        <v>-0.76191342306293197</v>
      </c>
      <c r="D115" s="67" cm="1">
        <f t="array" aca="1" ref="D115" ca="1">INDIRECT("'Java Impact of Technique'!W" &amp; 3 + (ROW(W9)-1)*4)</f>
        <v>-0.73714951176790766</v>
      </c>
    </row>
    <row r="116" spans="1:4" x14ac:dyDescent="0.25">
      <c r="A116" s="97"/>
      <c r="B116" s="4" t="s">
        <v>31</v>
      </c>
      <c r="C116" s="67" cm="1">
        <f t="array" aca="1" ref="C116" ca="1">INDIRECT("'Java Impact of Technique'!T" &amp; 3 + (ROW(B10)-1)*4)</f>
        <v>0.33354551241247632</v>
      </c>
      <c r="D116" s="67" cm="1">
        <f t="array" aca="1" ref="D116" ca="1">INDIRECT("'Java Impact of Technique'!W" &amp; 3 + (ROW(W10)-1)*4)</f>
        <v>0.40460220022044863</v>
      </c>
    </row>
    <row r="117" spans="1:4" x14ac:dyDescent="0.25">
      <c r="A117" s="97"/>
      <c r="B117" s="4" t="s">
        <v>33</v>
      </c>
      <c r="C117" s="67" cm="1">
        <f t="array" aca="1" ref="C117" ca="1">INDIRECT("'Java Impact of Technique'!T" &amp; 3 + (ROW(B11)-1)*4)</f>
        <v>-4.7732696897390635E-4</v>
      </c>
      <c r="D117" s="67" cm="1">
        <f t="array" aca="1" ref="D117" ca="1">INDIRECT("'Java Impact of Technique'!W" &amp; 3 + (ROW(W11)-1)*4)</f>
        <v>-4.7865430630935537E-3</v>
      </c>
    </row>
    <row r="118" spans="1:4" x14ac:dyDescent="0.25">
      <c r="A118" s="97"/>
      <c r="B118" s="4" t="s">
        <v>37</v>
      </c>
      <c r="C118" s="67" cm="1">
        <f t="array" aca="1" ref="C118" ca="1">INDIRECT("'Java Impact of Technique'!T" &amp; 3 + (ROW(B12)-1)*4)</f>
        <v>-0.23065621939275216</v>
      </c>
      <c r="D118" s="67" cm="1">
        <f t="array" aca="1" ref="D118" ca="1">INDIRECT("'Java Impact of Technique'!W" &amp; 3 + (ROW(W12)-1)*4)</f>
        <v>-0.13977822295459591</v>
      </c>
    </row>
    <row r="119" spans="1:4" x14ac:dyDescent="0.25">
      <c r="A119" s="97"/>
      <c r="B119" s="4" t="s">
        <v>39</v>
      </c>
      <c r="C119" s="67" cm="1">
        <f t="array" aca="1" ref="C119" ca="1">INDIRECT("'Java Impact of Technique'!T" &amp; 3 + (ROW(B13)-1)*4)</f>
        <v>1.1678175266241217</v>
      </c>
      <c r="D119" s="67" cm="1">
        <f t="array" aca="1" ref="D119" ca="1">INDIRECT("'Java Impact of Technique'!W" &amp; 3 + (ROW(W13)-1)*4)</f>
        <v>0.75153372622166359</v>
      </c>
    </row>
    <row r="120" spans="1:4" x14ac:dyDescent="0.25">
      <c r="A120" s="97"/>
      <c r="B120" s="4" t="s">
        <v>49</v>
      </c>
      <c r="C120" s="67" cm="1">
        <f t="array" aca="1" ref="C120" ca="1">INDIRECT("'Java Impact of Technique'!T" &amp; 3 + (ROW(B14)-1)*4)</f>
        <v>0.133715377268386</v>
      </c>
      <c r="D120" s="67" cm="1">
        <f t="array" aca="1" ref="D120" ca="1">INDIRECT("'Java Impact of Technique'!W" &amp; 3 + (ROW(W14)-1)*4)</f>
        <v>5.5328774597779615E-2</v>
      </c>
    </row>
    <row r="121" spans="1:4" x14ac:dyDescent="0.25">
      <c r="A121" s="97"/>
      <c r="B121" s="4" t="s">
        <v>51</v>
      </c>
      <c r="C121" s="67" cm="1">
        <f t="array" aca="1" ref="C121" ca="1">INDIRECT("'Java Impact of Technique'!T" &amp; 3 + (ROW(B15)-1)*4)</f>
        <v>-1.3832742072986281E-2</v>
      </c>
      <c r="D121" s="67" cm="1">
        <f t="array" aca="1" ref="D121" ca="1">INDIRECT("'Java Impact of Technique'!W" &amp; 3 + (ROW(W15)-1)*4)</f>
        <v>5.5422094616288508E-3</v>
      </c>
    </row>
    <row r="122" spans="1:4" x14ac:dyDescent="0.25">
      <c r="A122" s="97"/>
      <c r="B122" s="4" t="s">
        <v>55</v>
      </c>
      <c r="C122" s="67" cm="1">
        <f t="array" aca="1" ref="C122" ca="1">INDIRECT("'Java Impact of Technique'!T" &amp; 3 + (ROW(B16)-1)*4)</f>
        <v>0.49952244508118449</v>
      </c>
      <c r="D122" s="67" cm="1">
        <f t="array" aca="1" ref="D122" ca="1">INDIRECT("'Java Impact of Technique'!W" &amp; 3 + (ROW(W16)-1)*4)</f>
        <v>0.32655847197753729</v>
      </c>
    </row>
    <row r="123" spans="1:4" x14ac:dyDescent="0.25">
      <c r="A123" s="97"/>
      <c r="B123" s="4" t="s">
        <v>57</v>
      </c>
      <c r="C123" s="67" cm="1">
        <f t="array" aca="1" ref="C123" ca="1">INDIRECT("'Java Impact of Technique'!T" &amp; 3 + (ROW(B17)-1)*4)</f>
        <v>-6.3653723742831947E-4</v>
      </c>
      <c r="D123" s="67" cm="1">
        <f t="array" aca="1" ref="D123" ca="1">INDIRECT("'Java Impact of Technique'!W" &amp; 3 + (ROW(W17)-1)*4)</f>
        <v>-7.9376207599354629E-3</v>
      </c>
    </row>
    <row r="124" spans="1:4" x14ac:dyDescent="0.25">
      <c r="A124" s="97"/>
      <c r="B124" s="4" t="s">
        <v>61</v>
      </c>
      <c r="C124" s="67" cm="1">
        <f t="array" aca="1" ref="C124" ca="1">INDIRECT("'Java Impact of Technique'!T" &amp; 3 + (ROW(B18)-1)*4)</f>
        <v>0.16067037757765001</v>
      </c>
      <c r="D124" s="67" cm="1">
        <f t="array" aca="1" ref="D124" ca="1">INDIRECT("'Java Impact of Technique'!W" &amp; 3 + (ROW(W18)-1)*4)</f>
        <v>0.26154581551808981</v>
      </c>
    </row>
    <row r="125" spans="1:4" x14ac:dyDescent="0.25">
      <c r="A125" s="97"/>
      <c r="B125" s="4" t="s">
        <v>63</v>
      </c>
      <c r="C125" s="67" cm="1">
        <f t="array" aca="1" ref="C125" ca="1">INDIRECT("'Java Impact of Technique'!T" &amp; 3 + (ROW(B19)-1)*4)</f>
        <v>-0.24976122254059213</v>
      </c>
      <c r="D125" s="67" cm="1">
        <f t="array" aca="1" ref="D125" ca="1">INDIRECT("'Java Impact of Technique'!W" &amp; 3 + (ROW(W19)-1)*4)</f>
        <v>-0.29658398233701516</v>
      </c>
    </row>
    <row r="126" spans="1:4" x14ac:dyDescent="0.25">
      <c r="A126" s="97"/>
      <c r="B126" s="4" t="s">
        <v>65</v>
      </c>
      <c r="C126" s="67" cm="1">
        <f t="array" aca="1" ref="C126" ca="1">INDIRECT("'Java Impact of Technique'!T" &amp; 3 + (ROW(B20)-1)*4)</f>
        <v>0</v>
      </c>
      <c r="D126" s="67" cm="1">
        <f t="array" aca="1" ref="D126" ca="1">INDIRECT("'Java Impact of Technique'!W" &amp; 3 + (ROW(W20)-1)*4)</f>
        <v>1.8483855872718766E-2</v>
      </c>
    </row>
    <row r="127" spans="1:4" x14ac:dyDescent="0.25">
      <c r="A127" s="97"/>
      <c r="B127" s="4" t="s">
        <v>71</v>
      </c>
      <c r="C127" s="67" cm="1">
        <f t="array" aca="1" ref="C127" ca="1">INDIRECT("'Java Impact of Technique'!T" &amp; 3 + (ROW(B21)-1)*4)</f>
        <v>-7.0564925828083755E-2</v>
      </c>
      <c r="D127" s="67" cm="1">
        <f t="array" aca="1" ref="D127" ca="1">INDIRECT("'Java Impact of Technique'!W" &amp; 3 + (ROW(W21)-1)*4)</f>
        <v>-7.5011132650567025E-2</v>
      </c>
    </row>
    <row r="128" spans="1:4" x14ac:dyDescent="0.25">
      <c r="A128" s="97"/>
      <c r="B128" s="4" t="s">
        <v>79</v>
      </c>
      <c r="C128" s="67" cm="1">
        <f t="array" aca="1" ref="C128" ca="1">INDIRECT("'Java Impact of Technique'!T" &amp; 3 + (ROW(B22)-1)*4)</f>
        <v>-5.1897030471316861E-3</v>
      </c>
      <c r="D128" s="67" cm="1">
        <f t="array" aca="1" ref="D128" ca="1">INDIRECT("'Java Impact of Technique'!W" &amp; 3 + (ROW(W22)-1)*4)</f>
        <v>-2.4705946719991798E-2</v>
      </c>
    </row>
    <row r="129" spans="1:4" x14ac:dyDescent="0.25">
      <c r="A129" s="97"/>
      <c r="B129" s="4" t="s">
        <v>87</v>
      </c>
      <c r="C129" s="67" cm="1">
        <f t="array" aca="1" ref="C129" ca="1">INDIRECT("'Java Impact of Technique'!T" &amp; 3 + (ROW(B23)-1)*4)</f>
        <v>-6.3653723742831947E-4</v>
      </c>
      <c r="D129" s="67" cm="1">
        <f t="array" aca="1" ref="D129" ca="1">INDIRECT("'Java Impact of Technique'!W" &amp; 3 + (ROW(W23)-1)*4)</f>
        <v>-1.5872082736901827E-2</v>
      </c>
    </row>
    <row r="130" spans="1:4" x14ac:dyDescent="0.25">
      <c r="A130" s="97"/>
      <c r="B130" s="4" t="s">
        <v>91</v>
      </c>
      <c r="C130" s="67" cm="1">
        <f t="array" aca="1" ref="C130" ca="1">INDIRECT("'Java Impact of Technique'!T" &amp; 3 + (ROW(B24)-1)*4)</f>
        <v>-0.48189082448029885</v>
      </c>
      <c r="D130" s="67" cm="1">
        <f t="array" aca="1" ref="D130" ca="1">INDIRECT("'Java Impact of Technique'!W" &amp; 3 + (ROW(W24)-1)*4)</f>
        <v>-0.48908404810390821</v>
      </c>
    </row>
    <row r="131" spans="1:4" x14ac:dyDescent="0.25">
      <c r="A131" s="97"/>
      <c r="B131" s="4" t="s">
        <v>93</v>
      </c>
      <c r="C131" s="67" cm="1">
        <f t="array" aca="1" ref="C131" ca="1">INDIRECT("'Java Impact of Technique'!T" &amp; 3 + (ROW(B25)-1)*4)</f>
        <v>-0.25371747627024005</v>
      </c>
      <c r="D131" s="67" cm="1">
        <f t="array" aca="1" ref="D131" ca="1">INDIRECT("'Java Impact of Technique'!W" &amp; 3 + (ROW(W25)-1)*4)</f>
        <v>-0.20147074882501792</v>
      </c>
    </row>
    <row r="132" spans="1:4" x14ac:dyDescent="0.25">
      <c r="A132" s="97"/>
      <c r="B132" s="4" t="s">
        <v>95</v>
      </c>
      <c r="C132" s="67" cm="1">
        <f t="array" aca="1" ref="C132" ca="1">INDIRECT("'Java Impact of Technique'!T" &amp; 3 + (ROW(B26)-1)*4)</f>
        <v>0.13968099552096624</v>
      </c>
      <c r="D132" s="67" cm="1">
        <f t="array" aca="1" ref="D132" ca="1">INDIRECT("'Java Impact of Technique'!W" &amp; 3 + (ROW(W26)-1)*4)</f>
        <v>0.13427004717427921</v>
      </c>
    </row>
    <row r="133" spans="1:4" x14ac:dyDescent="0.25">
      <c r="A133" s="97" t="s">
        <v>187</v>
      </c>
      <c r="B133" s="4" t="s">
        <v>156</v>
      </c>
      <c r="C133" s="67" cm="1">
        <f t="array" aca="1" ref="C133" ca="1">INDIRECT("'Java Impact of Technique'!T" &amp; 5 + (ROW(B1)-1)*4)</f>
        <v>-0.78641648238565454</v>
      </c>
      <c r="D133" s="67" cm="1">
        <f t="array" aca="1" ref="D133" ca="1">INDIRECT("'Java Impact of Technique'!W" &amp; 5 + (ROW(W1)-1)*4)</f>
        <v>-0.75707387900206113</v>
      </c>
    </row>
    <row r="134" spans="1:4" x14ac:dyDescent="0.25">
      <c r="A134" s="97"/>
      <c r="B134" s="4" t="s">
        <v>157</v>
      </c>
      <c r="C134" s="67" cm="1">
        <f t="array" aca="1" ref="C134" ca="1">INDIRECT("'Java Impact of Technique'!T" &amp; 5 + (ROW(B2)-1)*4)</f>
        <v>-4.902109346587475E-2</v>
      </c>
      <c r="D134" s="67" cm="1">
        <f t="array" aca="1" ref="D134" ca="1">INDIRECT("'Java Impact of Technique'!W" &amp; 5 + (ROW(W2)-1)*4)</f>
        <v>-5.446790302540426E-2</v>
      </c>
    </row>
    <row r="135" spans="1:4" x14ac:dyDescent="0.25">
      <c r="A135" s="97"/>
      <c r="B135" s="4" t="s">
        <v>158</v>
      </c>
      <c r="C135" s="67" cm="1">
        <f t="array" aca="1" ref="C135" ca="1">INDIRECT("'Java Impact of Technique'!T" &amp; 5 + (ROW(B3)-1)*4)</f>
        <v>7.5015628255885782E-3</v>
      </c>
      <c r="D135" s="67" cm="1">
        <f t="array" aca="1" ref="D135" ca="1">INDIRECT("'Java Impact of Technique'!W" &amp; 5 + (ROW(W3)-1)*4)</f>
        <v>-2.0579863712741595E-2</v>
      </c>
    </row>
    <row r="136" spans="1:4" x14ac:dyDescent="0.25">
      <c r="A136" s="97"/>
      <c r="B136" s="4" t="s">
        <v>160</v>
      </c>
      <c r="C136" s="67" cm="1">
        <f t="array" aca="1" ref="C136" ca="1">INDIRECT("'Java Impact of Technique'!T" &amp; 5 + (ROW(B4)-1)*4)</f>
        <v>-0.80038782465624636</v>
      </c>
      <c r="D136" s="67" cm="1">
        <f t="array" aca="1" ref="D136" ca="1">INDIRECT("'Java Impact of Technique'!W" &amp; 5 + (ROW(W4)-1)*4)</f>
        <v>-0.82069812548613541</v>
      </c>
    </row>
    <row r="137" spans="1:4" x14ac:dyDescent="0.25">
      <c r="A137" s="97"/>
      <c r="B137" s="4" t="s">
        <v>159</v>
      </c>
      <c r="C137" s="67" cm="1">
        <f t="array" aca="1" ref="C137" ca="1">INDIRECT("'Java Impact of Technique'!T" &amp; 5 + (ROW(B5)-1)*4)</f>
        <v>2.3243243243243204E-2</v>
      </c>
      <c r="D137" s="67" cm="1">
        <f t="array" aca="1" ref="D137" ca="1">INDIRECT("'Java Impact of Technique'!W" &amp; 5 + (ROW(W5)-1)*4)</f>
        <v>1.2977961910546289E-2</v>
      </c>
    </row>
    <row r="138" spans="1:4" x14ac:dyDescent="0.25">
      <c r="A138" s="97"/>
      <c r="B138" s="4" t="s">
        <v>19</v>
      </c>
      <c r="C138" s="67" cm="1">
        <f t="array" aca="1" ref="C138" ca="1">INDIRECT("'Java Impact of Technique'!T" &amp; 5 + (ROW(B6)-1)*4)</f>
        <v>-0.95666973423068824</v>
      </c>
      <c r="D138" s="67" cm="1">
        <f t="array" aca="1" ref="D138" ca="1">INDIRECT("'Java Impact of Technique'!W" &amp; 5 + (ROW(W6)-1)*4)</f>
        <v>-0.96630591111932551</v>
      </c>
    </row>
    <row r="139" spans="1:4" x14ac:dyDescent="0.25">
      <c r="A139" s="97"/>
      <c r="B139" s="4" t="s">
        <v>21</v>
      </c>
      <c r="C139" s="67" cm="1">
        <f t="array" aca="1" ref="C139" ca="1">INDIRECT("'Java Impact of Technique'!T" &amp; 5 + (ROW(B7)-1)*4)</f>
        <v>-0.32538728160147129</v>
      </c>
      <c r="D139" s="67" cm="1">
        <f t="array" aca="1" ref="D139" ca="1">INDIRECT("'Java Impact of Technique'!W" &amp; 5 + (ROW(W7)-1)*4)</f>
        <v>-0.29211322577094861</v>
      </c>
    </row>
    <row r="140" spans="1:4" x14ac:dyDescent="0.25">
      <c r="A140" s="97"/>
      <c r="B140" s="4" t="s">
        <v>23</v>
      </c>
      <c r="C140" s="67" cm="1">
        <f t="array" aca="1" ref="C140" ca="1">INDIRECT("'Java Impact of Technique'!T" &amp; 5 + (ROW(B8)-1)*4)</f>
        <v>-0.35243219661164832</v>
      </c>
      <c r="D140" s="67" cm="1">
        <f t="array" aca="1" ref="D140" ca="1">INDIRECT("'Java Impact of Technique'!W" &amp; 5 + (ROW(W8)-1)*4)</f>
        <v>-0.35591049167889083</v>
      </c>
    </row>
    <row r="141" spans="1:4" x14ac:dyDescent="0.25">
      <c r="A141" s="97"/>
      <c r="B141" s="4" t="s">
        <v>25</v>
      </c>
      <c r="C141" s="67" cm="1">
        <f t="array" aca="1" ref="C141" ca="1">INDIRECT("'Java Impact of Technique'!T" &amp; 5 + (ROW(B9)-1)*4)</f>
        <v>-6.9805056610198368E-2</v>
      </c>
      <c r="D141" s="67" cm="1">
        <f t="array" aca="1" ref="D141" ca="1">INDIRECT("'Java Impact of Technique'!W" &amp; 5 + (ROW(W9)-1)*4)</f>
        <v>-4.5700051135959915E-2</v>
      </c>
    </row>
    <row r="142" spans="1:4" x14ac:dyDescent="0.25">
      <c r="A142" s="97"/>
      <c r="B142" s="4" t="s">
        <v>31</v>
      </c>
      <c r="C142" s="67" cm="1">
        <f t="array" aca="1" ref="C142" ca="1">INDIRECT("'Java Impact of Technique'!T" &amp; 5 + (ROW(B10)-1)*4)</f>
        <v>0.18930312211829803</v>
      </c>
      <c r="D142" s="67" cm="1">
        <f t="array" aca="1" ref="D142" ca="1">INDIRECT("'Java Impact of Technique'!W" &amp; 5 + (ROW(W10)-1)*4)</f>
        <v>0.18902915226754513</v>
      </c>
    </row>
    <row r="143" spans="1:4" x14ac:dyDescent="0.25">
      <c r="A143" s="97"/>
      <c r="B143" s="4" t="s">
        <v>33</v>
      </c>
      <c r="C143" s="67" cm="1">
        <f t="array" aca="1" ref="C143" ca="1">INDIRECT("'Java Impact of Technique'!T" &amp; 5 + (ROW(B11)-1)*4)</f>
        <v>-5.3326180257510715E-2</v>
      </c>
      <c r="D143" s="67" cm="1">
        <f t="array" aca="1" ref="D143" ca="1">INDIRECT("'Java Impact of Technique'!W" &amp; 5 + (ROW(W11)-1)*4)</f>
        <v>-5.3994735214955861E-2</v>
      </c>
    </row>
    <row r="144" spans="1:4" x14ac:dyDescent="0.25">
      <c r="A144" s="97"/>
      <c r="B144" s="4" t="s">
        <v>37</v>
      </c>
      <c r="C144" s="67" cm="1">
        <f t="array" aca="1" ref="C144" ca="1">INDIRECT("'Java Impact of Technique'!T" &amp; 5 + (ROW(B12)-1)*4)</f>
        <v>-0.10862699468085102</v>
      </c>
      <c r="D144" s="67" cm="1">
        <f t="array" aca="1" ref="D144" ca="1">INDIRECT("'Java Impact of Technique'!W" &amp; 5 + (ROW(W12)-1)*4)</f>
        <v>-7.5519814807571889E-2</v>
      </c>
    </row>
    <row r="145" spans="1:4" x14ac:dyDescent="0.25">
      <c r="A145" s="97"/>
      <c r="B145" s="4" t="s">
        <v>39</v>
      </c>
      <c r="C145" s="67" cm="1">
        <f t="array" aca="1" ref="C145" ca="1">INDIRECT("'Java Impact of Technique'!T" &amp; 5 + (ROW(B13)-1)*4)</f>
        <v>-0.28361866512371947</v>
      </c>
      <c r="D145" s="67" cm="1">
        <f t="array" aca="1" ref="D145" ca="1">INDIRECT("'Java Impact of Technique'!W" &amp; 5 + (ROW(W13)-1)*4)</f>
        <v>-0.29452869279247745</v>
      </c>
    </row>
    <row r="146" spans="1:4" x14ac:dyDescent="0.25">
      <c r="A146" s="97"/>
      <c r="B146" s="4" t="s">
        <v>49</v>
      </c>
      <c r="C146" s="67" cm="1">
        <f t="array" aca="1" ref="C146" ca="1">INDIRECT("'Java Impact of Technique'!T" &amp; 5 + (ROW(B14)-1)*4)</f>
        <v>9.2588635813281085E-4</v>
      </c>
      <c r="D146" s="67" cm="1">
        <f t="array" aca="1" ref="D146" ca="1">INDIRECT("'Java Impact of Technique'!W" &amp; 5 + (ROW(W14)-1)*4)</f>
        <v>-1.6961807786654469E-4</v>
      </c>
    </row>
    <row r="147" spans="1:4" x14ac:dyDescent="0.25">
      <c r="A147" s="97"/>
      <c r="B147" s="4" t="s">
        <v>51</v>
      </c>
      <c r="C147" s="67" cm="1">
        <f t="array" aca="1" ref="C147" ca="1">INDIRECT("'Java Impact of Technique'!T" &amp; 5 + (ROW(B15)-1)*4)</f>
        <v>-0.27251754170420739</v>
      </c>
      <c r="D147" s="67" cm="1">
        <f t="array" aca="1" ref="D147" ca="1">INDIRECT("'Java Impact of Technique'!W" &amp; 5 + (ROW(W15)-1)*4)</f>
        <v>-0.25734224431249264</v>
      </c>
    </row>
    <row r="148" spans="1:4" x14ac:dyDescent="0.25">
      <c r="A148" s="97"/>
      <c r="B148" s="4" t="s">
        <v>55</v>
      </c>
      <c r="C148" s="67" cm="1">
        <f t="array" aca="1" ref="C148" ca="1">INDIRECT("'Java Impact of Technique'!T" &amp; 5 + (ROW(B16)-1)*4)</f>
        <v>0.29584190892719309</v>
      </c>
      <c r="D148" s="67" cm="1">
        <f t="array" aca="1" ref="D148" ca="1">INDIRECT("'Java Impact of Technique'!W" &amp; 5 + (ROW(W16)-1)*4)</f>
        <v>0.33396223426190963</v>
      </c>
    </row>
    <row r="149" spans="1:4" x14ac:dyDescent="0.25">
      <c r="A149" s="97"/>
      <c r="B149" s="4" t="s">
        <v>57</v>
      </c>
      <c r="C149" s="67" cm="1">
        <f t="array" aca="1" ref="C149" ca="1">INDIRECT("'Java Impact of Technique'!T" &amp; 5 + (ROW(B17)-1)*4)</f>
        <v>2.7595269382391586E-2</v>
      </c>
      <c r="D149" s="67" cm="1">
        <f t="array" aca="1" ref="D149" ca="1">INDIRECT("'Java Impact of Technique'!W" &amp; 5 + (ROW(W17)-1)*4)</f>
        <v>6.7577257562733131E-3</v>
      </c>
    </row>
    <row r="150" spans="1:4" x14ac:dyDescent="0.25">
      <c r="A150" s="97"/>
      <c r="B150" s="4" t="s">
        <v>61</v>
      </c>
      <c r="C150" s="67" cm="1">
        <f t="array" aca="1" ref="C150" ca="1">INDIRECT("'Java Impact of Technique'!T" &amp; 5 + (ROW(B18)-1)*4)</f>
        <v>0.47926144756277689</v>
      </c>
      <c r="D150" s="67" cm="1">
        <f t="array" aca="1" ref="D150" ca="1">INDIRECT("'Java Impact of Technique'!W" &amp; 5 + (ROW(W18)-1)*4)</f>
        <v>0.63283270165936423</v>
      </c>
    </row>
    <row r="151" spans="1:4" x14ac:dyDescent="0.25">
      <c r="A151" s="97"/>
      <c r="B151" s="4" t="s">
        <v>63</v>
      </c>
      <c r="C151" s="67" cm="1">
        <f t="array" aca="1" ref="C151" ca="1">INDIRECT("'Java Impact of Technique'!T" &amp; 5 + (ROW(B19)-1)*4)</f>
        <v>0.1380627557980901</v>
      </c>
      <c r="D151" s="67" cm="1">
        <f t="array" aca="1" ref="D151" ca="1">INDIRECT("'Java Impact of Technique'!W" &amp; 5 + (ROW(W19)-1)*4)</f>
        <v>8.0137405952079396E-2</v>
      </c>
    </row>
    <row r="152" spans="1:4" x14ac:dyDescent="0.25">
      <c r="A152" s="97"/>
      <c r="B152" s="4" t="s">
        <v>65</v>
      </c>
      <c r="C152" s="67" cm="1">
        <f t="array" aca="1" ref="C152" ca="1">INDIRECT("'Java Impact of Technique'!T" &amp; 5 + (ROW(B20)-1)*4)</f>
        <v>-3.2288288288288315E-2</v>
      </c>
      <c r="D152" s="67" cm="1">
        <f t="array" aca="1" ref="D152" ca="1">INDIRECT("'Java Impact of Technique'!W" &amp; 5 + (ROW(W20)-1)*4)</f>
        <v>-4.8223016073483442E-2</v>
      </c>
    </row>
    <row r="153" spans="1:4" x14ac:dyDescent="0.25">
      <c r="A153" s="97"/>
      <c r="B153" s="4" t="s">
        <v>71</v>
      </c>
      <c r="C153" s="67" cm="1">
        <f t="array" aca="1" ref="C153" ca="1">INDIRECT("'Java Impact of Technique'!T" &amp; 5 + (ROW(B21)-1)*4)</f>
        <v>-0.1571759053296557</v>
      </c>
      <c r="D153" s="67" cm="1">
        <f t="array" aca="1" ref="D153" ca="1">INDIRECT("'Java Impact of Technique'!W" &amp; 5 + (ROW(W21)-1)*4)</f>
        <v>-0.16049971866075002</v>
      </c>
    </row>
    <row r="154" spans="1:4" x14ac:dyDescent="0.25">
      <c r="A154" s="97"/>
      <c r="B154" s="4" t="s">
        <v>79</v>
      </c>
      <c r="C154" s="67" cm="1">
        <f t="array" aca="1" ref="C154" ca="1">INDIRECT("'Java Impact of Technique'!T" &amp; 5 + (ROW(B22)-1)*4)</f>
        <v>-0.74722315718613264</v>
      </c>
      <c r="D154" s="67" cm="1">
        <f t="array" aca="1" ref="D154" ca="1">INDIRECT("'Java Impact of Technique'!W" &amp; 5 + (ROW(W22)-1)*4)</f>
        <v>-0.72170812375656379</v>
      </c>
    </row>
    <row r="155" spans="1:4" x14ac:dyDescent="0.25">
      <c r="A155" s="97"/>
      <c r="B155" s="4" t="s">
        <v>87</v>
      </c>
      <c r="C155" s="67" cm="1">
        <f t="array" aca="1" ref="C155" ca="1">INDIRECT("'Java Impact of Technique'!T" &amp; 5 + (ROW(B23)-1)*4)</f>
        <v>4.0339157245632189E-2</v>
      </c>
      <c r="D155" s="67" cm="1">
        <f t="array" aca="1" ref="D155" ca="1">INDIRECT("'Java Impact of Technique'!W" &amp; 5 + (ROW(W23)-1)*4)</f>
        <v>7.9427044656595017E-2</v>
      </c>
    </row>
    <row r="156" spans="1:4" x14ac:dyDescent="0.25">
      <c r="A156" s="97"/>
      <c r="B156" s="4" t="s">
        <v>91</v>
      </c>
      <c r="C156" s="67" cm="1">
        <f t="array" aca="1" ref="C156" ca="1">INDIRECT("'Java Impact of Technique'!T" &amp; 5 + (ROW(B24)-1)*4)</f>
        <v>-0.59222255954516601</v>
      </c>
      <c r="D156" s="67" cm="1">
        <f t="array" aca="1" ref="D156" ca="1">INDIRECT("'Java Impact of Technique'!W" &amp; 5 + (ROW(W24)-1)*4)</f>
        <v>-0.59481514999310769</v>
      </c>
    </row>
    <row r="157" spans="1:4" x14ac:dyDescent="0.25">
      <c r="A157" s="97"/>
      <c r="B157" s="4" t="s">
        <v>93</v>
      </c>
      <c r="C157" s="67" cm="1">
        <f t="array" aca="1" ref="C157" ca="1">INDIRECT("'Java Impact of Technique'!T" &amp; 5 + (ROW(B25)-1)*4)</f>
        <v>-0.4808598846274485</v>
      </c>
      <c r="D157" s="67" cm="1">
        <f t="array" aca="1" ref="D157" ca="1">INDIRECT("'Java Impact of Technique'!W" &amp; 5 + (ROW(W25)-1)*4)</f>
        <v>-0.4754397347766291</v>
      </c>
    </row>
    <row r="158" spans="1:4" x14ac:dyDescent="0.25">
      <c r="A158" s="97"/>
      <c r="B158" s="4" t="s">
        <v>95</v>
      </c>
      <c r="C158" s="67" cm="1">
        <f t="array" aca="1" ref="C158" ca="1">INDIRECT("'Java Impact of Technique'!T" &amp; 5 + (ROW(B26)-1)*4)</f>
        <v>-6.5988380741099639E-2</v>
      </c>
      <c r="D158" s="67" cm="1">
        <f t="array" aca="1" ref="D158" ca="1">INDIRECT("'Java Impact of Technique'!W" &amp; 5 + (ROW(W26)-1)*4)</f>
        <v>-0.11584929075908819</v>
      </c>
    </row>
  </sheetData>
  <mergeCells count="6">
    <mergeCell ref="A133:A158"/>
    <mergeCell ref="A3:A28"/>
    <mergeCell ref="A55:A80"/>
    <mergeCell ref="A107:A132"/>
    <mergeCell ref="A29:A54"/>
    <mergeCell ref="A81:A10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Techniques</vt:lpstr>
      <vt:lpstr>Implementation</vt:lpstr>
      <vt:lpstr>C Impact of Technique</vt:lpstr>
      <vt:lpstr>C Impact of Optimization</vt:lpstr>
      <vt:lpstr>C Technique results</vt:lpstr>
      <vt:lpstr>C Optimization results</vt:lpstr>
      <vt:lpstr>Python Impact of Technique</vt:lpstr>
      <vt:lpstr>Python Impact of Optimization</vt:lpstr>
      <vt:lpstr>Python Technique results</vt:lpstr>
      <vt:lpstr>Python Optimization results</vt:lpstr>
      <vt:lpstr>Java Impact of Technique</vt:lpstr>
      <vt:lpstr>Java Impact of Optimization</vt:lpstr>
      <vt:lpstr>Java Technique results</vt:lpstr>
      <vt:lpstr>Java Optimization results</vt:lpstr>
      <vt:lpstr>Stats1</vt:lpstr>
      <vt:lpstr>Stats2</vt:lpstr>
      <vt:lpstr>Stats3</vt:lpstr>
      <vt:lpstr>Stats4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Olivia Poy</dc:creator>
  <cp:keywords/>
  <dc:description/>
  <cp:lastModifiedBy>Carlos Pulido Hernández</cp:lastModifiedBy>
  <cp:revision/>
  <dcterms:created xsi:type="dcterms:W3CDTF">2015-06-05T18:19:34Z</dcterms:created>
  <dcterms:modified xsi:type="dcterms:W3CDTF">2026-01-28T13:05:43Z</dcterms:modified>
  <cp:category/>
  <cp:contentStatus/>
</cp:coreProperties>
</file>