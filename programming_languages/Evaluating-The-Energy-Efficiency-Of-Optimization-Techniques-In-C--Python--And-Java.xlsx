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heme/themeOverride1.xml" ContentType="application/vnd.openxmlformats-officedocument.themeOverrid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theme/themeOverride2.xml" ContentType="application/vnd.openxmlformats-officedocument.themeOverride+xml"/>
  <Override PartName="/xl/drawings/drawing8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9.xml" ContentType="application/vnd.openxmlformats-officedocument.drawing+xml"/>
  <Override PartName="/xl/tables/table2.xml" ContentType="application/vnd.openxmlformats-officedocument.spreadsheetml.tab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LARCOS\Desktop\"/>
    </mc:Choice>
  </mc:AlternateContent>
  <xr:revisionPtr revIDLastSave="0" documentId="13_ncr:1_{7A507C79-0607-4004-8F0B-65737F164DD6}" xr6:coauthVersionLast="47" xr6:coauthVersionMax="47" xr10:uidLastSave="{00000000-0000-0000-0000-000000000000}"/>
  <bookViews>
    <workbookView xWindow="28695" yWindow="60" windowWidth="14610" windowHeight="15585" tabRatio="699" firstSheet="12" activeTab="12" xr2:uid="{00000000-000D-0000-FFFF-FFFF00000000}"/>
  </bookViews>
  <sheets>
    <sheet name="Techniques" sheetId="24" r:id="rId1"/>
    <sheet name="Implementation" sheetId="3" r:id="rId2"/>
    <sheet name="C Impact of Technique" sheetId="78" r:id="rId3"/>
    <sheet name="C Impact of Optimization" sheetId="79" r:id="rId4"/>
    <sheet name="C Technique results" sheetId="73" r:id="rId5"/>
    <sheet name="C Optimization results" sheetId="72" r:id="rId6"/>
    <sheet name="Python Impact of Technique" sheetId="82" r:id="rId7"/>
    <sheet name="Python Impact of Optimization" sheetId="83" r:id="rId8"/>
    <sheet name="Python Technique results" sheetId="77" r:id="rId9"/>
    <sheet name="Python Optimization results" sheetId="76" r:id="rId10"/>
    <sheet name="Java Impact of Technique" sheetId="86" r:id="rId11"/>
    <sheet name="Java Impact of Optimization" sheetId="87" r:id="rId12"/>
    <sheet name="Java Technique results" sheetId="65" r:id="rId13"/>
    <sheet name="Java Optimization results" sheetId="60" r:id="rId14"/>
    <sheet name="Stats1" sheetId="69" r:id="rId15"/>
    <sheet name="Stats2" sheetId="66" r:id="rId16"/>
    <sheet name="Stats3" sheetId="70" r:id="rId17"/>
    <sheet name="Stats4" sheetId="68" r:id="rId1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5" i="65" l="1" a="1"/>
  <c r="S5" i="65"/>
  <c r="S6" i="65" a="1"/>
  <c r="S6" i="65"/>
  <c r="S7" i="65" a="1"/>
  <c r="S7" i="65"/>
  <c r="S8" i="65" a="1"/>
  <c r="S8" i="65"/>
  <c r="S9" i="65" a="1"/>
  <c r="S9" i="65"/>
  <c r="S10" i="65" a="1"/>
  <c r="S10" i="65"/>
  <c r="S11" i="65" a="1"/>
  <c r="S11" i="65"/>
  <c r="S12" i="65" a="1"/>
  <c r="S12" i="65"/>
  <c r="S13" i="65" a="1"/>
  <c r="S13" i="65"/>
  <c r="S14" i="65" a="1"/>
  <c r="S14" i="65"/>
  <c r="S15" i="65" a="1"/>
  <c r="S15" i="65"/>
  <c r="S16" i="65" a="1"/>
  <c r="S16" i="65"/>
  <c r="S17" i="65" a="1"/>
  <c r="S17" i="65"/>
  <c r="S18" i="65" a="1"/>
  <c r="S18" i="65"/>
  <c r="S19" i="65" a="1"/>
  <c r="S19" i="65"/>
  <c r="S20" i="65" a="1"/>
  <c r="S20" i="65"/>
  <c r="S21" i="65" a="1"/>
  <c r="S21" i="65"/>
  <c r="S22" i="65" a="1"/>
  <c r="S22" i="65"/>
  <c r="S23" i="65" a="1"/>
  <c r="S23" i="65"/>
  <c r="S24" i="65" a="1"/>
  <c r="S24" i="65"/>
  <c r="S25" i="65" a="1"/>
  <c r="S25" i="65"/>
  <c r="S26" i="65" a="1"/>
  <c r="S26" i="65"/>
  <c r="S27" i="65" a="1"/>
  <c r="S27" i="65"/>
  <c r="S28" i="65" a="1"/>
  <c r="S28" i="65"/>
  <c r="S29" i="65" a="1"/>
  <c r="S29" i="65"/>
  <c r="S30" i="65" a="1"/>
  <c r="S30" i="65"/>
  <c r="C19" i="69" l="1"/>
  <c r="D136" i="68" a="1"/>
  <c r="D142" i="68" a="1"/>
  <c r="D148" i="68" a="1"/>
  <c r="D154" i="68" a="1"/>
  <c r="D137" i="68" a="1"/>
  <c r="D143" i="68" a="1"/>
  <c r="D149" i="68" a="1"/>
  <c r="D155" i="68" a="1"/>
  <c r="D138" i="68" a="1"/>
  <c r="D144" i="68" a="1"/>
  <c r="D150" i="68" a="1"/>
  <c r="D156" i="68" a="1"/>
  <c r="D139" i="68" a="1"/>
  <c r="D145" i="68" a="1"/>
  <c r="D151" i="68" a="1"/>
  <c r="D157" i="68" a="1"/>
  <c r="D134" i="68" a="1"/>
  <c r="D140" i="68" a="1"/>
  <c r="D146" i="68" a="1"/>
  <c r="D152" i="68" a="1"/>
  <c r="D158" i="68" a="1"/>
  <c r="D135" i="68" a="1"/>
  <c r="D141" i="68" a="1"/>
  <c r="D147" i="68" a="1"/>
  <c r="D153" i="68" a="1"/>
  <c r="C158" i="68" a="1"/>
  <c r="D153" i="68" l="1"/>
  <c r="D147" i="68"/>
  <c r="D141" i="68"/>
  <c r="D135" i="68"/>
  <c r="D158" i="68"/>
  <c r="D152" i="68"/>
  <c r="D146" i="68"/>
  <c r="D140" i="68"/>
  <c r="D134" i="68"/>
  <c r="D157" i="68"/>
  <c r="D151" i="68"/>
  <c r="D145" i="68"/>
  <c r="D139" i="68"/>
  <c r="D156" i="68"/>
  <c r="D150" i="68"/>
  <c r="D144" i="68"/>
  <c r="D138" i="68"/>
  <c r="D155" i="68"/>
  <c r="D149" i="68"/>
  <c r="D143" i="68"/>
  <c r="D137" i="68"/>
  <c r="D154" i="68"/>
  <c r="D148" i="68"/>
  <c r="D142" i="68"/>
  <c r="D136" i="68"/>
  <c r="C158" i="68"/>
  <c r="D133" i="68" a="1"/>
  <c r="C134" i="68" a="1"/>
  <c r="C140" i="68" a="1"/>
  <c r="C146" i="68" a="1"/>
  <c r="C152" i="68" a="1"/>
  <c r="C135" i="68" a="1"/>
  <c r="C141" i="68" a="1"/>
  <c r="C147" i="68" a="1"/>
  <c r="C142" i="68" a="1"/>
  <c r="C148" i="68" a="1"/>
  <c r="C137" i="68" a="1"/>
  <c r="C149" i="68" a="1"/>
  <c r="C155" i="68" a="1"/>
  <c r="C153" i="68" a="1"/>
  <c r="C143" i="68" a="1"/>
  <c r="C154" i="68" a="1"/>
  <c r="C136" i="68" a="1"/>
  <c r="C138" i="68" a="1"/>
  <c r="C144" i="68" a="1"/>
  <c r="C150" i="68" a="1"/>
  <c r="C156" i="68" a="1"/>
  <c r="C139" i="68" a="1"/>
  <c r="C145" i="68" a="1"/>
  <c r="C151" i="68" a="1"/>
  <c r="C157" i="68" a="1"/>
  <c r="C133" i="68" a="1"/>
  <c r="D109" i="68" a="1"/>
  <c r="D115" i="68" a="1"/>
  <c r="D121" i="68" a="1"/>
  <c r="D127" i="68" a="1"/>
  <c r="D110" i="68" a="1"/>
  <c r="D116" i="68" a="1"/>
  <c r="D122" i="68" a="1"/>
  <c r="D128" i="68" a="1"/>
  <c r="D111" i="68" a="1"/>
  <c r="D117" i="68" a="1"/>
  <c r="D123" i="68" a="1"/>
  <c r="D129" i="68" a="1"/>
  <c r="D124" i="68" a="1"/>
  <c r="D113" i="68" a="1"/>
  <c r="D125" i="68" a="1"/>
  <c r="D131" i="68" a="1"/>
  <c r="D108" i="68" a="1"/>
  <c r="D126" i="68" a="1"/>
  <c r="D132" i="68" a="1"/>
  <c r="D112" i="68" a="1"/>
  <c r="D118" i="68" a="1"/>
  <c r="D130" i="68" a="1"/>
  <c r="D119" i="68" a="1"/>
  <c r="D114" i="68" a="1"/>
  <c r="D120" i="68" a="1"/>
  <c r="D107" i="68" a="1"/>
  <c r="C108" i="68" a="1"/>
  <c r="C109" i="68" a="1"/>
  <c r="C110" i="68" a="1"/>
  <c r="C116" i="68" a="1"/>
  <c r="C122" i="68" a="1"/>
  <c r="C128" i="68" a="1"/>
  <c r="C111" i="68" a="1"/>
  <c r="C117" i="68" a="1"/>
  <c r="C123" i="68" a="1"/>
  <c r="C129" i="68" a="1"/>
  <c r="C112" i="68" a="1"/>
  <c r="C118" i="68" a="1"/>
  <c r="C124" i="68" a="1"/>
  <c r="C130" i="68" a="1"/>
  <c r="C113" i="68" a="1"/>
  <c r="C119" i="68" a="1"/>
  <c r="C125" i="68" a="1"/>
  <c r="C131" i="68" a="1"/>
  <c r="C114" i="68" a="1"/>
  <c r="C120" i="68" a="1"/>
  <c r="C126" i="68" a="1"/>
  <c r="C132" i="68" a="1"/>
  <c r="C115" i="68" a="1"/>
  <c r="C121" i="68" a="1"/>
  <c r="C127" i="68" a="1"/>
  <c r="C107" i="68" a="1"/>
  <c r="D82" i="68" a="1"/>
  <c r="D88" i="68" a="1"/>
  <c r="D94" i="68" a="1"/>
  <c r="D100" i="68" a="1"/>
  <c r="D106" i="68" a="1"/>
  <c r="D93" i="68" a="1"/>
  <c r="D89" i="68" a="1"/>
  <c r="D101" i="68" a="1"/>
  <c r="D90" i="68" a="1"/>
  <c r="D102" i="68" a="1"/>
  <c r="D85" i="68" a="1"/>
  <c r="D103" i="68" a="1"/>
  <c r="D104" i="68" a="1"/>
  <c r="D105" i="68" a="1"/>
  <c r="D83" i="68" a="1"/>
  <c r="D95" i="68" a="1"/>
  <c r="D96" i="68" a="1"/>
  <c r="D91" i="68" a="1"/>
  <c r="D97" i="68" a="1"/>
  <c r="D99" i="68" a="1"/>
  <c r="D84" i="68" a="1"/>
  <c r="D87" i="68" a="1"/>
  <c r="D86" i="68" a="1"/>
  <c r="D92" i="68" a="1"/>
  <c r="D98" i="68" a="1"/>
  <c r="D81" i="68" a="1"/>
  <c r="C82" i="68" a="1"/>
  <c r="C88" i="68" a="1"/>
  <c r="C94" i="68" a="1"/>
  <c r="C100" i="68" a="1"/>
  <c r="C106" i="68" a="1"/>
  <c r="C83" i="68" a="1"/>
  <c r="C89" i="68" a="1"/>
  <c r="C95" i="68" a="1"/>
  <c r="C101" i="68" a="1"/>
  <c r="C105" i="68" a="1"/>
  <c r="C90" i="68" a="1"/>
  <c r="C96" i="68" a="1"/>
  <c r="C85" i="68" a="1"/>
  <c r="C103" i="68" a="1"/>
  <c r="C99" i="68" a="1"/>
  <c r="C84" i="68" a="1"/>
  <c r="C102" i="68" a="1"/>
  <c r="C97" i="68" a="1"/>
  <c r="C98" i="68" a="1"/>
  <c r="C104" i="68" a="1"/>
  <c r="C93" i="68" a="1"/>
  <c r="C91" i="68" a="1"/>
  <c r="C87" i="68" a="1"/>
  <c r="C92" i="68" a="1"/>
  <c r="C86" i="68" a="1"/>
  <c r="C81" i="68" a="1"/>
  <c r="D57" i="68" a="1"/>
  <c r="D63" i="68" a="1"/>
  <c r="D69" i="68" a="1"/>
  <c r="D75" i="68" a="1"/>
  <c r="D58" i="68" a="1"/>
  <c r="D59" i="68" a="1"/>
  <c r="D65" i="68" a="1"/>
  <c r="D71" i="68" a="1"/>
  <c r="D77" i="68" a="1"/>
  <c r="D72" i="68" a="1"/>
  <c r="D79" i="68" a="1"/>
  <c r="D74" i="68" a="1"/>
  <c r="D66" i="68" a="1"/>
  <c r="D78" i="68" a="1"/>
  <c r="D62" i="68" a="1"/>
  <c r="D64" i="68" a="1"/>
  <c r="D60" i="68" a="1"/>
  <c r="D68" i="68" a="1"/>
  <c r="D76" i="68" a="1"/>
  <c r="D73" i="68" a="1"/>
  <c r="D61" i="68" a="1"/>
  <c r="D67" i="68" a="1"/>
  <c r="D56" i="68" a="1"/>
  <c r="D80" i="68" a="1"/>
  <c r="D70" i="68" a="1"/>
  <c r="D55" i="68" a="1"/>
  <c r="C56" i="68" a="1"/>
  <c r="C62" i="68" a="1"/>
  <c r="C68" i="68" a="1"/>
  <c r="C80" i="68" a="1"/>
  <c r="C69" i="68" a="1"/>
  <c r="C64" i="68" a="1"/>
  <c r="C65" i="68" a="1"/>
  <c r="C77" i="68" a="1"/>
  <c r="C60" i="68" a="1"/>
  <c r="C72" i="68" a="1"/>
  <c r="C78" i="68" a="1"/>
  <c r="C61" i="68" a="1"/>
  <c r="C67" i="68" a="1"/>
  <c r="C73" i="68" a="1"/>
  <c r="C79" i="68" a="1"/>
  <c r="C74" i="68" a="1"/>
  <c r="C57" i="68" a="1"/>
  <c r="C63" i="68" a="1"/>
  <c r="C75" i="68" a="1"/>
  <c r="C58" i="68" a="1"/>
  <c r="C70" i="68" a="1"/>
  <c r="C76" i="68" a="1"/>
  <c r="C59" i="68" a="1"/>
  <c r="C71" i="68" a="1"/>
  <c r="C66" i="68" a="1"/>
  <c r="C55" i="68" a="1"/>
  <c r="D30" i="68" a="1"/>
  <c r="D43" i="68" a="1"/>
  <c r="D31" i="68" a="1"/>
  <c r="D32" i="68" a="1"/>
  <c r="D38" i="68" a="1"/>
  <c r="D44" i="68" a="1"/>
  <c r="D50" i="68" a="1"/>
  <c r="D33" i="68" a="1"/>
  <c r="D39" i="68" a="1"/>
  <c r="D45" i="68" a="1"/>
  <c r="D51" i="68" a="1"/>
  <c r="D34" i="68" a="1"/>
  <c r="D40" i="68" a="1"/>
  <c r="D46" i="68" a="1"/>
  <c r="D52" i="68" a="1"/>
  <c r="D35" i="68" a="1"/>
  <c r="D41" i="68" a="1"/>
  <c r="D47" i="68" a="1"/>
  <c r="D53" i="68" a="1"/>
  <c r="D36" i="68" a="1"/>
  <c r="D42" i="68" a="1"/>
  <c r="D48" i="68" a="1"/>
  <c r="D54" i="68" a="1"/>
  <c r="D37" i="68" a="1"/>
  <c r="D49" i="68" a="1"/>
  <c r="D29" i="68" a="1"/>
  <c r="C33" i="68" a="1"/>
  <c r="C39" i="68" a="1"/>
  <c r="C45" i="68" a="1"/>
  <c r="C51" i="68" a="1"/>
  <c r="C34" i="68" a="1"/>
  <c r="C40" i="68" a="1"/>
  <c r="C46" i="68" a="1"/>
  <c r="C52" i="68" a="1"/>
  <c r="C35" i="68" a="1"/>
  <c r="C41" i="68" a="1"/>
  <c r="C47" i="68" a="1"/>
  <c r="C53" i="68" a="1"/>
  <c r="C30" i="68" a="1"/>
  <c r="C36" i="68" a="1"/>
  <c r="C42" i="68" a="1"/>
  <c r="C48" i="68" a="1"/>
  <c r="C54" i="68" a="1"/>
  <c r="C31" i="68" a="1"/>
  <c r="C37" i="68" a="1"/>
  <c r="C43" i="68" a="1"/>
  <c r="C49" i="68" a="1"/>
  <c r="C32" i="68" a="1"/>
  <c r="C38" i="68" a="1"/>
  <c r="C44" i="68" a="1"/>
  <c r="C50" i="68" a="1"/>
  <c r="C29" i="68" a="1"/>
  <c r="D7" i="68" a="1"/>
  <c r="D13" i="68" a="1"/>
  <c r="D19" i="68" a="1"/>
  <c r="D25" i="68" a="1"/>
  <c r="D8" i="68" a="1"/>
  <c r="D14" i="68" a="1"/>
  <c r="D20" i="68" a="1"/>
  <c r="D26" i="68" a="1"/>
  <c r="D9" i="68" a="1"/>
  <c r="D15" i="68" a="1"/>
  <c r="D21" i="68" a="1"/>
  <c r="D27" i="68" a="1"/>
  <c r="D4" i="68" a="1"/>
  <c r="D10" i="68" a="1"/>
  <c r="D16" i="68" a="1"/>
  <c r="D22" i="68" a="1"/>
  <c r="D28" i="68" a="1"/>
  <c r="D5" i="68" a="1"/>
  <c r="D11" i="68" a="1"/>
  <c r="D17" i="68" a="1"/>
  <c r="D23" i="68" a="1"/>
  <c r="D6" i="68" a="1"/>
  <c r="D12" i="68" a="1"/>
  <c r="D18" i="68" a="1"/>
  <c r="D24" i="68" a="1"/>
  <c r="D3" i="68" a="1"/>
  <c r="C6" i="68" a="1"/>
  <c r="C12" i="68" a="1"/>
  <c r="C18" i="68" a="1"/>
  <c r="C24" i="68" a="1"/>
  <c r="C7" i="68" a="1"/>
  <c r="C13" i="68" a="1"/>
  <c r="C19" i="68" a="1"/>
  <c r="C25" i="68" a="1"/>
  <c r="C8" i="68" a="1"/>
  <c r="C14" i="68" a="1"/>
  <c r="C20" i="68" a="1"/>
  <c r="C26" i="68" a="1"/>
  <c r="C9" i="68" a="1"/>
  <c r="C21" i="68" a="1"/>
  <c r="C27" i="68" a="1"/>
  <c r="C4" i="68" a="1"/>
  <c r="C10" i="68" a="1"/>
  <c r="C16" i="68" a="1"/>
  <c r="C22" i="68" a="1"/>
  <c r="C28" i="68" a="1"/>
  <c r="C5" i="68" a="1"/>
  <c r="C11" i="68" a="1"/>
  <c r="C17" i="68" a="1"/>
  <c r="C23" i="68" a="1"/>
  <c r="C15" i="68" a="1"/>
  <c r="C3" i="68" a="1"/>
  <c r="G8" i="70" a="1"/>
  <c r="G14" i="70" a="1"/>
  <c r="G20" i="70" a="1"/>
  <c r="G26" i="70" a="1"/>
  <c r="G9" i="70" a="1"/>
  <c r="G15" i="70" a="1"/>
  <c r="G21" i="70" a="1"/>
  <c r="G27" i="70" a="1"/>
  <c r="G10" i="70" a="1"/>
  <c r="G16" i="70" a="1"/>
  <c r="G22" i="70" a="1"/>
  <c r="G28" i="70" a="1"/>
  <c r="G5" i="70" a="1"/>
  <c r="G11" i="70" a="1"/>
  <c r="G17" i="70" a="1"/>
  <c r="G23" i="70" a="1"/>
  <c r="G29" i="70" a="1"/>
  <c r="G6" i="70" a="1"/>
  <c r="G12" i="70" a="1"/>
  <c r="G18" i="70" a="1"/>
  <c r="G24" i="70" a="1"/>
  <c r="G30" i="70" a="1"/>
  <c r="G7" i="70" a="1"/>
  <c r="G13" i="70" a="1"/>
  <c r="G19" i="70" a="1"/>
  <c r="G25" i="70" a="1"/>
  <c r="F5" i="70" a="1"/>
  <c r="F24" i="70" a="1"/>
  <c r="F8" i="70" a="1"/>
  <c r="F14" i="70" a="1"/>
  <c r="F20" i="70" a="1"/>
  <c r="F26" i="70" a="1"/>
  <c r="F9" i="70" a="1"/>
  <c r="F15" i="70" a="1"/>
  <c r="F21" i="70" a="1"/>
  <c r="F27" i="70" a="1"/>
  <c r="F10" i="70" a="1"/>
  <c r="F16" i="70" a="1"/>
  <c r="F22" i="70" a="1"/>
  <c r="F28" i="70" a="1"/>
  <c r="F11" i="70" a="1"/>
  <c r="F17" i="70" a="1"/>
  <c r="F23" i="70" a="1"/>
  <c r="F29" i="70" a="1"/>
  <c r="F6" i="70" a="1"/>
  <c r="F12" i="70" a="1"/>
  <c r="F18" i="70" a="1"/>
  <c r="F30" i="70" a="1"/>
  <c r="F7" i="70" a="1"/>
  <c r="F13" i="70" a="1"/>
  <c r="F19" i="70" a="1"/>
  <c r="F25" i="70" a="1"/>
  <c r="E5" i="70" a="1"/>
  <c r="E11" i="70" a="1"/>
  <c r="E17" i="70" a="1"/>
  <c r="E23" i="70" a="1"/>
  <c r="E29" i="70" a="1"/>
  <c r="E6" i="70" a="1"/>
  <c r="E12" i="70" a="1"/>
  <c r="E18" i="70" a="1"/>
  <c r="E24" i="70" a="1"/>
  <c r="E30" i="70" a="1"/>
  <c r="E13" i="70" a="1"/>
  <c r="E19" i="70" a="1"/>
  <c r="E25" i="70" a="1"/>
  <c r="E14" i="70" a="1"/>
  <c r="E20" i="70" a="1"/>
  <c r="E15" i="70" a="1"/>
  <c r="E27" i="70" a="1"/>
  <c r="E10" i="70" a="1"/>
  <c r="E28" i="70" a="1"/>
  <c r="E7" i="70" a="1"/>
  <c r="E8" i="70" a="1"/>
  <c r="E26" i="70" a="1"/>
  <c r="E9" i="70" a="1"/>
  <c r="E21" i="70" a="1"/>
  <c r="E16" i="70" a="1"/>
  <c r="E22" i="70" a="1"/>
  <c r="D5" i="70" a="1"/>
  <c r="D11" i="70" a="1"/>
  <c r="D17" i="70" a="1"/>
  <c r="D23" i="70" a="1"/>
  <c r="D29" i="70" a="1"/>
  <c r="D22" i="70" a="1"/>
  <c r="D12" i="70" a="1"/>
  <c r="D18" i="70" a="1"/>
  <c r="D30" i="70" a="1"/>
  <c r="D14" i="70" a="1"/>
  <c r="D6" i="70" a="1"/>
  <c r="D24" i="70" a="1"/>
  <c r="D20" i="70" a="1"/>
  <c r="D26" i="70" a="1"/>
  <c r="D16" i="70" a="1"/>
  <c r="D7" i="70" a="1"/>
  <c r="D13" i="70" a="1"/>
  <c r="D19" i="70" a="1"/>
  <c r="D25" i="70" a="1"/>
  <c r="D8" i="70" a="1"/>
  <c r="D28" i="70" a="1"/>
  <c r="D9" i="70" a="1"/>
  <c r="D15" i="70" a="1"/>
  <c r="D21" i="70" a="1"/>
  <c r="D27" i="70" a="1"/>
  <c r="D10" i="70" a="1"/>
  <c r="C8" i="70" a="1"/>
  <c r="C14" i="70" a="1"/>
  <c r="C20" i="70" a="1"/>
  <c r="C26" i="70" a="1"/>
  <c r="C9" i="70" a="1"/>
  <c r="C15" i="70" a="1"/>
  <c r="C21" i="70" a="1"/>
  <c r="C27" i="70" a="1"/>
  <c r="C10" i="70" a="1"/>
  <c r="C16" i="70" a="1"/>
  <c r="C22" i="70" a="1"/>
  <c r="C28" i="70" a="1"/>
  <c r="C5" i="70" a="1"/>
  <c r="C11" i="70" a="1"/>
  <c r="C17" i="70" a="1"/>
  <c r="C23" i="70" a="1"/>
  <c r="C29" i="70" a="1"/>
  <c r="C6" i="70" a="1"/>
  <c r="C12" i="70" a="1"/>
  <c r="C18" i="70" a="1"/>
  <c r="C24" i="70" a="1"/>
  <c r="C30" i="70" a="1"/>
  <c r="C7" i="70" a="1"/>
  <c r="C13" i="70" a="1"/>
  <c r="C19" i="70" a="1"/>
  <c r="C25" i="70" a="1"/>
  <c r="B7" i="70" a="1"/>
  <c r="B13" i="70" a="1"/>
  <c r="B19" i="70" a="1"/>
  <c r="B25" i="70" a="1"/>
  <c r="B8" i="70" a="1"/>
  <c r="B14" i="70" a="1"/>
  <c r="B20" i="70" a="1"/>
  <c r="B26" i="70" a="1"/>
  <c r="B9" i="70" a="1"/>
  <c r="B15" i="70" a="1"/>
  <c r="B21" i="70" a="1"/>
  <c r="B27" i="70" a="1"/>
  <c r="B10" i="70" a="1"/>
  <c r="B16" i="70" a="1"/>
  <c r="B22" i="70" a="1"/>
  <c r="B28" i="70" a="1"/>
  <c r="B5" i="70" a="1"/>
  <c r="B11" i="70" a="1"/>
  <c r="B17" i="70" a="1"/>
  <c r="B23" i="70" a="1"/>
  <c r="B29" i="70" a="1"/>
  <c r="B6" i="70" a="1"/>
  <c r="B12" i="70" a="1"/>
  <c r="B18" i="70" a="1"/>
  <c r="B24" i="70" a="1"/>
  <c r="B30" i="70" a="1"/>
  <c r="D133" i="68" l="1"/>
  <c r="C157" i="68"/>
  <c r="C151" i="68"/>
  <c r="C145" i="68"/>
  <c r="C139" i="68"/>
  <c r="C156" i="68"/>
  <c r="C150" i="68"/>
  <c r="C144" i="68"/>
  <c r="C138" i="68"/>
  <c r="C136" i="68"/>
  <c r="C154" i="68"/>
  <c r="C143" i="68"/>
  <c r="C153" i="68"/>
  <c r="C155" i="68"/>
  <c r="C149" i="68"/>
  <c r="C137" i="68"/>
  <c r="C148" i="68"/>
  <c r="C142" i="68"/>
  <c r="C147" i="68"/>
  <c r="C141" i="68"/>
  <c r="C135" i="68"/>
  <c r="C152" i="68"/>
  <c r="C146" i="68"/>
  <c r="C140" i="68"/>
  <c r="C134" i="68"/>
  <c r="C133" i="68"/>
  <c r="D120" i="68"/>
  <c r="D114" i="68"/>
  <c r="D119" i="68"/>
  <c r="D130" i="68"/>
  <c r="D118" i="68"/>
  <c r="D112" i="68"/>
  <c r="D132" i="68"/>
  <c r="D126" i="68"/>
  <c r="D108" i="68"/>
  <c r="D131" i="68"/>
  <c r="D125" i="68"/>
  <c r="D113" i="68"/>
  <c r="D124" i="68"/>
  <c r="D129" i="68"/>
  <c r="D123" i="68"/>
  <c r="D117" i="68"/>
  <c r="D111" i="68"/>
  <c r="D128" i="68"/>
  <c r="D122" i="68"/>
  <c r="D116" i="68"/>
  <c r="D110" i="68"/>
  <c r="D127" i="68"/>
  <c r="D121" i="68"/>
  <c r="D115" i="68"/>
  <c r="D109" i="68"/>
  <c r="D107" i="68"/>
  <c r="C127" i="68"/>
  <c r="C121" i="68"/>
  <c r="C115" i="68"/>
  <c r="C132" i="68"/>
  <c r="C126" i="68"/>
  <c r="C120" i="68"/>
  <c r="C114" i="68"/>
  <c r="C131" i="68"/>
  <c r="C125" i="68"/>
  <c r="C119" i="68"/>
  <c r="C113" i="68"/>
  <c r="C130" i="68"/>
  <c r="C124" i="68"/>
  <c r="C118" i="68"/>
  <c r="C112" i="68"/>
  <c r="C129" i="68"/>
  <c r="C123" i="68"/>
  <c r="C117" i="68"/>
  <c r="C111" i="68"/>
  <c r="C128" i="68"/>
  <c r="C122" i="68"/>
  <c r="C116" i="68"/>
  <c r="C110" i="68"/>
  <c r="C109" i="68"/>
  <c r="C108" i="68"/>
  <c r="C107" i="68"/>
  <c r="D98" i="68"/>
  <c r="D92" i="68"/>
  <c r="D86" i="68"/>
  <c r="D87" i="68"/>
  <c r="D84" i="68"/>
  <c r="D99" i="68"/>
  <c r="D97" i="68"/>
  <c r="D91" i="68"/>
  <c r="D96" i="68"/>
  <c r="D95" i="68"/>
  <c r="D83" i="68"/>
  <c r="D105" i="68"/>
  <c r="D104" i="68"/>
  <c r="D103" i="68"/>
  <c r="D85" i="68"/>
  <c r="D102" i="68"/>
  <c r="D90" i="68"/>
  <c r="D101" i="68"/>
  <c r="D89" i="68"/>
  <c r="D93" i="68"/>
  <c r="D106" i="68"/>
  <c r="D100" i="68"/>
  <c r="D94" i="68"/>
  <c r="D88" i="68"/>
  <c r="D82" i="68"/>
  <c r="D81" i="68"/>
  <c r="C86" i="68"/>
  <c r="C92" i="68"/>
  <c r="C87" i="68"/>
  <c r="C91" i="68"/>
  <c r="C93" i="68"/>
  <c r="C104" i="68"/>
  <c r="C98" i="68"/>
  <c r="C97" i="68"/>
  <c r="C102" i="68"/>
  <c r="C84" i="68"/>
  <c r="C99" i="68"/>
  <c r="C103" i="68"/>
  <c r="C85" i="68"/>
  <c r="C96" i="68"/>
  <c r="C90" i="68"/>
  <c r="C105" i="68"/>
  <c r="C101" i="68"/>
  <c r="C95" i="68"/>
  <c r="C89" i="68"/>
  <c r="C83" i="68"/>
  <c r="C106" i="68"/>
  <c r="C100" i="68"/>
  <c r="C94" i="68"/>
  <c r="C88" i="68"/>
  <c r="C82" i="68"/>
  <c r="C81" i="68"/>
  <c r="D70" i="68"/>
  <c r="D80" i="68"/>
  <c r="D56" i="68"/>
  <c r="D67" i="68"/>
  <c r="D61" i="68"/>
  <c r="D73" i="68"/>
  <c r="D76" i="68"/>
  <c r="D68" i="68"/>
  <c r="D60" i="68"/>
  <c r="D64" i="68"/>
  <c r="D62" i="68"/>
  <c r="D78" i="68"/>
  <c r="D66" i="68"/>
  <c r="D74" i="68"/>
  <c r="D79" i="68"/>
  <c r="D72" i="68"/>
  <c r="D77" i="68"/>
  <c r="D71" i="68"/>
  <c r="D65" i="68"/>
  <c r="D59" i="68"/>
  <c r="D58" i="68"/>
  <c r="D75" i="68"/>
  <c r="D69" i="68"/>
  <c r="D63" i="68"/>
  <c r="D57" i="68"/>
  <c r="D55" i="68"/>
  <c r="C66" i="68"/>
  <c r="C71" i="68"/>
  <c r="C59" i="68"/>
  <c r="C76" i="68"/>
  <c r="C70" i="68"/>
  <c r="C58" i="68"/>
  <c r="C75" i="68"/>
  <c r="C63" i="68"/>
  <c r="C57" i="68"/>
  <c r="C74" i="68"/>
  <c r="C79" i="68"/>
  <c r="C73" i="68"/>
  <c r="C67" i="68"/>
  <c r="C61" i="68"/>
  <c r="C78" i="68"/>
  <c r="C72" i="68"/>
  <c r="C60" i="68"/>
  <c r="C77" i="68"/>
  <c r="C65" i="68"/>
  <c r="C64" i="68"/>
  <c r="C69" i="68"/>
  <c r="C80" i="68"/>
  <c r="C68" i="68"/>
  <c r="C62" i="68"/>
  <c r="C56" i="68"/>
  <c r="C55" i="68"/>
  <c r="D49" i="68"/>
  <c r="D37" i="68"/>
  <c r="D54" i="68"/>
  <c r="D48" i="68"/>
  <c r="D42" i="68"/>
  <c r="D36" i="68"/>
  <c r="D53" i="68"/>
  <c r="D47" i="68"/>
  <c r="D41" i="68"/>
  <c r="D35" i="68"/>
  <c r="D52" i="68"/>
  <c r="D46" i="68"/>
  <c r="D40" i="68"/>
  <c r="D34" i="68"/>
  <c r="D51" i="68"/>
  <c r="D45" i="68"/>
  <c r="D39" i="68"/>
  <c r="D33" i="68"/>
  <c r="D50" i="68"/>
  <c r="D44" i="68"/>
  <c r="D38" i="68"/>
  <c r="D32" i="68"/>
  <c r="D31" i="68"/>
  <c r="D43" i="68"/>
  <c r="D30" i="68"/>
  <c r="D29" i="68"/>
  <c r="C50" i="68"/>
  <c r="C44" i="68"/>
  <c r="C38" i="68"/>
  <c r="C32" i="68"/>
  <c r="C49" i="68"/>
  <c r="C43" i="68"/>
  <c r="C37" i="68"/>
  <c r="C31" i="68"/>
  <c r="C54" i="68"/>
  <c r="C48" i="68"/>
  <c r="C42" i="68"/>
  <c r="C36" i="68"/>
  <c r="C30" i="68"/>
  <c r="C53" i="68"/>
  <c r="C47" i="68"/>
  <c r="C41" i="68"/>
  <c r="C35" i="68"/>
  <c r="C52" i="68"/>
  <c r="C46" i="68"/>
  <c r="C40" i="68"/>
  <c r="C34" i="68"/>
  <c r="C51" i="68"/>
  <c r="C45" i="68"/>
  <c r="C39" i="68"/>
  <c r="C33" i="68"/>
  <c r="C29" i="68"/>
  <c r="D24" i="68"/>
  <c r="D18" i="68"/>
  <c r="D12" i="68"/>
  <c r="D6" i="68"/>
  <c r="D23" i="68"/>
  <c r="D17" i="68"/>
  <c r="D11" i="68"/>
  <c r="D5" i="68"/>
  <c r="D28" i="68"/>
  <c r="D22" i="68"/>
  <c r="D16" i="68"/>
  <c r="D10" i="68"/>
  <c r="D4" i="68"/>
  <c r="D27" i="68"/>
  <c r="D21" i="68"/>
  <c r="D15" i="68"/>
  <c r="D9" i="68"/>
  <c r="D26" i="68"/>
  <c r="D20" i="68"/>
  <c r="D14" i="68"/>
  <c r="D8" i="68"/>
  <c r="D25" i="68"/>
  <c r="D19" i="68"/>
  <c r="D13" i="68"/>
  <c r="D7" i="68"/>
  <c r="D3" i="68"/>
  <c r="C15" i="68"/>
  <c r="C23" i="68"/>
  <c r="C17" i="68"/>
  <c r="C11" i="68"/>
  <c r="C5" i="68"/>
  <c r="C28" i="68"/>
  <c r="C22" i="68"/>
  <c r="C16" i="68"/>
  <c r="C10" i="68"/>
  <c r="C4" i="68"/>
  <c r="C27" i="68"/>
  <c r="C21" i="68"/>
  <c r="C9" i="68"/>
  <c r="C26" i="68"/>
  <c r="C20" i="68"/>
  <c r="C14" i="68"/>
  <c r="C8" i="68"/>
  <c r="C25" i="68"/>
  <c r="C19" i="68"/>
  <c r="C13" i="68"/>
  <c r="C7" i="68"/>
  <c r="C24" i="68"/>
  <c r="C18" i="68"/>
  <c r="C12" i="68"/>
  <c r="C6" i="68"/>
  <c r="C3" i="68"/>
  <c r="G25" i="70"/>
  <c r="G19" i="70"/>
  <c r="G13" i="70"/>
  <c r="G7" i="70"/>
  <c r="G30" i="70"/>
  <c r="G24" i="70"/>
  <c r="G18" i="70"/>
  <c r="G12" i="70"/>
  <c r="G6" i="70"/>
  <c r="G29" i="70"/>
  <c r="G23" i="70"/>
  <c r="G17" i="70"/>
  <c r="G11" i="70"/>
  <c r="G5" i="70"/>
  <c r="G28" i="70"/>
  <c r="G22" i="70"/>
  <c r="G16" i="70"/>
  <c r="G10" i="70"/>
  <c r="G27" i="70"/>
  <c r="G21" i="70"/>
  <c r="G15" i="70"/>
  <c r="G9" i="70"/>
  <c r="G26" i="70"/>
  <c r="G20" i="70"/>
  <c r="G14" i="70"/>
  <c r="G8" i="70"/>
  <c r="F25" i="70"/>
  <c r="F19" i="70"/>
  <c r="F13" i="70"/>
  <c r="F7" i="70"/>
  <c r="F30" i="70"/>
  <c r="F18" i="70"/>
  <c r="F12" i="70"/>
  <c r="F6" i="70"/>
  <c r="F29" i="70"/>
  <c r="F23" i="70"/>
  <c r="F17" i="70"/>
  <c r="F11" i="70"/>
  <c r="F28" i="70"/>
  <c r="F22" i="70"/>
  <c r="F16" i="70"/>
  <c r="F10" i="70"/>
  <c r="F27" i="70"/>
  <c r="F21" i="70"/>
  <c r="F15" i="70"/>
  <c r="F9" i="70"/>
  <c r="F26" i="70"/>
  <c r="F20" i="70"/>
  <c r="F14" i="70"/>
  <c r="F8" i="70"/>
  <c r="F24" i="70"/>
  <c r="F5" i="70"/>
  <c r="E22" i="70"/>
  <c r="E16" i="70"/>
  <c r="E21" i="70"/>
  <c r="E9" i="70"/>
  <c r="E26" i="70"/>
  <c r="E8" i="70"/>
  <c r="E7" i="70"/>
  <c r="E28" i="70"/>
  <c r="E10" i="70"/>
  <c r="E27" i="70"/>
  <c r="E15" i="70"/>
  <c r="E20" i="70"/>
  <c r="E14" i="70"/>
  <c r="E25" i="70"/>
  <c r="E19" i="70"/>
  <c r="E13" i="70"/>
  <c r="E30" i="70"/>
  <c r="E24" i="70"/>
  <c r="E18" i="70"/>
  <c r="E12" i="70"/>
  <c r="E6" i="70"/>
  <c r="E29" i="70"/>
  <c r="E23" i="70"/>
  <c r="E17" i="70"/>
  <c r="E11" i="70"/>
  <c r="E5" i="70"/>
  <c r="D10" i="70"/>
  <c r="D27" i="70"/>
  <c r="D21" i="70"/>
  <c r="D15" i="70"/>
  <c r="D9" i="70"/>
  <c r="D28" i="70"/>
  <c r="D8" i="70"/>
  <c r="D25" i="70"/>
  <c r="D19" i="70"/>
  <c r="D13" i="70"/>
  <c r="D7" i="70"/>
  <c r="D16" i="70"/>
  <c r="D26" i="70"/>
  <c r="D20" i="70"/>
  <c r="D24" i="70"/>
  <c r="D6" i="70"/>
  <c r="D14" i="70"/>
  <c r="D30" i="70"/>
  <c r="D18" i="70"/>
  <c r="D12" i="70"/>
  <c r="D22" i="70"/>
  <c r="D29" i="70"/>
  <c r="D23" i="70"/>
  <c r="D17" i="70"/>
  <c r="D11" i="70"/>
  <c r="D5" i="70"/>
  <c r="C25" i="70"/>
  <c r="C19" i="70"/>
  <c r="C13" i="70"/>
  <c r="C7" i="70"/>
  <c r="C30" i="70"/>
  <c r="C24" i="70"/>
  <c r="C18" i="70"/>
  <c r="C12" i="70"/>
  <c r="C6" i="70"/>
  <c r="C29" i="70"/>
  <c r="C23" i="70"/>
  <c r="C17" i="70"/>
  <c r="C11" i="70"/>
  <c r="C5" i="70"/>
  <c r="C28" i="70"/>
  <c r="C22" i="70"/>
  <c r="C16" i="70"/>
  <c r="C10" i="70"/>
  <c r="C27" i="70"/>
  <c r="C21" i="70"/>
  <c r="C15" i="70"/>
  <c r="C9" i="70"/>
  <c r="C26" i="70"/>
  <c r="C20" i="70"/>
  <c r="C14" i="70"/>
  <c r="C8" i="70"/>
  <c r="B30" i="70"/>
  <c r="B24" i="70"/>
  <c r="B18" i="70"/>
  <c r="B12" i="70"/>
  <c r="B6" i="70"/>
  <c r="B29" i="70"/>
  <c r="B23" i="70"/>
  <c r="B17" i="70"/>
  <c r="B11" i="70"/>
  <c r="B5" i="70"/>
  <c r="B28" i="70"/>
  <c r="B22" i="70"/>
  <c r="B16" i="70"/>
  <c r="B10" i="70"/>
  <c r="B27" i="70"/>
  <c r="B21" i="70"/>
  <c r="B15" i="70"/>
  <c r="B9" i="70"/>
  <c r="B26" i="70"/>
  <c r="B20" i="70"/>
  <c r="B14" i="70"/>
  <c r="B8" i="70"/>
  <c r="B25" i="70"/>
  <c r="B19" i="70"/>
  <c r="B13" i="70"/>
  <c r="B7" i="70"/>
  <c r="E25" i="66" l="1"/>
  <c r="E24" i="66"/>
  <c r="E23" i="66"/>
  <c r="E22" i="66"/>
  <c r="E21" i="66"/>
  <c r="E20" i="66"/>
  <c r="E19" i="66"/>
  <c r="E18" i="66"/>
  <c r="E17" i="66"/>
  <c r="E16" i="66"/>
  <c r="E15" i="66"/>
  <c r="E14" i="66"/>
  <c r="E13" i="66"/>
  <c r="E12" i="66"/>
  <c r="E11" i="66"/>
  <c r="E10" i="66"/>
  <c r="E9" i="66"/>
  <c r="E8" i="66"/>
  <c r="E7" i="66"/>
  <c r="E6" i="66"/>
  <c r="E5" i="66"/>
  <c r="E4" i="66"/>
  <c r="E3" i="66"/>
  <c r="E2" i="66"/>
  <c r="D25" i="66"/>
  <c r="D24" i="66"/>
  <c r="D23" i="66"/>
  <c r="D22" i="66"/>
  <c r="D21" i="66"/>
  <c r="D20" i="66"/>
  <c r="D19" i="66"/>
  <c r="D18" i="66"/>
  <c r="D17" i="66"/>
  <c r="D16" i="66"/>
  <c r="D15" i="66"/>
  <c r="D14" i="66"/>
  <c r="D13" i="66"/>
  <c r="D12" i="66"/>
  <c r="D11" i="66"/>
  <c r="D10" i="66"/>
  <c r="D9" i="66"/>
  <c r="D8" i="66"/>
  <c r="D7" i="66"/>
  <c r="D6" i="66"/>
  <c r="D4" i="66"/>
  <c r="D3" i="66"/>
  <c r="D2" i="66"/>
  <c r="C69" i="69"/>
  <c r="C68" i="69"/>
  <c r="C67" i="69"/>
  <c r="C62" i="69"/>
  <c r="C61" i="69"/>
  <c r="C60" i="69"/>
  <c r="C55" i="69"/>
  <c r="C54" i="69"/>
  <c r="C53" i="69"/>
  <c r="C48" i="69"/>
  <c r="C47" i="69"/>
  <c r="C46" i="69"/>
  <c r="C41" i="69"/>
  <c r="C40" i="69"/>
  <c r="C39" i="69"/>
  <c r="C34" i="69"/>
  <c r="C33" i="69"/>
  <c r="C32" i="69"/>
  <c r="C20" i="69"/>
  <c r="C18" i="69"/>
  <c r="C13" i="69"/>
  <c r="C12" i="69"/>
  <c r="C11" i="69"/>
  <c r="C6" i="69"/>
  <c r="C5" i="69"/>
  <c r="C4" i="69"/>
  <c r="G4" i="86" l="1"/>
  <c r="G5" i="86"/>
  <c r="G6" i="86"/>
  <c r="G3" i="86"/>
  <c r="S106" i="87"/>
  <c r="C106" i="87"/>
  <c r="R106" i="87" s="1"/>
  <c r="S105" i="87"/>
  <c r="R105" i="87"/>
  <c r="Q105" i="87"/>
  <c r="G105" i="87"/>
  <c r="C105" i="87"/>
  <c r="C104" i="87"/>
  <c r="S103" i="87"/>
  <c r="R103" i="87"/>
  <c r="C103" i="87"/>
  <c r="Q103" i="87" s="1"/>
  <c r="C102" i="87"/>
  <c r="G101" i="87"/>
  <c r="C101" i="87"/>
  <c r="S101" i="87" s="1"/>
  <c r="S100" i="87"/>
  <c r="R100" i="87"/>
  <c r="Q100" i="87"/>
  <c r="C100" i="87"/>
  <c r="G100" i="87" s="1"/>
  <c r="G99" i="87"/>
  <c r="C99" i="87"/>
  <c r="S98" i="87"/>
  <c r="R98" i="87"/>
  <c r="Q98" i="87"/>
  <c r="G98" i="87"/>
  <c r="C98" i="87"/>
  <c r="R97" i="87"/>
  <c r="C97" i="87"/>
  <c r="S97" i="87" s="1"/>
  <c r="S96" i="87"/>
  <c r="R96" i="87"/>
  <c r="Q96" i="87"/>
  <c r="G96" i="87"/>
  <c r="C96" i="87"/>
  <c r="S95" i="87"/>
  <c r="W95" i="87" s="1"/>
  <c r="R95" i="87"/>
  <c r="Q95" i="87"/>
  <c r="C95" i="87"/>
  <c r="G95" i="87" s="1"/>
  <c r="S94" i="87"/>
  <c r="C94" i="87"/>
  <c r="R94" i="87" s="1"/>
  <c r="S93" i="87"/>
  <c r="R93" i="87"/>
  <c r="Q93" i="87"/>
  <c r="G93" i="87"/>
  <c r="C93" i="87"/>
  <c r="C92" i="87"/>
  <c r="S91" i="87"/>
  <c r="R91" i="87"/>
  <c r="C91" i="87"/>
  <c r="Q91" i="87" s="1"/>
  <c r="Q90" i="87"/>
  <c r="G90" i="87"/>
  <c r="T89" i="87" s="1"/>
  <c r="C90" i="87"/>
  <c r="G89" i="87"/>
  <c r="C89" i="87"/>
  <c r="S89" i="87" s="1"/>
  <c r="Q88" i="87"/>
  <c r="G88" i="87"/>
  <c r="C88" i="87"/>
  <c r="R88" i="87" s="1"/>
  <c r="C87" i="87"/>
  <c r="R86" i="87"/>
  <c r="Q86" i="87"/>
  <c r="G86" i="87"/>
  <c r="C86" i="87"/>
  <c r="S86" i="87" s="1"/>
  <c r="R85" i="87"/>
  <c r="Q85" i="87"/>
  <c r="G85" i="87"/>
  <c r="C85" i="87"/>
  <c r="S85" i="87" s="1"/>
  <c r="S84" i="87"/>
  <c r="R84" i="87"/>
  <c r="Q84" i="87"/>
  <c r="G84" i="87"/>
  <c r="C84" i="87"/>
  <c r="C83" i="87"/>
  <c r="S83" i="87" s="1"/>
  <c r="W83" i="87" s="1"/>
  <c r="S82" i="87"/>
  <c r="C82" i="87"/>
  <c r="R82" i="87" s="1"/>
  <c r="S81" i="87"/>
  <c r="R81" i="87"/>
  <c r="Q81" i="87"/>
  <c r="G81" i="87"/>
  <c r="C81" i="87"/>
  <c r="C80" i="87"/>
  <c r="S79" i="87"/>
  <c r="R79" i="87"/>
  <c r="C79" i="87"/>
  <c r="Q79" i="87" s="1"/>
  <c r="C78" i="87"/>
  <c r="Q78" i="87" s="1"/>
  <c r="G77" i="87"/>
  <c r="C77" i="87"/>
  <c r="S77" i="87" s="1"/>
  <c r="C76" i="87"/>
  <c r="Q76" i="87" s="1"/>
  <c r="C75" i="87"/>
  <c r="R74" i="87"/>
  <c r="C74" i="87"/>
  <c r="S74" i="87" s="1"/>
  <c r="R73" i="87"/>
  <c r="Q73" i="87"/>
  <c r="G73" i="87"/>
  <c r="C73" i="87"/>
  <c r="S73" i="87" s="1"/>
  <c r="W73" i="87" s="1"/>
  <c r="S72" i="87"/>
  <c r="R72" i="87"/>
  <c r="Q72" i="87"/>
  <c r="G72" i="87"/>
  <c r="C72" i="87"/>
  <c r="Q71" i="87"/>
  <c r="G71" i="87"/>
  <c r="C71" i="87"/>
  <c r="S70" i="87"/>
  <c r="C70" i="87"/>
  <c r="R70" i="87" s="1"/>
  <c r="S69" i="87"/>
  <c r="R69" i="87"/>
  <c r="Q69" i="87"/>
  <c r="G69" i="87"/>
  <c r="C69" i="87"/>
  <c r="C68" i="87"/>
  <c r="S67" i="87"/>
  <c r="R67" i="87"/>
  <c r="C67" i="87"/>
  <c r="Q67" i="87" s="1"/>
  <c r="C66" i="87"/>
  <c r="G65" i="87"/>
  <c r="C65" i="87"/>
  <c r="S65" i="87" s="1"/>
  <c r="R64" i="87"/>
  <c r="C64" i="87"/>
  <c r="S64" i="87" s="1"/>
  <c r="C63" i="87"/>
  <c r="S62" i="87"/>
  <c r="R62" i="87"/>
  <c r="Q62" i="87"/>
  <c r="G62" i="87"/>
  <c r="C62" i="87"/>
  <c r="Q61" i="87"/>
  <c r="G61" i="87"/>
  <c r="C61" i="87"/>
  <c r="S60" i="87"/>
  <c r="R60" i="87"/>
  <c r="Q60" i="87"/>
  <c r="G60" i="87"/>
  <c r="C60" i="87"/>
  <c r="R59" i="87"/>
  <c r="V59" i="87" s="1"/>
  <c r="Q59" i="87"/>
  <c r="U59" i="87" s="1"/>
  <c r="C59" i="87"/>
  <c r="S59" i="87" s="1"/>
  <c r="W59" i="87" s="1"/>
  <c r="S58" i="87"/>
  <c r="C58" i="87"/>
  <c r="S57" i="87"/>
  <c r="R57" i="87"/>
  <c r="Q57" i="87"/>
  <c r="G57" i="87"/>
  <c r="C57" i="87"/>
  <c r="Q56" i="87"/>
  <c r="C56" i="87"/>
  <c r="S55" i="87"/>
  <c r="R55" i="87"/>
  <c r="C55" i="87"/>
  <c r="Q55" i="87" s="1"/>
  <c r="U55" i="87" s="1"/>
  <c r="G54" i="87"/>
  <c r="C54" i="87"/>
  <c r="Q54" i="87" s="1"/>
  <c r="C53" i="87"/>
  <c r="C52" i="87"/>
  <c r="S52" i="87" s="1"/>
  <c r="R51" i="87"/>
  <c r="Q51" i="87"/>
  <c r="C51" i="87"/>
  <c r="S51" i="87" s="1"/>
  <c r="R50" i="87"/>
  <c r="Q50" i="87"/>
  <c r="G50" i="87"/>
  <c r="C50" i="87"/>
  <c r="S50" i="87" s="1"/>
  <c r="S49" i="87"/>
  <c r="R49" i="87"/>
  <c r="Q49" i="87"/>
  <c r="G49" i="87"/>
  <c r="C49" i="87"/>
  <c r="S48" i="87"/>
  <c r="R48" i="87"/>
  <c r="Q48" i="87"/>
  <c r="G48" i="87"/>
  <c r="C48" i="87"/>
  <c r="S47" i="87"/>
  <c r="W47" i="87" s="1"/>
  <c r="R47" i="87"/>
  <c r="V47" i="87" s="1"/>
  <c r="Q47" i="87"/>
  <c r="C47" i="87"/>
  <c r="G47" i="87" s="1"/>
  <c r="C46" i="87"/>
  <c r="S45" i="87"/>
  <c r="R45" i="87"/>
  <c r="Q45" i="87"/>
  <c r="G45" i="87"/>
  <c r="C45" i="87"/>
  <c r="C44" i="87"/>
  <c r="S43" i="87"/>
  <c r="R43" i="87"/>
  <c r="C43" i="87"/>
  <c r="Q43" i="87" s="1"/>
  <c r="C42" i="87"/>
  <c r="S42" i="87" s="1"/>
  <c r="G41" i="87"/>
  <c r="C41" i="87"/>
  <c r="R40" i="87"/>
  <c r="C40" i="87"/>
  <c r="S40" i="87" s="1"/>
  <c r="C39" i="87"/>
  <c r="S39" i="87" s="1"/>
  <c r="W39" i="87" s="1"/>
  <c r="S38" i="87"/>
  <c r="R38" i="87"/>
  <c r="Q38" i="87"/>
  <c r="C38" i="87"/>
  <c r="G38" i="87" s="1"/>
  <c r="S37" i="87"/>
  <c r="R37" i="87"/>
  <c r="V37" i="87" s="1"/>
  <c r="Q37" i="87"/>
  <c r="C37" i="87"/>
  <c r="G37" i="87" s="1"/>
  <c r="S36" i="87"/>
  <c r="R36" i="87"/>
  <c r="Q36" i="87"/>
  <c r="G36" i="87"/>
  <c r="C36" i="87"/>
  <c r="S35" i="87"/>
  <c r="R35" i="87"/>
  <c r="Q35" i="87"/>
  <c r="U35" i="87" s="1"/>
  <c r="G35" i="87"/>
  <c r="C35" i="87"/>
  <c r="S34" i="87"/>
  <c r="C34" i="87"/>
  <c r="S33" i="87"/>
  <c r="R33" i="87"/>
  <c r="Q33" i="87"/>
  <c r="G33" i="87"/>
  <c r="C33" i="87"/>
  <c r="Q32" i="87"/>
  <c r="G32" i="87"/>
  <c r="C32" i="87"/>
  <c r="S31" i="87"/>
  <c r="R31" i="87"/>
  <c r="C31" i="87"/>
  <c r="Q31" i="87" s="1"/>
  <c r="U31" i="87" s="1"/>
  <c r="S30" i="87"/>
  <c r="R30" i="87"/>
  <c r="Q30" i="87"/>
  <c r="G30" i="87"/>
  <c r="C30" i="87"/>
  <c r="G29" i="87"/>
  <c r="C29" i="87"/>
  <c r="C28" i="87"/>
  <c r="S28" i="87" s="1"/>
  <c r="C27" i="87"/>
  <c r="S26" i="87"/>
  <c r="Q26" i="87"/>
  <c r="G26" i="87"/>
  <c r="C26" i="87"/>
  <c r="R26" i="87" s="1"/>
  <c r="R25" i="87"/>
  <c r="C25" i="87"/>
  <c r="S25" i="87" s="1"/>
  <c r="S24" i="87"/>
  <c r="R24" i="87"/>
  <c r="Q24" i="87"/>
  <c r="G24" i="87"/>
  <c r="C24" i="87"/>
  <c r="S23" i="87"/>
  <c r="C23" i="87"/>
  <c r="C22" i="87"/>
  <c r="S21" i="87"/>
  <c r="R21" i="87"/>
  <c r="Q21" i="87"/>
  <c r="G21" i="87"/>
  <c r="C21" i="87"/>
  <c r="Q20" i="87"/>
  <c r="C20" i="87"/>
  <c r="S19" i="87"/>
  <c r="R19" i="87"/>
  <c r="C19" i="87"/>
  <c r="Q19" i="87" s="1"/>
  <c r="U19" i="87" s="1"/>
  <c r="Q18" i="87"/>
  <c r="G18" i="87"/>
  <c r="C18" i="87"/>
  <c r="C17" i="87"/>
  <c r="C16" i="87"/>
  <c r="Q16" i="87" s="1"/>
  <c r="R15" i="87"/>
  <c r="Q15" i="87"/>
  <c r="G15" i="87"/>
  <c r="C15" i="87"/>
  <c r="S15" i="87" s="1"/>
  <c r="C14" i="87"/>
  <c r="G14" i="87" s="1"/>
  <c r="S13" i="87"/>
  <c r="R13" i="87"/>
  <c r="C13" i="87"/>
  <c r="Q13" i="87" s="1"/>
  <c r="S12" i="87"/>
  <c r="R12" i="87"/>
  <c r="Q12" i="87"/>
  <c r="G12" i="87"/>
  <c r="C12" i="87"/>
  <c r="S11" i="87"/>
  <c r="R11" i="87"/>
  <c r="Q11" i="87"/>
  <c r="U11" i="87" s="1"/>
  <c r="G11" i="87"/>
  <c r="T11" i="87" s="1"/>
  <c r="C11" i="87"/>
  <c r="S10" i="87"/>
  <c r="C10" i="87"/>
  <c r="S9" i="87"/>
  <c r="W9" i="87" s="1"/>
  <c r="R9" i="87"/>
  <c r="Q9" i="87"/>
  <c r="G9" i="87"/>
  <c r="C9" i="87"/>
  <c r="Q8" i="87"/>
  <c r="G8" i="87"/>
  <c r="C8" i="87"/>
  <c r="S7" i="87"/>
  <c r="R7" i="87"/>
  <c r="C7" i="87"/>
  <c r="Q7" i="87" s="1"/>
  <c r="S6" i="87"/>
  <c r="R6" i="87"/>
  <c r="Q6" i="87"/>
  <c r="G6" i="87"/>
  <c r="C6" i="87"/>
  <c r="C5" i="87"/>
  <c r="S4" i="87"/>
  <c r="R4" i="87"/>
  <c r="Q4" i="87"/>
  <c r="C4" i="87"/>
  <c r="G4" i="87" s="1"/>
  <c r="R3" i="87"/>
  <c r="Q3" i="87"/>
  <c r="G3" i="87"/>
  <c r="C3" i="87"/>
  <c r="S3" i="87" s="1"/>
  <c r="S106" i="86"/>
  <c r="R106" i="86"/>
  <c r="Q106" i="86"/>
  <c r="G106" i="86"/>
  <c r="C106" i="86"/>
  <c r="T105" i="86"/>
  <c r="R105" i="86"/>
  <c r="Q105" i="86"/>
  <c r="C105" i="86"/>
  <c r="G105" i="86" s="1"/>
  <c r="R104" i="86"/>
  <c r="C104" i="86"/>
  <c r="S104" i="86" s="1"/>
  <c r="T103" i="86"/>
  <c r="S103" i="86"/>
  <c r="R103" i="86"/>
  <c r="Q103" i="86"/>
  <c r="C103" i="86"/>
  <c r="G103" i="86" s="1"/>
  <c r="C102" i="86"/>
  <c r="S102" i="86" s="1"/>
  <c r="T101" i="86"/>
  <c r="S101" i="86"/>
  <c r="W101" i="86" s="1"/>
  <c r="R101" i="86"/>
  <c r="Q101" i="86"/>
  <c r="C101" i="86"/>
  <c r="G101" i="86" s="1"/>
  <c r="C100" i="86"/>
  <c r="T99" i="86"/>
  <c r="C99" i="86"/>
  <c r="S99" i="86" s="1"/>
  <c r="C98" i="86"/>
  <c r="S98" i="86" s="1"/>
  <c r="T97" i="86"/>
  <c r="C97" i="86"/>
  <c r="G97" i="86" s="1"/>
  <c r="S96" i="86"/>
  <c r="R96" i="86"/>
  <c r="Q96" i="86"/>
  <c r="G96" i="86"/>
  <c r="C96" i="86"/>
  <c r="T95" i="86"/>
  <c r="G95" i="86"/>
  <c r="C95" i="86"/>
  <c r="S94" i="86"/>
  <c r="R94" i="86"/>
  <c r="Q94" i="86"/>
  <c r="G94" i="86"/>
  <c r="C94" i="86"/>
  <c r="T93" i="86"/>
  <c r="S93" i="86"/>
  <c r="R93" i="86"/>
  <c r="Q93" i="86"/>
  <c r="U93" i="86" s="1"/>
  <c r="G93" i="86"/>
  <c r="C93" i="86"/>
  <c r="S92" i="86"/>
  <c r="R92" i="86"/>
  <c r="C92" i="86"/>
  <c r="Q92" i="86" s="1"/>
  <c r="T91" i="86"/>
  <c r="S91" i="86"/>
  <c r="R91" i="86"/>
  <c r="C91" i="86"/>
  <c r="Q91" i="86" s="1"/>
  <c r="C90" i="86"/>
  <c r="S90" i="86" s="1"/>
  <c r="T89" i="86"/>
  <c r="S89" i="86"/>
  <c r="R89" i="86"/>
  <c r="Q89" i="86"/>
  <c r="C89" i="86"/>
  <c r="G89" i="86" s="1"/>
  <c r="G88" i="86"/>
  <c r="C88" i="86"/>
  <c r="T87" i="86"/>
  <c r="C87" i="86"/>
  <c r="S87" i="86" s="1"/>
  <c r="C86" i="86"/>
  <c r="S86" i="86" s="1"/>
  <c r="T85" i="86"/>
  <c r="C85" i="86"/>
  <c r="S84" i="86"/>
  <c r="R84" i="86"/>
  <c r="Q84" i="86"/>
  <c r="G84" i="86"/>
  <c r="C84" i="86"/>
  <c r="T83" i="86"/>
  <c r="C83" i="86"/>
  <c r="S82" i="86"/>
  <c r="R82" i="86"/>
  <c r="Q82" i="86"/>
  <c r="G82" i="86"/>
  <c r="C82" i="86"/>
  <c r="T81" i="86"/>
  <c r="S81" i="86"/>
  <c r="R81" i="86"/>
  <c r="Q81" i="86"/>
  <c r="U81" i="86" s="1"/>
  <c r="G81" i="86"/>
  <c r="C81" i="86"/>
  <c r="S80" i="86"/>
  <c r="R80" i="86"/>
  <c r="C80" i="86"/>
  <c r="Q80" i="86" s="1"/>
  <c r="T79" i="86"/>
  <c r="S79" i="86"/>
  <c r="W79" i="86" s="1"/>
  <c r="R79" i="86"/>
  <c r="Q79" i="86"/>
  <c r="U79" i="86" s="1"/>
  <c r="G79" i="86"/>
  <c r="C79" i="86"/>
  <c r="C78" i="86"/>
  <c r="S78" i="86" s="1"/>
  <c r="T77" i="86"/>
  <c r="S77" i="86"/>
  <c r="R77" i="86"/>
  <c r="Q77" i="86"/>
  <c r="C77" i="86"/>
  <c r="G77" i="86" s="1"/>
  <c r="G76" i="86"/>
  <c r="C76" i="86"/>
  <c r="T75" i="86"/>
  <c r="C75" i="86"/>
  <c r="S75" i="86" s="1"/>
  <c r="R74" i="86"/>
  <c r="C74" i="86"/>
  <c r="S74" i="86" s="1"/>
  <c r="T73" i="86"/>
  <c r="C73" i="86"/>
  <c r="S72" i="86"/>
  <c r="R72" i="86"/>
  <c r="Q72" i="86"/>
  <c r="C72" i="86"/>
  <c r="G72" i="86" s="1"/>
  <c r="T71" i="86"/>
  <c r="Q71" i="86"/>
  <c r="G71" i="86"/>
  <c r="C71" i="86"/>
  <c r="S70" i="86"/>
  <c r="R70" i="86"/>
  <c r="Q70" i="86"/>
  <c r="G70" i="86"/>
  <c r="C70" i="86"/>
  <c r="T69" i="86"/>
  <c r="S69" i="86"/>
  <c r="R69" i="86"/>
  <c r="Q69" i="86"/>
  <c r="G69" i="86"/>
  <c r="C69" i="86"/>
  <c r="S68" i="86"/>
  <c r="R68" i="86"/>
  <c r="C68" i="86"/>
  <c r="Q68" i="86" s="1"/>
  <c r="T67" i="86"/>
  <c r="S67" i="86"/>
  <c r="R67" i="86"/>
  <c r="Q67" i="86"/>
  <c r="G67" i="86"/>
  <c r="C67" i="86"/>
  <c r="C66" i="86"/>
  <c r="S66" i="86" s="1"/>
  <c r="T65" i="86"/>
  <c r="S65" i="86"/>
  <c r="W65" i="86" s="1"/>
  <c r="R65" i="86"/>
  <c r="Q65" i="86"/>
  <c r="C65" i="86"/>
  <c r="G65" i="86" s="1"/>
  <c r="C64" i="86"/>
  <c r="T63" i="86"/>
  <c r="C63" i="86"/>
  <c r="S63" i="86" s="1"/>
  <c r="R62" i="86"/>
  <c r="Q62" i="86"/>
  <c r="G62" i="86"/>
  <c r="C62" i="86"/>
  <c r="S62" i="86" s="1"/>
  <c r="T61" i="86"/>
  <c r="C61" i="86"/>
  <c r="S60" i="86"/>
  <c r="R60" i="86"/>
  <c r="Q60" i="86"/>
  <c r="C60" i="86"/>
  <c r="G60" i="86" s="1"/>
  <c r="T59" i="86"/>
  <c r="C59" i="86"/>
  <c r="S58" i="86"/>
  <c r="R58" i="86"/>
  <c r="Q58" i="86"/>
  <c r="G58" i="86"/>
  <c r="C58" i="86"/>
  <c r="T57" i="86"/>
  <c r="S57" i="86"/>
  <c r="R57" i="86"/>
  <c r="Q57" i="86"/>
  <c r="G57" i="86"/>
  <c r="C57" i="86"/>
  <c r="S56" i="86"/>
  <c r="R56" i="86"/>
  <c r="C56" i="86"/>
  <c r="Q56" i="86" s="1"/>
  <c r="T55" i="86"/>
  <c r="S55" i="86"/>
  <c r="R55" i="86"/>
  <c r="V55" i="86" s="1"/>
  <c r="Q55" i="86"/>
  <c r="G55" i="86"/>
  <c r="C55" i="86"/>
  <c r="C54" i="86"/>
  <c r="S54" i="86" s="1"/>
  <c r="T53" i="86"/>
  <c r="S53" i="86"/>
  <c r="R53" i="86"/>
  <c r="Q53" i="86"/>
  <c r="C53" i="86"/>
  <c r="G53" i="86" s="1"/>
  <c r="C52" i="86"/>
  <c r="G52" i="86" s="1"/>
  <c r="T51" i="86"/>
  <c r="C51" i="86"/>
  <c r="S51" i="86" s="1"/>
  <c r="R50" i="86"/>
  <c r="G50" i="86"/>
  <c r="C50" i="86"/>
  <c r="S50" i="86" s="1"/>
  <c r="T49" i="86"/>
  <c r="C49" i="86"/>
  <c r="S48" i="86"/>
  <c r="R48" i="86"/>
  <c r="Q48" i="86"/>
  <c r="C48" i="86"/>
  <c r="G48" i="86" s="1"/>
  <c r="T47" i="86"/>
  <c r="Q47" i="86"/>
  <c r="G47" i="86"/>
  <c r="C47" i="86"/>
  <c r="S46" i="86"/>
  <c r="R46" i="86"/>
  <c r="Q46" i="86"/>
  <c r="G46" i="86"/>
  <c r="C46" i="86"/>
  <c r="T45" i="86"/>
  <c r="S45" i="86"/>
  <c r="R45" i="86"/>
  <c r="Q45" i="86"/>
  <c r="G45" i="86"/>
  <c r="C45" i="86"/>
  <c r="S44" i="86"/>
  <c r="R44" i="86"/>
  <c r="C44" i="86"/>
  <c r="Q44" i="86" s="1"/>
  <c r="T43" i="86"/>
  <c r="S43" i="86"/>
  <c r="R43" i="86"/>
  <c r="Q43" i="86"/>
  <c r="G43" i="86"/>
  <c r="C43" i="86"/>
  <c r="C42" i="86"/>
  <c r="S42" i="86" s="1"/>
  <c r="T41" i="86"/>
  <c r="S41" i="86"/>
  <c r="R41" i="86"/>
  <c r="Q41" i="86"/>
  <c r="C41" i="86"/>
  <c r="G41" i="86" s="1"/>
  <c r="G40" i="86"/>
  <c r="C40" i="86"/>
  <c r="T39" i="86"/>
  <c r="C39" i="86"/>
  <c r="S39" i="86" s="1"/>
  <c r="R38" i="86"/>
  <c r="C38" i="86"/>
  <c r="S38" i="86" s="1"/>
  <c r="T37" i="86"/>
  <c r="C37" i="86"/>
  <c r="S36" i="86"/>
  <c r="R36" i="86"/>
  <c r="Q36" i="86"/>
  <c r="C36" i="86"/>
  <c r="G36" i="86" s="1"/>
  <c r="T35" i="86"/>
  <c r="G35" i="86"/>
  <c r="C35" i="86"/>
  <c r="S34" i="86"/>
  <c r="R34" i="86"/>
  <c r="Q34" i="86"/>
  <c r="G34" i="86"/>
  <c r="C34" i="86"/>
  <c r="T33" i="86"/>
  <c r="S33" i="86"/>
  <c r="R33" i="86"/>
  <c r="Q33" i="86"/>
  <c r="G33" i="86"/>
  <c r="C33" i="86"/>
  <c r="S32" i="86"/>
  <c r="R32" i="86"/>
  <c r="C32" i="86"/>
  <c r="Q32" i="86" s="1"/>
  <c r="T31" i="86"/>
  <c r="S31" i="86"/>
  <c r="R31" i="86"/>
  <c r="Q31" i="86"/>
  <c r="G31" i="86"/>
  <c r="C31" i="86"/>
  <c r="C30" i="86"/>
  <c r="S30" i="86" s="1"/>
  <c r="T29" i="86"/>
  <c r="S29" i="86"/>
  <c r="R29" i="86"/>
  <c r="Q29" i="86"/>
  <c r="C29" i="86"/>
  <c r="G29" i="86" s="1"/>
  <c r="C28" i="86"/>
  <c r="T27" i="86"/>
  <c r="C27" i="86"/>
  <c r="S27" i="86" s="1"/>
  <c r="C26" i="86"/>
  <c r="S26" i="86" s="1"/>
  <c r="T25" i="86"/>
  <c r="C25" i="86"/>
  <c r="S24" i="86"/>
  <c r="R24" i="86"/>
  <c r="Q24" i="86"/>
  <c r="C24" i="86"/>
  <c r="G24" i="86" s="1"/>
  <c r="T23" i="86"/>
  <c r="C23" i="86"/>
  <c r="G23" i="86" s="1"/>
  <c r="S22" i="86"/>
  <c r="R22" i="86"/>
  <c r="Q22" i="86"/>
  <c r="G22" i="86"/>
  <c r="C22" i="86"/>
  <c r="T21" i="86"/>
  <c r="S21" i="86"/>
  <c r="R21" i="86"/>
  <c r="Q21" i="86"/>
  <c r="G21" i="86"/>
  <c r="C21" i="86"/>
  <c r="S20" i="86"/>
  <c r="R20" i="86"/>
  <c r="C20" i="86"/>
  <c r="Q20" i="86" s="1"/>
  <c r="T19" i="86"/>
  <c r="S19" i="86"/>
  <c r="R19" i="86"/>
  <c r="Q19" i="86"/>
  <c r="U19" i="86" s="1"/>
  <c r="G19" i="86"/>
  <c r="C19" i="86"/>
  <c r="C18" i="86"/>
  <c r="G18" i="86" s="1"/>
  <c r="T17" i="86"/>
  <c r="S17" i="86"/>
  <c r="R17" i="86"/>
  <c r="Q17" i="86"/>
  <c r="C17" i="86"/>
  <c r="G17" i="86" s="1"/>
  <c r="G16" i="86"/>
  <c r="C16" i="86"/>
  <c r="T15" i="86"/>
  <c r="C15" i="86"/>
  <c r="S15" i="86" s="1"/>
  <c r="R14" i="86"/>
  <c r="Q14" i="86"/>
  <c r="G14" i="86"/>
  <c r="C14" i="86"/>
  <c r="S14" i="86" s="1"/>
  <c r="T13" i="86"/>
  <c r="C13" i="86"/>
  <c r="S12" i="86"/>
  <c r="R12" i="86"/>
  <c r="Q12" i="86"/>
  <c r="C12" i="86"/>
  <c r="G12" i="86" s="1"/>
  <c r="T11" i="86"/>
  <c r="C11" i="86"/>
  <c r="Q11" i="86" s="1"/>
  <c r="S10" i="86"/>
  <c r="R10" i="86"/>
  <c r="Q10" i="86"/>
  <c r="G10" i="86"/>
  <c r="C10" i="86"/>
  <c r="T9" i="86"/>
  <c r="S9" i="86"/>
  <c r="R9" i="86"/>
  <c r="Q9" i="86"/>
  <c r="G9" i="86"/>
  <c r="C9" i="86"/>
  <c r="S8" i="86"/>
  <c r="R8" i="86"/>
  <c r="C8" i="86"/>
  <c r="Q8" i="86" s="1"/>
  <c r="T7" i="86"/>
  <c r="S7" i="86"/>
  <c r="W7" i="86" s="1"/>
  <c r="R7" i="86"/>
  <c r="V7" i="86" s="1"/>
  <c r="Q7" i="86"/>
  <c r="G7" i="86"/>
  <c r="C7" i="86"/>
  <c r="C6" i="86"/>
  <c r="S6" i="86" s="1"/>
  <c r="T5" i="86"/>
  <c r="S5" i="86"/>
  <c r="R5" i="86"/>
  <c r="Q5" i="86"/>
  <c r="C5" i="86"/>
  <c r="C4" i="86"/>
  <c r="S4" i="86" s="1"/>
  <c r="T3" i="86"/>
  <c r="S3" i="86"/>
  <c r="R3" i="86"/>
  <c r="Q3" i="86"/>
  <c r="C3" i="86"/>
  <c r="G6" i="68" l="1"/>
  <c r="V11" i="87"/>
  <c r="W93" i="87"/>
  <c r="T95" i="87"/>
  <c r="T35" i="87"/>
  <c r="U55" i="86"/>
  <c r="V79" i="86"/>
  <c r="U9" i="86"/>
  <c r="V31" i="86"/>
  <c r="W55" i="86"/>
  <c r="U69" i="86"/>
  <c r="W31" i="86"/>
  <c r="U45" i="86"/>
  <c r="U7" i="86"/>
  <c r="W57" i="87"/>
  <c r="W49" i="87"/>
  <c r="V105" i="87"/>
  <c r="W5" i="86"/>
  <c r="W103" i="86"/>
  <c r="W77" i="86"/>
  <c r="W69" i="86"/>
  <c r="V69" i="86"/>
  <c r="U67" i="86"/>
  <c r="W53" i="86"/>
  <c r="U43" i="86"/>
  <c r="W29" i="86"/>
  <c r="W21" i="86"/>
  <c r="V21" i="86"/>
  <c r="T71" i="87"/>
  <c r="T85" i="87"/>
  <c r="T49" i="87"/>
  <c r="T37" i="87"/>
  <c r="T47" i="87"/>
  <c r="T3" i="87"/>
  <c r="W33" i="87"/>
  <c r="W51" i="87"/>
  <c r="W11" i="87"/>
  <c r="V69" i="87"/>
  <c r="U7" i="87"/>
  <c r="V93" i="87"/>
  <c r="U61" i="87"/>
  <c r="U47" i="87"/>
  <c r="V49" i="87"/>
  <c r="U71" i="87"/>
  <c r="V81" i="87"/>
  <c r="W81" i="87"/>
  <c r="G16" i="87"/>
  <c r="T15" i="87" s="1"/>
  <c r="S5" i="87"/>
  <c r="W5" i="87" s="1"/>
  <c r="R5" i="87"/>
  <c r="V5" i="87" s="1"/>
  <c r="Q5" i="87"/>
  <c r="U5" i="87" s="1"/>
  <c r="S17" i="87"/>
  <c r="R17" i="87"/>
  <c r="Q17" i="87"/>
  <c r="U17" i="87" s="1"/>
  <c r="G17" i="87"/>
  <c r="T17" i="87" s="1"/>
  <c r="G5" i="87"/>
  <c r="T5" i="87" s="1"/>
  <c r="G28" i="87"/>
  <c r="G39" i="87"/>
  <c r="S63" i="87"/>
  <c r="W63" i="87" s="1"/>
  <c r="Q63" i="87"/>
  <c r="S88" i="87"/>
  <c r="S104" i="87"/>
  <c r="W103" i="87" s="1"/>
  <c r="Q104" i="87"/>
  <c r="U103" i="87" s="1"/>
  <c r="R104" i="87"/>
  <c r="V103" i="87" s="1"/>
  <c r="G104" i="87"/>
  <c r="W25" i="87"/>
  <c r="Q28" i="87"/>
  <c r="S20" i="87"/>
  <c r="W19" i="87" s="1"/>
  <c r="R20" i="87"/>
  <c r="V19" i="87" s="1"/>
  <c r="R22" i="87"/>
  <c r="V21" i="87" s="1"/>
  <c r="Q22" i="87"/>
  <c r="U21" i="87" s="1"/>
  <c r="G22" i="87"/>
  <c r="T21" i="87" s="1"/>
  <c r="V25" i="87"/>
  <c r="R28" i="87"/>
  <c r="R39" i="87"/>
  <c r="V39" i="87" s="1"/>
  <c r="Q52" i="87"/>
  <c r="U51" i="87" s="1"/>
  <c r="R63" i="87"/>
  <c r="V63" i="87" s="1"/>
  <c r="W69" i="87"/>
  <c r="G76" i="87"/>
  <c r="Q83" i="87"/>
  <c r="U83" i="87" s="1"/>
  <c r="V85" i="87"/>
  <c r="W3" i="87"/>
  <c r="G20" i="87"/>
  <c r="S22" i="87"/>
  <c r="W21" i="87" s="1"/>
  <c r="R52" i="87"/>
  <c r="V51" i="87" s="1"/>
  <c r="R83" i="87"/>
  <c r="V83" i="87" s="1"/>
  <c r="R99" i="87"/>
  <c r="V99" i="87" s="1"/>
  <c r="S99" i="87"/>
  <c r="W99" i="87" s="1"/>
  <c r="Q99" i="87"/>
  <c r="U99" i="87" s="1"/>
  <c r="R14" i="87"/>
  <c r="V13" i="87" s="1"/>
  <c r="Q14" i="87"/>
  <c r="U13" i="87" s="1"/>
  <c r="R54" i="87"/>
  <c r="S54" i="87"/>
  <c r="S14" i="87"/>
  <c r="W13" i="87" s="1"/>
  <c r="Q39" i="87"/>
  <c r="R42" i="87"/>
  <c r="Q42" i="87"/>
  <c r="G42" i="87"/>
  <c r="T41" i="87" s="1"/>
  <c r="G52" i="87"/>
  <c r="G63" i="87"/>
  <c r="R66" i="87"/>
  <c r="S66" i="87"/>
  <c r="W65" i="87" s="1"/>
  <c r="Q66" i="87"/>
  <c r="G66" i="87"/>
  <c r="T65" i="87" s="1"/>
  <c r="S76" i="87"/>
  <c r="R76" i="87"/>
  <c r="G83" i="87"/>
  <c r="T83" i="87" s="1"/>
  <c r="U85" i="87"/>
  <c r="U15" i="87"/>
  <c r="S18" i="87"/>
  <c r="R18" i="87"/>
  <c r="R23" i="87"/>
  <c r="V23" i="87" s="1"/>
  <c r="Q23" i="87"/>
  <c r="U23" i="87" s="1"/>
  <c r="G23" i="87"/>
  <c r="T23" i="87" s="1"/>
  <c r="S29" i="87"/>
  <c r="W29" i="87" s="1"/>
  <c r="R29" i="87"/>
  <c r="V29" i="87" s="1"/>
  <c r="Q29" i="87"/>
  <c r="U29" i="87" s="1"/>
  <c r="U37" i="87"/>
  <c r="R58" i="87"/>
  <c r="V57" i="87" s="1"/>
  <c r="Q58" i="87"/>
  <c r="U57" i="87" s="1"/>
  <c r="G58" i="87"/>
  <c r="T57" i="87" s="1"/>
  <c r="S61" i="87"/>
  <c r="W61" i="87" s="1"/>
  <c r="R61" i="87"/>
  <c r="V61" i="87" s="1"/>
  <c r="S80" i="87"/>
  <c r="W79" i="87" s="1"/>
  <c r="Q80" i="87"/>
  <c r="U79" i="87" s="1"/>
  <c r="R80" i="87"/>
  <c r="V79" i="87" s="1"/>
  <c r="G80" i="87"/>
  <c r="T99" i="87"/>
  <c r="S27" i="87"/>
  <c r="W27" i="87" s="1"/>
  <c r="R27" i="87"/>
  <c r="Q27" i="87"/>
  <c r="U27" i="87" s="1"/>
  <c r="G27" i="87"/>
  <c r="U3" i="87"/>
  <c r="W23" i="87"/>
  <c r="T29" i="87"/>
  <c r="T61" i="87"/>
  <c r="V3" i="87"/>
  <c r="G13" i="87"/>
  <c r="T13" i="87" s="1"/>
  <c r="V35" i="87"/>
  <c r="W37" i="87"/>
  <c r="S56" i="87"/>
  <c r="W55" i="87" s="1"/>
  <c r="R56" i="87"/>
  <c r="V55" i="87" s="1"/>
  <c r="V73" i="87"/>
  <c r="W35" i="87"/>
  <c r="S41" i="87"/>
  <c r="W41" i="87" s="1"/>
  <c r="R41" i="87"/>
  <c r="Q41" i="87"/>
  <c r="G56" i="87"/>
  <c r="G59" i="87"/>
  <c r="T59" i="87" s="1"/>
  <c r="S71" i="87"/>
  <c r="W71" i="87" s="1"/>
  <c r="R71" i="87"/>
  <c r="V71" i="87" s="1"/>
  <c r="S16" i="87"/>
  <c r="W15" i="87" s="1"/>
  <c r="R16" i="87"/>
  <c r="V15" i="87" s="1"/>
  <c r="R46" i="87"/>
  <c r="V45" i="87" s="1"/>
  <c r="Q46" i="87"/>
  <c r="U45" i="87" s="1"/>
  <c r="G46" i="87"/>
  <c r="T45" i="87" s="1"/>
  <c r="S46" i="87"/>
  <c r="W45" i="87" s="1"/>
  <c r="Q68" i="87"/>
  <c r="U67" i="87" s="1"/>
  <c r="S68" i="87"/>
  <c r="W67" i="87" s="1"/>
  <c r="R68" i="87"/>
  <c r="V67" i="87" s="1"/>
  <c r="G68" i="87"/>
  <c r="R75" i="87"/>
  <c r="S75" i="87"/>
  <c r="Q75" i="87"/>
  <c r="U75" i="87" s="1"/>
  <c r="S78" i="87"/>
  <c r="W77" i="87" s="1"/>
  <c r="R78" i="87"/>
  <c r="S44" i="87"/>
  <c r="W43" i="87" s="1"/>
  <c r="R44" i="87"/>
  <c r="V43" i="87" s="1"/>
  <c r="Q44" i="87"/>
  <c r="U43" i="87" s="1"/>
  <c r="G44" i="87"/>
  <c r="G75" i="87"/>
  <c r="G78" i="87"/>
  <c r="T77" i="87" s="1"/>
  <c r="S53" i="87"/>
  <c r="W53" i="87" s="1"/>
  <c r="R53" i="87"/>
  <c r="Q53" i="87"/>
  <c r="U53" i="87" s="1"/>
  <c r="W97" i="87"/>
  <c r="S102" i="87"/>
  <c r="W101" i="87" s="1"/>
  <c r="R102" i="87"/>
  <c r="G25" i="87"/>
  <c r="T25" i="87" s="1"/>
  <c r="G40" i="87"/>
  <c r="G53" i="87"/>
  <c r="T53" i="87" s="1"/>
  <c r="G64" i="87"/>
  <c r="G74" i="87"/>
  <c r="T73" i="87" s="1"/>
  <c r="S87" i="87"/>
  <c r="R87" i="87"/>
  <c r="V87" i="87" s="1"/>
  <c r="Q87" i="87"/>
  <c r="U87" i="87" s="1"/>
  <c r="G97" i="87"/>
  <c r="T97" i="87" s="1"/>
  <c r="G102" i="87"/>
  <c r="T101" i="87" s="1"/>
  <c r="S8" i="87"/>
  <c r="W7" i="87" s="1"/>
  <c r="R8" i="87"/>
  <c r="V7" i="87" s="1"/>
  <c r="R10" i="87"/>
  <c r="V9" i="87" s="1"/>
  <c r="Q10" i="87"/>
  <c r="U9" i="87" s="1"/>
  <c r="G10" i="87"/>
  <c r="T9" i="87" s="1"/>
  <c r="Q25" i="87"/>
  <c r="U25" i="87" s="1"/>
  <c r="Q40" i="87"/>
  <c r="G51" i="87"/>
  <c r="Q64" i="87"/>
  <c r="Q74" i="87"/>
  <c r="U73" i="87" s="1"/>
  <c r="G87" i="87"/>
  <c r="T87" i="87" s="1"/>
  <c r="S92" i="87"/>
  <c r="W91" i="87" s="1"/>
  <c r="Q92" i="87"/>
  <c r="U91" i="87" s="1"/>
  <c r="R92" i="87"/>
  <c r="V91" i="87" s="1"/>
  <c r="G92" i="87"/>
  <c r="Q97" i="87"/>
  <c r="U97" i="87" s="1"/>
  <c r="Q102" i="87"/>
  <c r="U95" i="87"/>
  <c r="V97" i="87"/>
  <c r="W105" i="87"/>
  <c r="S32" i="87"/>
  <c r="W31" i="87" s="1"/>
  <c r="R32" i="87"/>
  <c r="V31" i="87" s="1"/>
  <c r="R34" i="87"/>
  <c r="V33" i="87" s="1"/>
  <c r="Q34" i="87"/>
  <c r="U33" i="87" s="1"/>
  <c r="G34" i="87"/>
  <c r="T33" i="87" s="1"/>
  <c r="U49" i="87"/>
  <c r="W85" i="87"/>
  <c r="S90" i="87"/>
  <c r="W89" i="87" s="1"/>
  <c r="R90" i="87"/>
  <c r="V95" i="87"/>
  <c r="Q65" i="87"/>
  <c r="G70" i="87"/>
  <c r="T69" i="87" s="1"/>
  <c r="Q77" i="87"/>
  <c r="U77" i="87" s="1"/>
  <c r="G82" i="87"/>
  <c r="T81" i="87" s="1"/>
  <c r="G94" i="87"/>
  <c r="T93" i="87" s="1"/>
  <c r="Q101" i="87"/>
  <c r="G106" i="87"/>
  <c r="T105" i="87" s="1"/>
  <c r="Q89" i="87"/>
  <c r="U89" i="87" s="1"/>
  <c r="G7" i="87"/>
  <c r="T7" i="87" s="1"/>
  <c r="G19" i="87"/>
  <c r="G31" i="87"/>
  <c r="T31" i="87" s="1"/>
  <c r="G43" i="87"/>
  <c r="T43" i="87" s="1"/>
  <c r="G55" i="87"/>
  <c r="T55" i="87" s="1"/>
  <c r="R65" i="87"/>
  <c r="G67" i="87"/>
  <c r="T67" i="87" s="1"/>
  <c r="Q70" i="87"/>
  <c r="U69" i="87" s="1"/>
  <c r="R77" i="87"/>
  <c r="G79" i="87"/>
  <c r="Q82" i="87"/>
  <c r="U81" i="87" s="1"/>
  <c r="R89" i="87"/>
  <c r="G91" i="87"/>
  <c r="T91" i="87" s="1"/>
  <c r="Q94" i="87"/>
  <c r="U93" i="87" s="1"/>
  <c r="R101" i="87"/>
  <c r="G103" i="87"/>
  <c r="Q106" i="87"/>
  <c r="U105" i="87" s="1"/>
  <c r="U47" i="86"/>
  <c r="V91" i="86"/>
  <c r="U31" i="86"/>
  <c r="U21" i="86"/>
  <c r="V43" i="86"/>
  <c r="W91" i="86"/>
  <c r="W89" i="86"/>
  <c r="W9" i="86"/>
  <c r="W43" i="86"/>
  <c r="W81" i="86"/>
  <c r="V67" i="86"/>
  <c r="U91" i="86"/>
  <c r="V93" i="86"/>
  <c r="U105" i="86"/>
  <c r="W41" i="86"/>
  <c r="U33" i="86"/>
  <c r="V45" i="86"/>
  <c r="W67" i="86"/>
  <c r="W93" i="86"/>
  <c r="V105" i="86"/>
  <c r="V19" i="86"/>
  <c r="W19" i="86"/>
  <c r="U57" i="86"/>
  <c r="R37" i="86"/>
  <c r="S37" i="86"/>
  <c r="Q37" i="86"/>
  <c r="G37" i="86"/>
  <c r="R83" i="86"/>
  <c r="V83" i="86" s="1"/>
  <c r="S83" i="86"/>
  <c r="W83" i="86" s="1"/>
  <c r="G11" i="86"/>
  <c r="G26" i="86"/>
  <c r="G83" i="86"/>
  <c r="Q86" i="86"/>
  <c r="R95" i="86"/>
  <c r="S95" i="86"/>
  <c r="W95" i="86" s="1"/>
  <c r="G98" i="86"/>
  <c r="V103" i="86"/>
  <c r="W37" i="86"/>
  <c r="Q64" i="86"/>
  <c r="R64" i="86"/>
  <c r="S64" i="86"/>
  <c r="W63" i="86" s="1"/>
  <c r="R86" i="86"/>
  <c r="Q98" i="86"/>
  <c r="G86" i="86"/>
  <c r="Q26" i="86"/>
  <c r="Q83" i="86"/>
  <c r="U83" i="86" s="1"/>
  <c r="R26" i="86"/>
  <c r="W33" i="86"/>
  <c r="G38" i="86"/>
  <c r="G64" i="86"/>
  <c r="U71" i="86"/>
  <c r="Q95" i="86"/>
  <c r="U95" i="86" s="1"/>
  <c r="R98" i="86"/>
  <c r="S11" i="86"/>
  <c r="R11" i="86"/>
  <c r="Q52" i="86"/>
  <c r="R52" i="86"/>
  <c r="S52" i="86"/>
  <c r="W51" i="86" s="1"/>
  <c r="R23" i="86"/>
  <c r="V23" i="86" s="1"/>
  <c r="S23" i="86"/>
  <c r="W23" i="86" s="1"/>
  <c r="V33" i="86"/>
  <c r="Q49" i="86"/>
  <c r="S49" i="86"/>
  <c r="W49" i="86" s="1"/>
  <c r="G49" i="86"/>
  <c r="R49" i="86"/>
  <c r="V49" i="86" s="1"/>
  <c r="Q23" i="86"/>
  <c r="R35" i="86"/>
  <c r="V35" i="86" s="1"/>
  <c r="S35" i="86"/>
  <c r="W35" i="86" s="1"/>
  <c r="Q38" i="86"/>
  <c r="Q61" i="86"/>
  <c r="U61" i="86" s="1"/>
  <c r="G61" i="86"/>
  <c r="S61" i="86"/>
  <c r="W61" i="86" s="1"/>
  <c r="R61" i="86"/>
  <c r="V61" i="86" s="1"/>
  <c r="R76" i="86"/>
  <c r="Q76" i="86"/>
  <c r="S76" i="86"/>
  <c r="W75" i="86" s="1"/>
  <c r="U11" i="86"/>
  <c r="W3" i="86"/>
  <c r="V11" i="86"/>
  <c r="R16" i="86"/>
  <c r="Q16" i="86"/>
  <c r="S16" i="86"/>
  <c r="W15" i="86" s="1"/>
  <c r="Q35" i="86"/>
  <c r="U35" i="86" s="1"/>
  <c r="R47" i="86"/>
  <c r="V47" i="86" s="1"/>
  <c r="S47" i="86"/>
  <c r="W47" i="86" s="1"/>
  <c r="Q50" i="86"/>
  <c r="V57" i="86"/>
  <c r="G73" i="86"/>
  <c r="Q73" i="86"/>
  <c r="S73" i="86"/>
  <c r="W73" i="86" s="1"/>
  <c r="R73" i="86"/>
  <c r="V73" i="86" s="1"/>
  <c r="V37" i="86"/>
  <c r="W45" i="86"/>
  <c r="W11" i="86"/>
  <c r="U23" i="86"/>
  <c r="W57" i="86"/>
  <c r="Q88" i="86"/>
  <c r="R88" i="86"/>
  <c r="S88" i="86"/>
  <c r="W87" i="86" s="1"/>
  <c r="V95" i="86"/>
  <c r="Q100" i="86"/>
  <c r="S100" i="86"/>
  <c r="W99" i="86" s="1"/>
  <c r="R100" i="86"/>
  <c r="Q28" i="86"/>
  <c r="S28" i="86"/>
  <c r="W27" i="86" s="1"/>
  <c r="R28" i="86"/>
  <c r="S59" i="86"/>
  <c r="W59" i="86" s="1"/>
  <c r="R59" i="86"/>
  <c r="V59" i="86" s="1"/>
  <c r="G74" i="86"/>
  <c r="G85" i="86"/>
  <c r="S85" i="86"/>
  <c r="W85" i="86" s="1"/>
  <c r="Q85" i="86"/>
  <c r="R85" i="86"/>
  <c r="G100" i="86"/>
  <c r="R13" i="86"/>
  <c r="V13" i="86" s="1"/>
  <c r="S13" i="86"/>
  <c r="W13" i="86" s="1"/>
  <c r="Q13" i="86"/>
  <c r="U13" i="86" s="1"/>
  <c r="G13" i="86"/>
  <c r="G28" i="86"/>
  <c r="G59" i="86"/>
  <c r="V9" i="86"/>
  <c r="G25" i="86"/>
  <c r="S25" i="86"/>
  <c r="W25" i="86" s="1"/>
  <c r="Q25" i="86"/>
  <c r="R25" i="86"/>
  <c r="S40" i="86"/>
  <c r="W39" i="86" s="1"/>
  <c r="R40" i="86"/>
  <c r="Q40" i="86"/>
  <c r="Q59" i="86"/>
  <c r="U59" i="86" s="1"/>
  <c r="S71" i="86"/>
  <c r="W71" i="86" s="1"/>
  <c r="R71" i="86"/>
  <c r="V71" i="86" s="1"/>
  <c r="Q74" i="86"/>
  <c r="V81" i="86"/>
  <c r="S105" i="86"/>
  <c r="W105" i="86" s="1"/>
  <c r="G66" i="86"/>
  <c r="G39" i="86"/>
  <c r="Q42" i="86"/>
  <c r="U41" i="86" s="1"/>
  <c r="Q54" i="86"/>
  <c r="U53" i="86" s="1"/>
  <c r="G63" i="86"/>
  <c r="Q66" i="86"/>
  <c r="U65" i="86" s="1"/>
  <c r="G75" i="86"/>
  <c r="Q78" i="86"/>
  <c r="U77" i="86" s="1"/>
  <c r="G87" i="86"/>
  <c r="Q90" i="86"/>
  <c r="U89" i="86" s="1"/>
  <c r="R97" i="86"/>
  <c r="G99" i="86"/>
  <c r="Q102" i="86"/>
  <c r="U101" i="86" s="1"/>
  <c r="G30" i="86"/>
  <c r="G42" i="86"/>
  <c r="G54" i="86"/>
  <c r="Q97" i="86"/>
  <c r="G102" i="86"/>
  <c r="Q4" i="86"/>
  <c r="U3" i="86" s="1"/>
  <c r="G15" i="86"/>
  <c r="R4" i="86"/>
  <c r="V3" i="86" s="1"/>
  <c r="R6" i="86"/>
  <c r="V5" i="86" s="1"/>
  <c r="G8" i="86"/>
  <c r="Q15" i="86"/>
  <c r="R18" i="86"/>
  <c r="V17" i="86" s="1"/>
  <c r="G20" i="86"/>
  <c r="Q27" i="86"/>
  <c r="R30" i="86"/>
  <c r="V29" i="86" s="1"/>
  <c r="G32" i="86"/>
  <c r="Q39" i="86"/>
  <c r="R42" i="86"/>
  <c r="V41" i="86" s="1"/>
  <c r="G44" i="86"/>
  <c r="Q51" i="86"/>
  <c r="R54" i="86"/>
  <c r="V53" i="86" s="1"/>
  <c r="G56" i="86"/>
  <c r="Q63" i="86"/>
  <c r="R66" i="86"/>
  <c r="V65" i="86" s="1"/>
  <c r="G68" i="86"/>
  <c r="Q75" i="86"/>
  <c r="R78" i="86"/>
  <c r="V77" i="86" s="1"/>
  <c r="G80" i="86"/>
  <c r="Q87" i="86"/>
  <c r="R90" i="86"/>
  <c r="V89" i="86" s="1"/>
  <c r="G92" i="86"/>
  <c r="S97" i="86"/>
  <c r="W97" i="86" s="1"/>
  <c r="Q99" i="86"/>
  <c r="R102" i="86"/>
  <c r="V101" i="86" s="1"/>
  <c r="G104" i="86"/>
  <c r="G78" i="86"/>
  <c r="G90" i="86"/>
  <c r="Q6" i="86"/>
  <c r="U5" i="86" s="1"/>
  <c r="Q18" i="86"/>
  <c r="U17" i="86" s="1"/>
  <c r="G27" i="86"/>
  <c r="Q30" i="86"/>
  <c r="U29" i="86" s="1"/>
  <c r="G51" i="86"/>
  <c r="R15" i="86"/>
  <c r="S18" i="86"/>
  <c r="W17" i="86" s="1"/>
  <c r="R27" i="86"/>
  <c r="R39" i="86"/>
  <c r="R51" i="86"/>
  <c r="R63" i="86"/>
  <c r="R75" i="86"/>
  <c r="R87" i="86"/>
  <c r="R99" i="86"/>
  <c r="Q104" i="86"/>
  <c r="U103" i="86" s="1"/>
  <c r="G91" i="86"/>
  <c r="V27" i="87" l="1"/>
  <c r="V101" i="87"/>
  <c r="W17" i="87"/>
  <c r="T75" i="87"/>
  <c r="V63" i="86"/>
  <c r="V15" i="86"/>
  <c r="T103" i="87"/>
  <c r="T19" i="87"/>
  <c r="T79" i="87"/>
  <c r="W75" i="87"/>
  <c r="V41" i="87"/>
  <c r="V75" i="87"/>
  <c r="V65" i="87"/>
  <c r="W87" i="87"/>
  <c r="U65" i="87"/>
  <c r="T39" i="87"/>
  <c r="V89" i="87"/>
  <c r="U39" i="87"/>
  <c r="U101" i="87"/>
  <c r="V77" i="87"/>
  <c r="U41" i="87"/>
  <c r="V17" i="87"/>
  <c r="V53" i="87"/>
  <c r="T51" i="87"/>
  <c r="U63" i="87"/>
  <c r="T27" i="87"/>
  <c r="T63" i="87"/>
  <c r="U37" i="86"/>
  <c r="V87" i="86"/>
  <c r="V85" i="86"/>
  <c r="U63" i="86"/>
  <c r="V27" i="86"/>
  <c r="U87" i="86"/>
  <c r="V25" i="86"/>
  <c r="V51" i="86"/>
  <c r="U51" i="86"/>
  <c r="V99" i="86"/>
  <c r="U49" i="86"/>
  <c r="U25" i="86"/>
  <c r="U73" i="86"/>
  <c r="U27" i="86"/>
  <c r="U85" i="86"/>
  <c r="U99" i="86"/>
  <c r="U75" i="86"/>
  <c r="V97" i="86"/>
  <c r="U39" i="86"/>
  <c r="V75" i="86"/>
  <c r="U97" i="86"/>
  <c r="V39" i="86"/>
  <c r="U15" i="86"/>
  <c r="R106" i="83" l="1"/>
  <c r="Q106" i="83"/>
  <c r="P106" i="83"/>
  <c r="C106" i="83"/>
  <c r="S105" i="83"/>
  <c r="C105" i="83"/>
  <c r="R104" i="83"/>
  <c r="Q104" i="83"/>
  <c r="P104" i="83"/>
  <c r="C104" i="83"/>
  <c r="S103" i="83"/>
  <c r="C103" i="83"/>
  <c r="R102" i="83"/>
  <c r="Q102" i="83"/>
  <c r="P102" i="83"/>
  <c r="C102" i="83"/>
  <c r="S101" i="83"/>
  <c r="C101" i="83"/>
  <c r="R100" i="83"/>
  <c r="Q100" i="83"/>
  <c r="P100" i="83"/>
  <c r="C100" i="83"/>
  <c r="S99" i="83"/>
  <c r="P99" i="83"/>
  <c r="C99" i="83"/>
  <c r="R98" i="83"/>
  <c r="Q98" i="83"/>
  <c r="P98" i="83"/>
  <c r="C98" i="83"/>
  <c r="S97" i="83"/>
  <c r="C97" i="83"/>
  <c r="R96" i="83"/>
  <c r="Q96" i="83"/>
  <c r="P96" i="83"/>
  <c r="T95" i="83" s="1"/>
  <c r="C96" i="83"/>
  <c r="S95" i="83"/>
  <c r="P95" i="83"/>
  <c r="C95" i="83"/>
  <c r="R94" i="83"/>
  <c r="Q94" i="83"/>
  <c r="P94" i="83"/>
  <c r="C94" i="83"/>
  <c r="S93" i="83"/>
  <c r="P93" i="83"/>
  <c r="C93" i="83"/>
  <c r="R92" i="83"/>
  <c r="Q92" i="83"/>
  <c r="P92" i="83"/>
  <c r="C92" i="83"/>
  <c r="S91" i="83"/>
  <c r="P91" i="83"/>
  <c r="C91" i="83"/>
  <c r="R90" i="83"/>
  <c r="Q90" i="83"/>
  <c r="P90" i="83"/>
  <c r="C90" i="83"/>
  <c r="S89" i="83"/>
  <c r="P89" i="83"/>
  <c r="C89" i="83"/>
  <c r="R88" i="83"/>
  <c r="Q88" i="83"/>
  <c r="P88" i="83"/>
  <c r="C88" i="83"/>
  <c r="S87" i="83"/>
  <c r="C87" i="83"/>
  <c r="R86" i="83"/>
  <c r="Q86" i="83"/>
  <c r="P86" i="83"/>
  <c r="C86" i="83"/>
  <c r="S85" i="83"/>
  <c r="C85" i="83"/>
  <c r="R84" i="83"/>
  <c r="Q84" i="83"/>
  <c r="P84" i="83"/>
  <c r="C84" i="83"/>
  <c r="S83" i="83"/>
  <c r="C83" i="83"/>
  <c r="R82" i="83"/>
  <c r="Q82" i="83"/>
  <c r="P82" i="83"/>
  <c r="C82" i="83"/>
  <c r="S81" i="83"/>
  <c r="C81" i="83"/>
  <c r="R80" i="83"/>
  <c r="Q80" i="83"/>
  <c r="P80" i="83"/>
  <c r="C80" i="83"/>
  <c r="S79" i="83"/>
  <c r="C79" i="83"/>
  <c r="R78" i="83"/>
  <c r="Q78" i="83"/>
  <c r="P78" i="83"/>
  <c r="C78" i="83"/>
  <c r="S77" i="83"/>
  <c r="C77" i="83"/>
  <c r="R76" i="83"/>
  <c r="Q76" i="83"/>
  <c r="P76" i="83"/>
  <c r="C76" i="83"/>
  <c r="S75" i="83"/>
  <c r="P75" i="83"/>
  <c r="C75" i="83"/>
  <c r="R74" i="83"/>
  <c r="Q74" i="83"/>
  <c r="P74" i="83"/>
  <c r="C74" i="83"/>
  <c r="S73" i="83"/>
  <c r="C73" i="83"/>
  <c r="R72" i="83"/>
  <c r="Q72" i="83"/>
  <c r="P72" i="83"/>
  <c r="C72" i="83"/>
  <c r="S71" i="83"/>
  <c r="P71" i="83"/>
  <c r="C71" i="83"/>
  <c r="R70" i="83"/>
  <c r="Q70" i="83"/>
  <c r="P70" i="83"/>
  <c r="C70" i="83"/>
  <c r="S69" i="83"/>
  <c r="P69" i="83"/>
  <c r="C69" i="83"/>
  <c r="R68" i="83"/>
  <c r="Q68" i="83"/>
  <c r="P68" i="83"/>
  <c r="C68" i="83"/>
  <c r="S67" i="83"/>
  <c r="P67" i="83"/>
  <c r="C67" i="83"/>
  <c r="R66" i="83"/>
  <c r="Q66" i="83"/>
  <c r="P66" i="83"/>
  <c r="C66" i="83"/>
  <c r="S65" i="83"/>
  <c r="P65" i="83"/>
  <c r="C65" i="83"/>
  <c r="R64" i="83"/>
  <c r="Q64" i="83"/>
  <c r="P64" i="83"/>
  <c r="C64" i="83"/>
  <c r="S63" i="83"/>
  <c r="C63" i="83"/>
  <c r="R62" i="83"/>
  <c r="Q62" i="83"/>
  <c r="P62" i="83"/>
  <c r="C62" i="83"/>
  <c r="S61" i="83"/>
  <c r="C61" i="83"/>
  <c r="R60" i="83"/>
  <c r="Q60" i="83"/>
  <c r="P60" i="83"/>
  <c r="C60" i="83"/>
  <c r="S59" i="83"/>
  <c r="C59" i="83"/>
  <c r="R58" i="83"/>
  <c r="Q58" i="83"/>
  <c r="P58" i="83"/>
  <c r="C58" i="83"/>
  <c r="S57" i="83"/>
  <c r="C57" i="83"/>
  <c r="R56" i="83"/>
  <c r="Q56" i="83"/>
  <c r="P56" i="83"/>
  <c r="C56" i="83"/>
  <c r="S55" i="83"/>
  <c r="C55" i="83"/>
  <c r="R54" i="83"/>
  <c r="Q54" i="83"/>
  <c r="P54" i="83"/>
  <c r="C54" i="83"/>
  <c r="S53" i="83"/>
  <c r="C53" i="83"/>
  <c r="R52" i="83"/>
  <c r="Q52" i="83"/>
  <c r="P52" i="83"/>
  <c r="C52" i="83"/>
  <c r="S51" i="83"/>
  <c r="P51" i="83"/>
  <c r="C51" i="83"/>
  <c r="R50" i="83"/>
  <c r="Q50" i="83"/>
  <c r="P50" i="83"/>
  <c r="C50" i="83"/>
  <c r="S49" i="83"/>
  <c r="C49" i="83"/>
  <c r="R48" i="83"/>
  <c r="Q48" i="83"/>
  <c r="P48" i="83"/>
  <c r="C48" i="83"/>
  <c r="S47" i="83"/>
  <c r="P47" i="83"/>
  <c r="C47" i="83"/>
  <c r="R46" i="83"/>
  <c r="Q46" i="83"/>
  <c r="P46" i="83"/>
  <c r="C46" i="83"/>
  <c r="S45" i="83"/>
  <c r="C45" i="83"/>
  <c r="R45" i="83" s="1"/>
  <c r="R44" i="83"/>
  <c r="Q44" i="83"/>
  <c r="P44" i="83"/>
  <c r="C44" i="83"/>
  <c r="S43" i="83"/>
  <c r="C43" i="83"/>
  <c r="R43" i="83" s="1"/>
  <c r="R42" i="83"/>
  <c r="Q42" i="83"/>
  <c r="P42" i="83"/>
  <c r="C42" i="83"/>
  <c r="S41" i="83"/>
  <c r="P41" i="83"/>
  <c r="C41" i="83"/>
  <c r="R41" i="83" s="1"/>
  <c r="R40" i="83"/>
  <c r="Q40" i="83"/>
  <c r="P40" i="83"/>
  <c r="C40" i="83"/>
  <c r="S39" i="83"/>
  <c r="P39" i="83"/>
  <c r="C39" i="83"/>
  <c r="R38" i="83"/>
  <c r="Q38" i="83"/>
  <c r="P38" i="83"/>
  <c r="C38" i="83"/>
  <c r="S37" i="83"/>
  <c r="P37" i="83"/>
  <c r="C37" i="83"/>
  <c r="R36" i="83"/>
  <c r="Q36" i="83"/>
  <c r="P36" i="83"/>
  <c r="C36" i="83"/>
  <c r="S35" i="83"/>
  <c r="P35" i="83"/>
  <c r="C35" i="83"/>
  <c r="R34" i="83"/>
  <c r="Q34" i="83"/>
  <c r="P34" i="83"/>
  <c r="C34" i="83"/>
  <c r="S33" i="83"/>
  <c r="C33" i="83"/>
  <c r="R32" i="83"/>
  <c r="Q32" i="83"/>
  <c r="P32" i="83"/>
  <c r="C32" i="83"/>
  <c r="S31" i="83"/>
  <c r="C31" i="83"/>
  <c r="R30" i="83"/>
  <c r="Q30" i="83"/>
  <c r="P30" i="83"/>
  <c r="C30" i="83"/>
  <c r="S29" i="83"/>
  <c r="C29" i="83"/>
  <c r="R28" i="83"/>
  <c r="V27" i="83" s="1"/>
  <c r="Q28" i="83"/>
  <c r="U27" i="83" s="1"/>
  <c r="P28" i="83"/>
  <c r="C28" i="83"/>
  <c r="S27" i="83"/>
  <c r="Q27" i="83"/>
  <c r="P27" i="83"/>
  <c r="C27" i="83"/>
  <c r="R27" i="83" s="1"/>
  <c r="R26" i="83"/>
  <c r="Q26" i="83"/>
  <c r="P26" i="83"/>
  <c r="C26" i="83"/>
  <c r="S25" i="83"/>
  <c r="Q25" i="83"/>
  <c r="P25" i="83"/>
  <c r="C25" i="83"/>
  <c r="R25" i="83" s="1"/>
  <c r="R24" i="83"/>
  <c r="Q24" i="83"/>
  <c r="P24" i="83"/>
  <c r="C24" i="83"/>
  <c r="S23" i="83"/>
  <c r="C23" i="83"/>
  <c r="R23" i="83" s="1"/>
  <c r="R22" i="83"/>
  <c r="V21" i="83" s="1"/>
  <c r="Q22" i="83"/>
  <c r="U21" i="83" s="1"/>
  <c r="P22" i="83"/>
  <c r="C22" i="83"/>
  <c r="S21" i="83"/>
  <c r="Q21" i="83"/>
  <c r="P21" i="83"/>
  <c r="C21" i="83"/>
  <c r="R21" i="83" s="1"/>
  <c r="R20" i="83"/>
  <c r="Q20" i="83"/>
  <c r="P20" i="83"/>
  <c r="C20" i="83"/>
  <c r="S19" i="83"/>
  <c r="Q19" i="83"/>
  <c r="P19" i="83"/>
  <c r="C19" i="83"/>
  <c r="R19" i="83" s="1"/>
  <c r="R18" i="83"/>
  <c r="Q18" i="83"/>
  <c r="P18" i="83"/>
  <c r="C18" i="83"/>
  <c r="S17" i="83"/>
  <c r="C17" i="83"/>
  <c r="R17" i="83" s="1"/>
  <c r="R16" i="83"/>
  <c r="V15" i="83" s="1"/>
  <c r="Q16" i="83"/>
  <c r="P16" i="83"/>
  <c r="C16" i="83"/>
  <c r="S15" i="83"/>
  <c r="Q15" i="83"/>
  <c r="P15" i="83"/>
  <c r="C15" i="83"/>
  <c r="R15" i="83" s="1"/>
  <c r="R14" i="83"/>
  <c r="Q14" i="83"/>
  <c r="P14" i="83"/>
  <c r="C14" i="83"/>
  <c r="S13" i="83"/>
  <c r="Q13" i="83"/>
  <c r="P13" i="83"/>
  <c r="C13" i="83"/>
  <c r="R13" i="83" s="1"/>
  <c r="R12" i="83"/>
  <c r="Q12" i="83"/>
  <c r="P12" i="83"/>
  <c r="C12" i="83"/>
  <c r="S11" i="83"/>
  <c r="C11" i="83"/>
  <c r="R11" i="83" s="1"/>
  <c r="R10" i="83"/>
  <c r="Q10" i="83"/>
  <c r="P10" i="83"/>
  <c r="C10" i="83"/>
  <c r="S9" i="83"/>
  <c r="Q9" i="83"/>
  <c r="P9" i="83"/>
  <c r="C9" i="83"/>
  <c r="R9" i="83" s="1"/>
  <c r="R8" i="83"/>
  <c r="Q8" i="83"/>
  <c r="P8" i="83"/>
  <c r="C8" i="83"/>
  <c r="S7" i="83"/>
  <c r="Q7" i="83"/>
  <c r="P7" i="83"/>
  <c r="C7" i="83"/>
  <c r="R7" i="83" s="1"/>
  <c r="R6" i="83"/>
  <c r="Q6" i="83"/>
  <c r="P6" i="83"/>
  <c r="C6" i="83"/>
  <c r="S5" i="83"/>
  <c r="C5" i="83"/>
  <c r="R5" i="83" s="1"/>
  <c r="R4" i="83"/>
  <c r="Q4" i="83"/>
  <c r="P4" i="83"/>
  <c r="C4" i="83"/>
  <c r="S3" i="83"/>
  <c r="Q3" i="83"/>
  <c r="P3" i="83"/>
  <c r="C3" i="83"/>
  <c r="R3" i="83" s="1"/>
  <c r="C106" i="82"/>
  <c r="R106" i="82" s="1"/>
  <c r="S105" i="82"/>
  <c r="R105" i="82"/>
  <c r="P105" i="82"/>
  <c r="C105" i="82"/>
  <c r="Q105" i="82" s="1"/>
  <c r="R104" i="82"/>
  <c r="P104" i="82"/>
  <c r="T103" i="82" s="1"/>
  <c r="C104" i="82"/>
  <c r="Q104" i="82" s="1"/>
  <c r="S103" i="82"/>
  <c r="R103" i="82"/>
  <c r="Q103" i="82"/>
  <c r="P103" i="82"/>
  <c r="C103" i="82"/>
  <c r="R102" i="82"/>
  <c r="P102" i="82"/>
  <c r="C102" i="82"/>
  <c r="Q102" i="82" s="1"/>
  <c r="S101" i="82"/>
  <c r="R101" i="82"/>
  <c r="Q101" i="82"/>
  <c r="P101" i="82"/>
  <c r="C101" i="82"/>
  <c r="R100" i="82"/>
  <c r="P100" i="82"/>
  <c r="T99" i="82" s="1"/>
  <c r="C100" i="82"/>
  <c r="Q100" i="82" s="1"/>
  <c r="U99" i="82" s="1"/>
  <c r="V99" i="82"/>
  <c r="S99" i="82"/>
  <c r="R99" i="82"/>
  <c r="Q99" i="82"/>
  <c r="P99" i="82"/>
  <c r="C99" i="82"/>
  <c r="R98" i="82"/>
  <c r="P98" i="82"/>
  <c r="C98" i="82"/>
  <c r="Q98" i="82" s="1"/>
  <c r="S97" i="82"/>
  <c r="R97" i="82"/>
  <c r="Q97" i="82"/>
  <c r="P97" i="82"/>
  <c r="C97" i="82"/>
  <c r="R96" i="82"/>
  <c r="P96" i="82"/>
  <c r="C96" i="82"/>
  <c r="Q96" i="82" s="1"/>
  <c r="S95" i="82"/>
  <c r="R95" i="82"/>
  <c r="V95" i="82" s="1"/>
  <c r="Q95" i="82"/>
  <c r="P95" i="82"/>
  <c r="C95" i="82"/>
  <c r="R94" i="82"/>
  <c r="V93" i="82" s="1"/>
  <c r="P94" i="82"/>
  <c r="T93" i="82" s="1"/>
  <c r="C94" i="82"/>
  <c r="Q94" i="82" s="1"/>
  <c r="S93" i="82"/>
  <c r="R93" i="82"/>
  <c r="Q93" i="82"/>
  <c r="P93" i="82"/>
  <c r="C93" i="82"/>
  <c r="R92" i="82"/>
  <c r="P92" i="82"/>
  <c r="C92" i="82"/>
  <c r="Q92" i="82" s="1"/>
  <c r="T91" i="82"/>
  <c r="S91" i="82"/>
  <c r="R91" i="82"/>
  <c r="Q91" i="82"/>
  <c r="P91" i="82"/>
  <c r="C91" i="82"/>
  <c r="R90" i="82"/>
  <c r="P90" i="82"/>
  <c r="C90" i="82"/>
  <c r="Q90" i="82" s="1"/>
  <c r="S89" i="82"/>
  <c r="R89" i="82"/>
  <c r="Q89" i="82"/>
  <c r="P89" i="82"/>
  <c r="C89" i="82"/>
  <c r="R88" i="82"/>
  <c r="P88" i="82"/>
  <c r="C88" i="82"/>
  <c r="Q88" i="82" s="1"/>
  <c r="S87" i="82"/>
  <c r="R87" i="82"/>
  <c r="V87" i="82" s="1"/>
  <c r="Q87" i="82"/>
  <c r="P87" i="82"/>
  <c r="C87" i="82"/>
  <c r="R86" i="82"/>
  <c r="V85" i="82" s="1"/>
  <c r="P86" i="82"/>
  <c r="T85" i="82" s="1"/>
  <c r="C86" i="82"/>
  <c r="Q86" i="82" s="1"/>
  <c r="S85" i="82"/>
  <c r="R85" i="82"/>
  <c r="Q85" i="82"/>
  <c r="P85" i="82"/>
  <c r="C85" i="82"/>
  <c r="R84" i="82"/>
  <c r="P84" i="82"/>
  <c r="T83" i="82" s="1"/>
  <c r="C84" i="82"/>
  <c r="Q84" i="82" s="1"/>
  <c r="U83" i="82" s="1"/>
  <c r="S83" i="82"/>
  <c r="R83" i="82"/>
  <c r="V83" i="82" s="1"/>
  <c r="Q83" i="82"/>
  <c r="P83" i="82"/>
  <c r="C83" i="82"/>
  <c r="R82" i="82"/>
  <c r="P82" i="82"/>
  <c r="C82" i="82"/>
  <c r="Q82" i="82" s="1"/>
  <c r="S81" i="82"/>
  <c r="R81" i="82"/>
  <c r="V81" i="82" s="1"/>
  <c r="Q81" i="82"/>
  <c r="P81" i="82"/>
  <c r="T81" i="82" s="1"/>
  <c r="C81" i="82"/>
  <c r="R80" i="82"/>
  <c r="P80" i="82"/>
  <c r="C80" i="82"/>
  <c r="Q80" i="82" s="1"/>
  <c r="S79" i="82"/>
  <c r="R79" i="82"/>
  <c r="V79" i="82" s="1"/>
  <c r="Q79" i="82"/>
  <c r="P79" i="82"/>
  <c r="T79" i="82" s="1"/>
  <c r="C79" i="82"/>
  <c r="R78" i="82"/>
  <c r="V77" i="82" s="1"/>
  <c r="P78" i="82"/>
  <c r="T77" i="82" s="1"/>
  <c r="C78" i="82"/>
  <c r="Q78" i="82" s="1"/>
  <c r="S77" i="82"/>
  <c r="R77" i="82"/>
  <c r="Q77" i="82"/>
  <c r="P77" i="82"/>
  <c r="C77" i="82"/>
  <c r="R76" i="82"/>
  <c r="P76" i="82"/>
  <c r="T75" i="82" s="1"/>
  <c r="C76" i="82"/>
  <c r="Q76" i="82" s="1"/>
  <c r="U75" i="82" s="1"/>
  <c r="S75" i="82"/>
  <c r="R75" i="82"/>
  <c r="V75" i="82" s="1"/>
  <c r="Q75" i="82"/>
  <c r="P75" i="82"/>
  <c r="C75" i="82"/>
  <c r="R74" i="82"/>
  <c r="P74" i="82"/>
  <c r="C74" i="82"/>
  <c r="Q74" i="82" s="1"/>
  <c r="S73" i="82"/>
  <c r="R73" i="82"/>
  <c r="Q73" i="82"/>
  <c r="P73" i="82"/>
  <c r="C73" i="82"/>
  <c r="R72" i="82"/>
  <c r="V71" i="82" s="1"/>
  <c r="P72" i="82"/>
  <c r="C72" i="82"/>
  <c r="Q72" i="82" s="1"/>
  <c r="S71" i="82"/>
  <c r="R71" i="82"/>
  <c r="Q71" i="82"/>
  <c r="P71" i="82"/>
  <c r="C71" i="82"/>
  <c r="R70" i="82"/>
  <c r="P70" i="82"/>
  <c r="T69" i="82" s="1"/>
  <c r="C70" i="82"/>
  <c r="Q70" i="82" s="1"/>
  <c r="V69" i="82"/>
  <c r="S69" i="82"/>
  <c r="R69" i="82"/>
  <c r="Q69" i="82"/>
  <c r="P69" i="82"/>
  <c r="C69" i="82"/>
  <c r="R68" i="82"/>
  <c r="P68" i="82"/>
  <c r="C68" i="82"/>
  <c r="Q68" i="82" s="1"/>
  <c r="T67" i="82"/>
  <c r="S67" i="82"/>
  <c r="R67" i="82"/>
  <c r="V67" i="82" s="1"/>
  <c r="Q67" i="82"/>
  <c r="P67" i="82"/>
  <c r="C67" i="82"/>
  <c r="R66" i="82"/>
  <c r="P66" i="82"/>
  <c r="C66" i="82"/>
  <c r="Q66" i="82" s="1"/>
  <c r="S65" i="82"/>
  <c r="R65" i="82"/>
  <c r="Q65" i="82"/>
  <c r="P65" i="82"/>
  <c r="C65" i="82"/>
  <c r="R64" i="82"/>
  <c r="V63" i="82" s="1"/>
  <c r="P64" i="82"/>
  <c r="C64" i="82"/>
  <c r="Q64" i="82" s="1"/>
  <c r="S63" i="82"/>
  <c r="R63" i="82"/>
  <c r="Q63" i="82"/>
  <c r="P63" i="82"/>
  <c r="C63" i="82"/>
  <c r="R62" i="82"/>
  <c r="V61" i="82" s="1"/>
  <c r="P62" i="82"/>
  <c r="T61" i="82" s="1"/>
  <c r="C62" i="82"/>
  <c r="Q62" i="82" s="1"/>
  <c r="U61" i="82" s="1"/>
  <c r="S61" i="82"/>
  <c r="R61" i="82"/>
  <c r="Q61" i="82"/>
  <c r="P61" i="82"/>
  <c r="C61" i="82"/>
  <c r="R60" i="82"/>
  <c r="P60" i="82"/>
  <c r="C60" i="82"/>
  <c r="Q60" i="82" s="1"/>
  <c r="S59" i="82"/>
  <c r="R59" i="82"/>
  <c r="V59" i="82" s="1"/>
  <c r="Q59" i="82"/>
  <c r="P59" i="82"/>
  <c r="C59" i="82"/>
  <c r="R58" i="82"/>
  <c r="P58" i="82"/>
  <c r="C58" i="82"/>
  <c r="Q58" i="82" s="1"/>
  <c r="S57" i="82"/>
  <c r="R57" i="82"/>
  <c r="V57" i="82" s="1"/>
  <c r="Q57" i="82"/>
  <c r="P57" i="82"/>
  <c r="T57" i="82" s="1"/>
  <c r="C57" i="82"/>
  <c r="R56" i="82"/>
  <c r="P56" i="82"/>
  <c r="C56" i="82"/>
  <c r="Q56" i="82" s="1"/>
  <c r="S55" i="82"/>
  <c r="R55" i="82"/>
  <c r="Q55" i="82"/>
  <c r="P55" i="82"/>
  <c r="T55" i="82" s="1"/>
  <c r="C55" i="82"/>
  <c r="R54" i="82"/>
  <c r="V53" i="82" s="1"/>
  <c r="P54" i="82"/>
  <c r="T53" i="82" s="1"/>
  <c r="C54" i="82"/>
  <c r="Q54" i="82" s="1"/>
  <c r="S53" i="82"/>
  <c r="R53" i="82"/>
  <c r="Q53" i="82"/>
  <c r="P53" i="82"/>
  <c r="C53" i="82"/>
  <c r="R52" i="82"/>
  <c r="P52" i="82"/>
  <c r="C52" i="82"/>
  <c r="Q52" i="82" s="1"/>
  <c r="S51" i="82"/>
  <c r="R51" i="82"/>
  <c r="V51" i="82" s="1"/>
  <c r="Q51" i="82"/>
  <c r="P51" i="82"/>
  <c r="C51" i="82"/>
  <c r="R50" i="82"/>
  <c r="P50" i="82"/>
  <c r="T49" i="82" s="1"/>
  <c r="C50" i="82"/>
  <c r="Q50" i="82" s="1"/>
  <c r="S49" i="82"/>
  <c r="R49" i="82"/>
  <c r="Q49" i="82"/>
  <c r="P49" i="82"/>
  <c r="C49" i="82"/>
  <c r="R48" i="82"/>
  <c r="V47" i="82" s="1"/>
  <c r="P48" i="82"/>
  <c r="T47" i="82" s="1"/>
  <c r="C48" i="82"/>
  <c r="Q48" i="82" s="1"/>
  <c r="U47" i="82" s="1"/>
  <c r="S47" i="82"/>
  <c r="R47" i="82"/>
  <c r="Q47" i="82"/>
  <c r="P47" i="82"/>
  <c r="C47" i="82"/>
  <c r="R46" i="82"/>
  <c r="P46" i="82"/>
  <c r="C46" i="82"/>
  <c r="Q46" i="82" s="1"/>
  <c r="V45" i="82"/>
  <c r="T45" i="82"/>
  <c r="S45" i="82"/>
  <c r="R45" i="82"/>
  <c r="Q45" i="82"/>
  <c r="P45" i="82"/>
  <c r="C45" i="82"/>
  <c r="R44" i="82"/>
  <c r="P44" i="82"/>
  <c r="C44" i="82"/>
  <c r="Q44" i="82" s="1"/>
  <c r="S43" i="82"/>
  <c r="R43" i="82"/>
  <c r="V43" i="82" s="1"/>
  <c r="Q43" i="82"/>
  <c r="P43" i="82"/>
  <c r="T43" i="82" s="1"/>
  <c r="C43" i="82"/>
  <c r="R42" i="82"/>
  <c r="P42" i="82"/>
  <c r="C42" i="82"/>
  <c r="Q42" i="82" s="1"/>
  <c r="S41" i="82"/>
  <c r="R41" i="82"/>
  <c r="Q41" i="82"/>
  <c r="P41" i="82"/>
  <c r="C41" i="82"/>
  <c r="R40" i="82"/>
  <c r="V39" i="82" s="1"/>
  <c r="P40" i="82"/>
  <c r="T39" i="82" s="1"/>
  <c r="C40" i="82"/>
  <c r="Q40" i="82" s="1"/>
  <c r="U39" i="82" s="1"/>
  <c r="S39" i="82"/>
  <c r="R39" i="82"/>
  <c r="Q39" i="82"/>
  <c r="P39" i="82"/>
  <c r="C39" i="82"/>
  <c r="R38" i="82"/>
  <c r="Q38" i="82"/>
  <c r="U37" i="82" s="1"/>
  <c r="P38" i="82"/>
  <c r="T37" i="82" s="1"/>
  <c r="C38" i="82"/>
  <c r="S37" i="82"/>
  <c r="R37" i="82"/>
  <c r="Q37" i="82"/>
  <c r="P37" i="82"/>
  <c r="C37" i="82"/>
  <c r="R36" i="82"/>
  <c r="Q36" i="82"/>
  <c r="P36" i="82"/>
  <c r="C36" i="82"/>
  <c r="S35" i="82"/>
  <c r="R35" i="82"/>
  <c r="Q35" i="82"/>
  <c r="P35" i="82"/>
  <c r="C35" i="82"/>
  <c r="R34" i="82"/>
  <c r="Q34" i="82"/>
  <c r="P34" i="82"/>
  <c r="C34" i="82"/>
  <c r="S33" i="82"/>
  <c r="R33" i="82"/>
  <c r="Q33" i="82"/>
  <c r="P33" i="82"/>
  <c r="C33" i="82"/>
  <c r="R32" i="82"/>
  <c r="V31" i="82" s="1"/>
  <c r="Q32" i="82"/>
  <c r="U31" i="82" s="1"/>
  <c r="P32" i="82"/>
  <c r="T31" i="82" s="1"/>
  <c r="C32" i="82"/>
  <c r="S31" i="82"/>
  <c r="R31" i="82"/>
  <c r="Q31" i="82"/>
  <c r="P31" i="82"/>
  <c r="C31" i="82"/>
  <c r="R30" i="82"/>
  <c r="Q30" i="82"/>
  <c r="U29" i="82" s="1"/>
  <c r="P30" i="82"/>
  <c r="T29" i="82" s="1"/>
  <c r="C30" i="82"/>
  <c r="S29" i="82"/>
  <c r="R29" i="82"/>
  <c r="Q29" i="82"/>
  <c r="P29" i="82"/>
  <c r="C29" i="82"/>
  <c r="R28" i="82"/>
  <c r="Q28" i="82"/>
  <c r="P28" i="82"/>
  <c r="C28" i="82"/>
  <c r="S27" i="82"/>
  <c r="R27" i="82"/>
  <c r="Q27" i="82"/>
  <c r="P27" i="82"/>
  <c r="C27" i="82"/>
  <c r="R26" i="82"/>
  <c r="Q26" i="82"/>
  <c r="P26" i="82"/>
  <c r="C26" i="82"/>
  <c r="S25" i="82"/>
  <c r="R25" i="82"/>
  <c r="Q25" i="82"/>
  <c r="P25" i="82"/>
  <c r="C25" i="82"/>
  <c r="R24" i="82"/>
  <c r="V23" i="82" s="1"/>
  <c r="Q24" i="82"/>
  <c r="U23" i="82" s="1"/>
  <c r="P24" i="82"/>
  <c r="T23" i="82" s="1"/>
  <c r="C24" i="82"/>
  <c r="S23" i="82"/>
  <c r="R23" i="82"/>
  <c r="Q23" i="82"/>
  <c r="P23" i="82"/>
  <c r="C23" i="82"/>
  <c r="R22" i="82"/>
  <c r="Q22" i="82"/>
  <c r="U21" i="82" s="1"/>
  <c r="P22" i="82"/>
  <c r="T21" i="82" s="1"/>
  <c r="C22" i="82"/>
  <c r="V21" i="82"/>
  <c r="S21" i="82"/>
  <c r="R21" i="82"/>
  <c r="Q21" i="82"/>
  <c r="P21" i="82"/>
  <c r="C21" i="82"/>
  <c r="R20" i="82"/>
  <c r="Q20" i="82"/>
  <c r="P20" i="82"/>
  <c r="C20" i="82"/>
  <c r="S19" i="82"/>
  <c r="R19" i="82"/>
  <c r="Q19" i="82"/>
  <c r="P19" i="82"/>
  <c r="C19" i="82"/>
  <c r="R18" i="82"/>
  <c r="Q18" i="82"/>
  <c r="P18" i="82"/>
  <c r="C18" i="82"/>
  <c r="S17" i="82"/>
  <c r="R17" i="82"/>
  <c r="V17" i="82" s="1"/>
  <c r="Q17" i="82"/>
  <c r="P17" i="82"/>
  <c r="C17" i="82"/>
  <c r="R16" i="82"/>
  <c r="V15" i="82" s="1"/>
  <c r="P16" i="82"/>
  <c r="C16" i="82"/>
  <c r="Q16" i="82" s="1"/>
  <c r="S15" i="82"/>
  <c r="R15" i="82"/>
  <c r="Q15" i="82"/>
  <c r="P15" i="82"/>
  <c r="C15" i="82"/>
  <c r="R14" i="82"/>
  <c r="V13" i="82" s="1"/>
  <c r="P14" i="82"/>
  <c r="T13" i="82" s="1"/>
  <c r="C14" i="82"/>
  <c r="Q14" i="82" s="1"/>
  <c r="S13" i="82"/>
  <c r="R13" i="82"/>
  <c r="Q13" i="82"/>
  <c r="P13" i="82"/>
  <c r="C13" i="82"/>
  <c r="R12" i="82"/>
  <c r="P12" i="82"/>
  <c r="C12" i="82"/>
  <c r="Q12" i="82" s="1"/>
  <c r="S11" i="82"/>
  <c r="R11" i="82"/>
  <c r="V11" i="82" s="1"/>
  <c r="Q11" i="82"/>
  <c r="P11" i="82"/>
  <c r="T11" i="82" s="1"/>
  <c r="C11" i="82"/>
  <c r="R10" i="82"/>
  <c r="P10" i="82"/>
  <c r="C10" i="82"/>
  <c r="Q10" i="82" s="1"/>
  <c r="S9" i="82"/>
  <c r="R9" i="82"/>
  <c r="V9" i="82" s="1"/>
  <c r="Q9" i="82"/>
  <c r="P9" i="82"/>
  <c r="T9" i="82" s="1"/>
  <c r="C9" i="82"/>
  <c r="R8" i="82"/>
  <c r="V7" i="82" s="1"/>
  <c r="P8" i="82"/>
  <c r="T7" i="82" s="1"/>
  <c r="C8" i="82"/>
  <c r="Q8" i="82" s="1"/>
  <c r="S7" i="82"/>
  <c r="R7" i="82"/>
  <c r="Q7" i="82"/>
  <c r="P7" i="82"/>
  <c r="C7" i="82"/>
  <c r="R6" i="82"/>
  <c r="P6" i="82"/>
  <c r="T5" i="82" s="1"/>
  <c r="C6" i="82"/>
  <c r="Q6" i="82" s="1"/>
  <c r="U5" i="82" s="1"/>
  <c r="V5" i="82"/>
  <c r="S5" i="82"/>
  <c r="R5" i="82"/>
  <c r="Q5" i="82"/>
  <c r="P5" i="82"/>
  <c r="C5" i="82"/>
  <c r="R4" i="82"/>
  <c r="Q4" i="82"/>
  <c r="P4" i="82"/>
  <c r="C4" i="82"/>
  <c r="S3" i="82"/>
  <c r="R3" i="82"/>
  <c r="Q3" i="82"/>
  <c r="P3" i="82"/>
  <c r="C3" i="82"/>
  <c r="N7" i="79"/>
  <c r="N37" i="79"/>
  <c r="Q105" i="79"/>
  <c r="P105" i="79"/>
  <c r="O105" i="79"/>
  <c r="N105" i="79"/>
  <c r="Q103" i="79"/>
  <c r="P103" i="79"/>
  <c r="O103" i="79"/>
  <c r="N103" i="79"/>
  <c r="Q101" i="79"/>
  <c r="P101" i="79"/>
  <c r="O101" i="79"/>
  <c r="N101" i="79"/>
  <c r="Q99" i="79"/>
  <c r="P99" i="79"/>
  <c r="O99" i="79"/>
  <c r="N99" i="79"/>
  <c r="Q97" i="79"/>
  <c r="P97" i="79"/>
  <c r="O97" i="79"/>
  <c r="N97" i="79"/>
  <c r="Q95" i="79"/>
  <c r="P95" i="79"/>
  <c r="O95" i="79"/>
  <c r="N95" i="79"/>
  <c r="Q93" i="79"/>
  <c r="P93" i="79"/>
  <c r="O93" i="79"/>
  <c r="N93" i="79"/>
  <c r="Q91" i="79"/>
  <c r="P91" i="79"/>
  <c r="O91" i="79"/>
  <c r="N91" i="79"/>
  <c r="Q89" i="79"/>
  <c r="P89" i="79"/>
  <c r="O89" i="79"/>
  <c r="N89" i="79"/>
  <c r="Q87" i="79"/>
  <c r="P87" i="79"/>
  <c r="O87" i="79"/>
  <c r="N87" i="79"/>
  <c r="Q85" i="79"/>
  <c r="P85" i="79"/>
  <c r="O85" i="79"/>
  <c r="N85" i="79"/>
  <c r="Q83" i="79"/>
  <c r="P83" i="79"/>
  <c r="O83" i="79"/>
  <c r="N83" i="79"/>
  <c r="Q81" i="79"/>
  <c r="P81" i="79"/>
  <c r="O81" i="79"/>
  <c r="N81" i="79"/>
  <c r="Q79" i="79"/>
  <c r="P79" i="79"/>
  <c r="O79" i="79"/>
  <c r="N79" i="79"/>
  <c r="Q77" i="79"/>
  <c r="P77" i="79"/>
  <c r="O77" i="79"/>
  <c r="N77" i="79"/>
  <c r="Q75" i="79"/>
  <c r="P75" i="79"/>
  <c r="O75" i="79"/>
  <c r="N75" i="79"/>
  <c r="Q73" i="79"/>
  <c r="P73" i="79"/>
  <c r="O73" i="79"/>
  <c r="N73" i="79"/>
  <c r="Q71" i="79"/>
  <c r="P71" i="79"/>
  <c r="O71" i="79"/>
  <c r="N71" i="79"/>
  <c r="Q69" i="79"/>
  <c r="P69" i="79"/>
  <c r="O69" i="79"/>
  <c r="N69" i="79"/>
  <c r="Q67" i="79"/>
  <c r="P67" i="79"/>
  <c r="O67" i="79"/>
  <c r="N67" i="79"/>
  <c r="Q65" i="79"/>
  <c r="P65" i="79"/>
  <c r="O65" i="79"/>
  <c r="N65" i="79"/>
  <c r="Q63" i="79"/>
  <c r="P63" i="79"/>
  <c r="O63" i="79"/>
  <c r="N63" i="79"/>
  <c r="Q61" i="79"/>
  <c r="P61" i="79"/>
  <c r="O61" i="79"/>
  <c r="N61" i="79"/>
  <c r="Q59" i="79"/>
  <c r="P59" i="79"/>
  <c r="O59" i="79"/>
  <c r="N59" i="79"/>
  <c r="Q57" i="79"/>
  <c r="P57" i="79"/>
  <c r="O57" i="79"/>
  <c r="N57" i="79"/>
  <c r="Q55" i="79"/>
  <c r="P55" i="79"/>
  <c r="O55" i="79"/>
  <c r="N55" i="79"/>
  <c r="Q53" i="79"/>
  <c r="P53" i="79"/>
  <c r="O53" i="79"/>
  <c r="N53" i="79"/>
  <c r="Q51" i="79"/>
  <c r="P51" i="79"/>
  <c r="O51" i="79"/>
  <c r="N51" i="79"/>
  <c r="Q49" i="79"/>
  <c r="P49" i="79"/>
  <c r="O49" i="79"/>
  <c r="N49" i="79"/>
  <c r="Q47" i="79"/>
  <c r="P47" i="79"/>
  <c r="O47" i="79"/>
  <c r="N47" i="79"/>
  <c r="Q45" i="79"/>
  <c r="P45" i="79"/>
  <c r="O45" i="79"/>
  <c r="N45" i="79"/>
  <c r="Q43" i="79"/>
  <c r="P43" i="79"/>
  <c r="O43" i="79"/>
  <c r="N43" i="79"/>
  <c r="Q41" i="79"/>
  <c r="P41" i="79"/>
  <c r="O41" i="79"/>
  <c r="N41" i="79"/>
  <c r="Q39" i="79"/>
  <c r="P39" i="79"/>
  <c r="O39" i="79"/>
  <c r="N39" i="79"/>
  <c r="Q37" i="79"/>
  <c r="P37" i="79"/>
  <c r="O37" i="79"/>
  <c r="Q35" i="79"/>
  <c r="P35" i="79"/>
  <c r="O35" i="79"/>
  <c r="N35" i="79"/>
  <c r="Q33" i="79"/>
  <c r="P33" i="79"/>
  <c r="O33" i="79"/>
  <c r="N33" i="79"/>
  <c r="Q31" i="79"/>
  <c r="P31" i="79"/>
  <c r="O31" i="79"/>
  <c r="N31" i="79"/>
  <c r="Q29" i="79"/>
  <c r="P29" i="79"/>
  <c r="O29" i="79"/>
  <c r="N29" i="79"/>
  <c r="Q27" i="79"/>
  <c r="P27" i="79"/>
  <c r="O27" i="79"/>
  <c r="N27" i="79"/>
  <c r="Q25" i="79"/>
  <c r="P25" i="79"/>
  <c r="O25" i="79"/>
  <c r="N25" i="79"/>
  <c r="Q23" i="79"/>
  <c r="P23" i="79"/>
  <c r="O23" i="79"/>
  <c r="N23" i="79"/>
  <c r="Q21" i="79"/>
  <c r="P21" i="79"/>
  <c r="O21" i="79"/>
  <c r="N21" i="79"/>
  <c r="Q19" i="79"/>
  <c r="P19" i="79"/>
  <c r="O19" i="79"/>
  <c r="N19" i="79"/>
  <c r="Q17" i="79"/>
  <c r="P17" i="79"/>
  <c r="O17" i="79"/>
  <c r="N17" i="79"/>
  <c r="Q15" i="79"/>
  <c r="P15" i="79"/>
  <c r="O15" i="79"/>
  <c r="N15" i="79"/>
  <c r="Q13" i="79"/>
  <c r="P13" i="79"/>
  <c r="O13" i="79"/>
  <c r="N13" i="79"/>
  <c r="Q11" i="79"/>
  <c r="P11" i="79"/>
  <c r="O11" i="79"/>
  <c r="N11" i="79"/>
  <c r="Q9" i="79"/>
  <c r="P9" i="79"/>
  <c r="O9" i="79"/>
  <c r="N9" i="79"/>
  <c r="Q7" i="79"/>
  <c r="P7" i="79"/>
  <c r="O7" i="79"/>
  <c r="Q5" i="79"/>
  <c r="P5" i="79"/>
  <c r="O5" i="79"/>
  <c r="N5" i="79"/>
  <c r="Q3" i="79"/>
  <c r="P3" i="79"/>
  <c r="O3" i="79"/>
  <c r="N3" i="79"/>
  <c r="Q105" i="78"/>
  <c r="P105" i="78"/>
  <c r="O105" i="78"/>
  <c r="N105" i="78"/>
  <c r="Q103" i="78"/>
  <c r="P103" i="78"/>
  <c r="O103" i="78"/>
  <c r="N103" i="78"/>
  <c r="Q101" i="78"/>
  <c r="P101" i="78"/>
  <c r="O101" i="78"/>
  <c r="N101" i="78"/>
  <c r="Q99" i="78"/>
  <c r="P99" i="78"/>
  <c r="O99" i="78"/>
  <c r="N99" i="78"/>
  <c r="Q97" i="78"/>
  <c r="P97" i="78"/>
  <c r="O97" i="78"/>
  <c r="N97" i="78"/>
  <c r="Q95" i="78"/>
  <c r="P95" i="78"/>
  <c r="O95" i="78"/>
  <c r="N95" i="78"/>
  <c r="Q93" i="78"/>
  <c r="P93" i="78"/>
  <c r="O93" i="78"/>
  <c r="N93" i="78"/>
  <c r="Q91" i="78"/>
  <c r="P91" i="78"/>
  <c r="O91" i="78"/>
  <c r="N91" i="78"/>
  <c r="Q89" i="78"/>
  <c r="P89" i="78"/>
  <c r="O89" i="78"/>
  <c r="N89" i="78"/>
  <c r="Q87" i="78"/>
  <c r="P87" i="78"/>
  <c r="O87" i="78"/>
  <c r="N87" i="78"/>
  <c r="Q85" i="78"/>
  <c r="P85" i="78"/>
  <c r="O85" i="78"/>
  <c r="N85" i="78"/>
  <c r="Q83" i="78"/>
  <c r="P83" i="78"/>
  <c r="O83" i="78"/>
  <c r="N83" i="78"/>
  <c r="Q81" i="78"/>
  <c r="P81" i="78"/>
  <c r="O81" i="78"/>
  <c r="N81" i="78"/>
  <c r="Q79" i="78"/>
  <c r="P79" i="78"/>
  <c r="O79" i="78"/>
  <c r="N79" i="78"/>
  <c r="Q77" i="78"/>
  <c r="P77" i="78"/>
  <c r="O77" i="78"/>
  <c r="N77" i="78"/>
  <c r="Q75" i="78"/>
  <c r="P75" i="78"/>
  <c r="O75" i="78"/>
  <c r="N75" i="78"/>
  <c r="Q73" i="78"/>
  <c r="P73" i="78"/>
  <c r="O73" i="78"/>
  <c r="N73" i="78"/>
  <c r="Q71" i="78"/>
  <c r="P71" i="78"/>
  <c r="O71" i="78"/>
  <c r="N71" i="78"/>
  <c r="Q69" i="78"/>
  <c r="P69" i="78"/>
  <c r="O69" i="78"/>
  <c r="N69" i="78"/>
  <c r="Q67" i="78"/>
  <c r="P67" i="78"/>
  <c r="O67" i="78"/>
  <c r="N67" i="78"/>
  <c r="Q65" i="78"/>
  <c r="P65" i="78"/>
  <c r="O65" i="78"/>
  <c r="N65" i="78"/>
  <c r="Q63" i="78"/>
  <c r="P63" i="78"/>
  <c r="O63" i="78"/>
  <c r="N63" i="78"/>
  <c r="Q61" i="78"/>
  <c r="P61" i="78"/>
  <c r="O61" i="78"/>
  <c r="N61" i="78"/>
  <c r="Q59" i="78"/>
  <c r="P59" i="78"/>
  <c r="O59" i="78"/>
  <c r="N59" i="78"/>
  <c r="Q57" i="78"/>
  <c r="P57" i="78"/>
  <c r="O57" i="78"/>
  <c r="N57" i="78"/>
  <c r="Q55" i="78"/>
  <c r="P55" i="78"/>
  <c r="O55" i="78"/>
  <c r="N55" i="78"/>
  <c r="Q53" i="78"/>
  <c r="P53" i="78"/>
  <c r="O53" i="78"/>
  <c r="N53" i="78"/>
  <c r="Q51" i="78"/>
  <c r="P51" i="78"/>
  <c r="O51" i="78"/>
  <c r="N51" i="78"/>
  <c r="Q49" i="78"/>
  <c r="P49" i="78"/>
  <c r="O49" i="78"/>
  <c r="N49" i="78"/>
  <c r="Q47" i="78"/>
  <c r="P47" i="78"/>
  <c r="O47" i="78"/>
  <c r="N47" i="78"/>
  <c r="Q45" i="78"/>
  <c r="P45" i="78"/>
  <c r="O45" i="78"/>
  <c r="N45" i="78"/>
  <c r="Q43" i="78"/>
  <c r="P43" i="78"/>
  <c r="O43" i="78"/>
  <c r="N43" i="78"/>
  <c r="Q41" i="78"/>
  <c r="P41" i="78"/>
  <c r="O41" i="78"/>
  <c r="N41" i="78"/>
  <c r="Q39" i="78"/>
  <c r="P39" i="78"/>
  <c r="O39" i="78"/>
  <c r="N39" i="78"/>
  <c r="Q37" i="78"/>
  <c r="P37" i="78"/>
  <c r="O37" i="78"/>
  <c r="N37" i="78"/>
  <c r="Q35" i="78"/>
  <c r="P35" i="78"/>
  <c r="O35" i="78"/>
  <c r="N35" i="78"/>
  <c r="Q33" i="78"/>
  <c r="P33" i="78"/>
  <c r="O33" i="78"/>
  <c r="N33" i="78"/>
  <c r="Q31" i="78"/>
  <c r="P31" i="78"/>
  <c r="O31" i="78"/>
  <c r="N31" i="78"/>
  <c r="Q29" i="78"/>
  <c r="P29" i="78"/>
  <c r="O29" i="78"/>
  <c r="N29" i="78"/>
  <c r="Q27" i="78"/>
  <c r="P27" i="78"/>
  <c r="O27" i="78"/>
  <c r="N27" i="78"/>
  <c r="Q25" i="78"/>
  <c r="P25" i="78"/>
  <c r="O25" i="78"/>
  <c r="N25" i="78"/>
  <c r="Q23" i="78"/>
  <c r="P23" i="78"/>
  <c r="O23" i="78"/>
  <c r="N23" i="78"/>
  <c r="Q21" i="78"/>
  <c r="P21" i="78"/>
  <c r="O21" i="78"/>
  <c r="N21" i="78"/>
  <c r="Q19" i="78"/>
  <c r="P19" i="78"/>
  <c r="O19" i="78"/>
  <c r="N19" i="78"/>
  <c r="Q17" i="78"/>
  <c r="P17" i="78"/>
  <c r="O17" i="78"/>
  <c r="N17" i="78"/>
  <c r="Q15" i="78"/>
  <c r="P15" i="78"/>
  <c r="O15" i="78"/>
  <c r="N15" i="78"/>
  <c r="Q13" i="78"/>
  <c r="P13" i="78"/>
  <c r="O13" i="78"/>
  <c r="N13" i="78"/>
  <c r="Q11" i="78"/>
  <c r="P11" i="78"/>
  <c r="O11" i="78"/>
  <c r="N11" i="78"/>
  <c r="Q9" i="78"/>
  <c r="P9" i="78"/>
  <c r="O9" i="78"/>
  <c r="N9" i="78"/>
  <c r="Q7" i="78"/>
  <c r="P7" i="78"/>
  <c r="O7" i="78"/>
  <c r="N7" i="78"/>
  <c r="Q5" i="78"/>
  <c r="P5" i="78"/>
  <c r="O5" i="78"/>
  <c r="N5" i="78"/>
  <c r="Q3" i="78"/>
  <c r="P3" i="78"/>
  <c r="O3" i="78"/>
  <c r="N3" i="78"/>
  <c r="U51" i="82" l="1"/>
  <c r="T51" i="82"/>
  <c r="U3" i="82"/>
  <c r="V3" i="82"/>
  <c r="T3" i="82"/>
  <c r="T71" i="83"/>
  <c r="V55" i="82"/>
  <c r="T65" i="82"/>
  <c r="T73" i="82"/>
  <c r="U97" i="82"/>
  <c r="U59" i="82"/>
  <c r="T89" i="82"/>
  <c r="T97" i="82"/>
  <c r="T59" i="82"/>
  <c r="V89" i="82"/>
  <c r="V97" i="82"/>
  <c r="V65" i="82"/>
  <c r="V73" i="82"/>
  <c r="T87" i="82"/>
  <c r="T95" i="82"/>
  <c r="U73" i="82"/>
  <c r="U87" i="82"/>
  <c r="U63" i="82"/>
  <c r="U71" i="82"/>
  <c r="V91" i="82"/>
  <c r="T101" i="82"/>
  <c r="U95" i="82"/>
  <c r="T63" i="82"/>
  <c r="T71" i="82"/>
  <c r="U85" i="82"/>
  <c r="V101" i="82"/>
  <c r="T19" i="82"/>
  <c r="V37" i="82"/>
  <c r="U19" i="82"/>
  <c r="T27" i="82"/>
  <c r="T35" i="82"/>
  <c r="V29" i="82"/>
  <c r="V19" i="82"/>
  <c r="U27" i="82"/>
  <c r="U35" i="82"/>
  <c r="V35" i="82"/>
  <c r="U15" i="82"/>
  <c r="U25" i="82"/>
  <c r="U33" i="82"/>
  <c r="V41" i="82"/>
  <c r="V49" i="82"/>
  <c r="T17" i="82"/>
  <c r="V27" i="82"/>
  <c r="U49" i="82"/>
  <c r="U17" i="82"/>
  <c r="T25" i="82"/>
  <c r="T33" i="82"/>
  <c r="T41" i="82"/>
  <c r="T15" i="82"/>
  <c r="V25" i="82"/>
  <c r="V33" i="82"/>
  <c r="V43" i="83"/>
  <c r="T51" i="83"/>
  <c r="T99" i="83"/>
  <c r="U15" i="83"/>
  <c r="U9" i="83"/>
  <c r="V9" i="83"/>
  <c r="T47" i="83"/>
  <c r="U3" i="83"/>
  <c r="V3" i="83"/>
  <c r="T75" i="83"/>
  <c r="V41" i="83"/>
  <c r="R29" i="83"/>
  <c r="V29" i="83" s="1"/>
  <c r="Q29" i="83"/>
  <c r="Q45" i="83"/>
  <c r="U45" i="83" s="1"/>
  <c r="R59" i="83"/>
  <c r="V59" i="83" s="1"/>
  <c r="Q59" i="83"/>
  <c r="U59" i="83" s="1"/>
  <c r="R83" i="83"/>
  <c r="V83" i="83" s="1"/>
  <c r="Q83" i="83"/>
  <c r="U83" i="83" s="1"/>
  <c r="P5" i="83"/>
  <c r="T5" i="83" s="1"/>
  <c r="T7" i="83"/>
  <c r="P11" i="83"/>
  <c r="T11" i="83" s="1"/>
  <c r="T13" i="83"/>
  <c r="P17" i="83"/>
  <c r="T19" i="83"/>
  <c r="P23" i="83"/>
  <c r="T25" i="83"/>
  <c r="P29" i="83"/>
  <c r="T29" i="83" s="1"/>
  <c r="T35" i="83"/>
  <c r="R49" i="83"/>
  <c r="V49" i="83" s="1"/>
  <c r="Q49" i="83"/>
  <c r="U49" i="83" s="1"/>
  <c r="P59" i="83"/>
  <c r="T59" i="83" s="1"/>
  <c r="T65" i="83"/>
  <c r="R73" i="83"/>
  <c r="V73" i="83" s="1"/>
  <c r="Q73" i="83"/>
  <c r="U73" i="83" s="1"/>
  <c r="P83" i="83"/>
  <c r="T83" i="83" s="1"/>
  <c r="T89" i="83"/>
  <c r="R97" i="83"/>
  <c r="V97" i="83" s="1"/>
  <c r="Q97" i="83"/>
  <c r="U97" i="83" s="1"/>
  <c r="Q5" i="83"/>
  <c r="U5" i="83" s="1"/>
  <c r="U7" i="83"/>
  <c r="Q11" i="83"/>
  <c r="U11" i="83" s="1"/>
  <c r="U13" i="83"/>
  <c r="Q17" i="83"/>
  <c r="U17" i="83" s="1"/>
  <c r="U19" i="83"/>
  <c r="Q23" i="83"/>
  <c r="U23" i="83" s="1"/>
  <c r="U25" i="83"/>
  <c r="R33" i="83"/>
  <c r="V33" i="83" s="1"/>
  <c r="Q33" i="83"/>
  <c r="U33" i="83" s="1"/>
  <c r="P49" i="83"/>
  <c r="R63" i="83"/>
  <c r="V63" i="83" s="1"/>
  <c r="Q63" i="83"/>
  <c r="U63" i="83" s="1"/>
  <c r="P73" i="83"/>
  <c r="T73" i="83" s="1"/>
  <c r="R87" i="83"/>
  <c r="V87" i="83" s="1"/>
  <c r="Q87" i="83"/>
  <c r="U87" i="83" s="1"/>
  <c r="P97" i="83"/>
  <c r="T97" i="83" s="1"/>
  <c r="V7" i="83"/>
  <c r="V13" i="83"/>
  <c r="V19" i="83"/>
  <c r="V25" i="83"/>
  <c r="P33" i="83"/>
  <c r="T33" i="83" s="1"/>
  <c r="T39" i="83"/>
  <c r="P43" i="83"/>
  <c r="T43" i="83" s="1"/>
  <c r="R53" i="83"/>
  <c r="Q53" i="83"/>
  <c r="U53" i="83" s="1"/>
  <c r="P63" i="83"/>
  <c r="T63" i="83" s="1"/>
  <c r="T69" i="83"/>
  <c r="R77" i="83"/>
  <c r="V77" i="83" s="1"/>
  <c r="Q77" i="83"/>
  <c r="P87" i="83"/>
  <c r="T87" i="83" s="1"/>
  <c r="T93" i="83"/>
  <c r="Q101" i="83"/>
  <c r="R101" i="83"/>
  <c r="V101" i="83" s="1"/>
  <c r="R37" i="83"/>
  <c r="Q37" i="83"/>
  <c r="Q43" i="83"/>
  <c r="U43" i="83" s="1"/>
  <c r="P53" i="83"/>
  <c r="T53" i="83" s="1"/>
  <c r="R67" i="83"/>
  <c r="V67" i="83" s="1"/>
  <c r="Q67" i="83"/>
  <c r="U67" i="83" s="1"/>
  <c r="P77" i="83"/>
  <c r="T77" i="83" s="1"/>
  <c r="R91" i="83"/>
  <c r="V91" i="83" s="1"/>
  <c r="Q91" i="83"/>
  <c r="U91" i="83" s="1"/>
  <c r="P101" i="83"/>
  <c r="T101" i="83" s="1"/>
  <c r="V45" i="83"/>
  <c r="R81" i="83"/>
  <c r="V81" i="83" s="1"/>
  <c r="Q81" i="83"/>
  <c r="U81" i="83" s="1"/>
  <c r="R105" i="83"/>
  <c r="Q105" i="83"/>
  <c r="U105" i="83" s="1"/>
  <c r="T17" i="83"/>
  <c r="T23" i="83"/>
  <c r="U29" i="83"/>
  <c r="V39" i="83"/>
  <c r="T49" i="83"/>
  <c r="R57" i="83"/>
  <c r="V57" i="83" s="1"/>
  <c r="Q57" i="83"/>
  <c r="U57" i="83" s="1"/>
  <c r="R47" i="83"/>
  <c r="V47" i="83" s="1"/>
  <c r="Q47" i="83"/>
  <c r="U47" i="83" s="1"/>
  <c r="P57" i="83"/>
  <c r="T57" i="83" s="1"/>
  <c r="R71" i="83"/>
  <c r="V71" i="83" s="1"/>
  <c r="Q71" i="83"/>
  <c r="U71" i="83" s="1"/>
  <c r="P81" i="83"/>
  <c r="T81" i="83" s="1"/>
  <c r="R95" i="83"/>
  <c r="V95" i="83" s="1"/>
  <c r="Q95" i="83"/>
  <c r="U95" i="83" s="1"/>
  <c r="P105" i="83"/>
  <c r="V5" i="83"/>
  <c r="V11" i="83"/>
  <c r="V17" i="83"/>
  <c r="V23" i="83"/>
  <c r="R31" i="83"/>
  <c r="V31" i="83" s="1"/>
  <c r="Q31" i="83"/>
  <c r="U31" i="83" s="1"/>
  <c r="R61" i="83"/>
  <c r="V61" i="83" s="1"/>
  <c r="Q61" i="83"/>
  <c r="U61" i="83" s="1"/>
  <c r="R85" i="83"/>
  <c r="V85" i="83" s="1"/>
  <c r="Q85" i="83"/>
  <c r="U85" i="83" s="1"/>
  <c r="P31" i="83"/>
  <c r="T31" i="83" s="1"/>
  <c r="T37" i="83"/>
  <c r="Q41" i="83"/>
  <c r="U41" i="83" s="1"/>
  <c r="R51" i="83"/>
  <c r="Q51" i="83"/>
  <c r="U51" i="83" s="1"/>
  <c r="P61" i="83"/>
  <c r="T61" i="83" s="1"/>
  <c r="T67" i="83"/>
  <c r="R75" i="83"/>
  <c r="V75" i="83" s="1"/>
  <c r="Q75" i="83"/>
  <c r="U75" i="83" s="1"/>
  <c r="U77" i="83"/>
  <c r="P85" i="83"/>
  <c r="T85" i="83" s="1"/>
  <c r="T91" i="83"/>
  <c r="Q99" i="83"/>
  <c r="U99" i="83" s="1"/>
  <c r="R99" i="83"/>
  <c r="V99" i="83" s="1"/>
  <c r="U101" i="83"/>
  <c r="T3" i="83"/>
  <c r="T9" i="83"/>
  <c r="T15" i="83"/>
  <c r="T21" i="83"/>
  <c r="T27" i="83"/>
  <c r="R35" i="83"/>
  <c r="V35" i="83" s="1"/>
  <c r="Q35" i="83"/>
  <c r="U35" i="83" s="1"/>
  <c r="U37" i="83"/>
  <c r="R65" i="83"/>
  <c r="V65" i="83" s="1"/>
  <c r="Q65" i="83"/>
  <c r="U65" i="83" s="1"/>
  <c r="R89" i="83"/>
  <c r="V89" i="83" s="1"/>
  <c r="Q89" i="83"/>
  <c r="U89" i="83" s="1"/>
  <c r="T105" i="83"/>
  <c r="R79" i="83"/>
  <c r="V79" i="83" s="1"/>
  <c r="Q79" i="83"/>
  <c r="U79" i="83" s="1"/>
  <c r="Q103" i="83"/>
  <c r="U103" i="83" s="1"/>
  <c r="R103" i="83"/>
  <c r="V37" i="83"/>
  <c r="R55" i="83"/>
  <c r="V55" i="83" s="1"/>
  <c r="Q55" i="83"/>
  <c r="U55" i="83" s="1"/>
  <c r="R39" i="83"/>
  <c r="Q39" i="83"/>
  <c r="U39" i="83" s="1"/>
  <c r="T41" i="83"/>
  <c r="P45" i="83"/>
  <c r="T45" i="83" s="1"/>
  <c r="P55" i="83"/>
  <c r="T55" i="83" s="1"/>
  <c r="R69" i="83"/>
  <c r="V69" i="83" s="1"/>
  <c r="Q69" i="83"/>
  <c r="U69" i="83" s="1"/>
  <c r="P79" i="83"/>
  <c r="T79" i="83" s="1"/>
  <c r="R93" i="83"/>
  <c r="V93" i="83" s="1"/>
  <c r="Q93" i="83"/>
  <c r="U93" i="83" s="1"/>
  <c r="P103" i="83"/>
  <c r="T103" i="83" s="1"/>
  <c r="U13" i="82"/>
  <c r="U11" i="82"/>
  <c r="U45" i="82"/>
  <c r="U57" i="82"/>
  <c r="U69" i="82"/>
  <c r="U81" i="82"/>
  <c r="U93" i="82"/>
  <c r="U103" i="82"/>
  <c r="U9" i="82"/>
  <c r="U43" i="82"/>
  <c r="U55" i="82"/>
  <c r="U67" i="82"/>
  <c r="U79" i="82"/>
  <c r="U91" i="82"/>
  <c r="V103" i="82"/>
  <c r="U7" i="82"/>
  <c r="U41" i="82"/>
  <c r="U53" i="82"/>
  <c r="U65" i="82"/>
  <c r="U77" i="82"/>
  <c r="U89" i="82"/>
  <c r="U101" i="82"/>
  <c r="V105" i="82"/>
  <c r="P106" i="82"/>
  <c r="T105" i="82" s="1"/>
  <c r="Q106" i="82"/>
  <c r="U105" i="82" s="1"/>
  <c r="V105" i="83" l="1"/>
  <c r="V103" i="83"/>
  <c r="V53" i="83"/>
  <c r="V51" i="83"/>
  <c r="C21" i="69" l="1"/>
  <c r="C70" i="69" l="1"/>
  <c r="C63" i="69"/>
  <c r="C42" i="69"/>
  <c r="C35" i="69"/>
  <c r="C7" i="69" l="1"/>
  <c r="J27" i="70" l="1"/>
  <c r="J15" i="70"/>
  <c r="H30" i="70"/>
  <c r="H27" i="70"/>
  <c r="J7" i="70"/>
  <c r="H9" i="70"/>
  <c r="J6" i="70"/>
  <c r="J18" i="70"/>
  <c r="J25" i="70"/>
  <c r="J11" i="70"/>
  <c r="J19" i="70"/>
  <c r="J5" i="70"/>
  <c r="J28" i="70"/>
  <c r="J26" i="70"/>
  <c r="H5" i="70"/>
  <c r="H13" i="70"/>
  <c r="H22" i="70"/>
  <c r="J21" i="70"/>
  <c r="J30" i="70"/>
  <c r="H17" i="70"/>
  <c r="H6" i="70"/>
  <c r="H8" i="70"/>
  <c r="H24" i="70"/>
  <c r="J8" i="70"/>
  <c r="J24" i="70"/>
  <c r="H7" i="70"/>
  <c r="J20" i="70"/>
  <c r="H28" i="70"/>
  <c r="H14" i="70"/>
  <c r="J22" i="70"/>
  <c r="H11" i="70"/>
  <c r="H20" i="70"/>
  <c r="H12" i="70"/>
  <c r="J9" i="70"/>
  <c r="H25" i="70"/>
  <c r="H16" i="70"/>
  <c r="H26" i="70"/>
  <c r="H19" i="70"/>
  <c r="J10" i="70"/>
  <c r="H15" i="70"/>
  <c r="J23" i="70"/>
  <c r="H10" i="70"/>
  <c r="J12" i="70"/>
  <c r="H29" i="70"/>
  <c r="J13" i="70"/>
  <c r="H18" i="70"/>
  <c r="H23" i="70"/>
  <c r="J29" i="70"/>
  <c r="J16" i="70"/>
  <c r="H21" i="70"/>
  <c r="J14" i="70"/>
  <c r="J17" i="70"/>
  <c r="G24" i="60" a="1"/>
  <c r="I11" i="77" a="1"/>
  <c r="N15" i="65" a="1"/>
  <c r="H19" i="76" a="1"/>
  <c r="D25" i="76" a="1"/>
  <c r="M18" i="60" a="1"/>
  <c r="O14" i="65" a="1"/>
  <c r="N6" i="72" a="1"/>
  <c r="I15" i="65" a="1"/>
  <c r="E26" i="76" a="1"/>
  <c r="O5" i="65" a="1"/>
  <c r="K7" i="60" a="1"/>
  <c r="S6" i="77" a="1"/>
  <c r="U7" i="73" a="1"/>
  <c r="T8" i="72" a="1"/>
  <c r="P22" i="76" a="1"/>
  <c r="H10" i="72" a="1"/>
  <c r="H14" i="65" a="1"/>
  <c r="P17" i="65" a="1"/>
  <c r="F19" i="60" a="1"/>
  <c r="P22" i="73" a="1"/>
  <c r="G19" i="60" a="1"/>
  <c r="F22" i="60" a="1"/>
  <c r="I29" i="76" a="1"/>
  <c r="U7" i="76" a="1"/>
  <c r="I6" i="65" a="1"/>
  <c r="E9" i="65" a="1"/>
  <c r="J6" i="73" a="1"/>
  <c r="C9" i="76" a="1"/>
  <c r="I20" i="77" a="1"/>
  <c r="I19" i="76" a="1"/>
  <c r="H22" i="76" a="1"/>
  <c r="C25" i="77" a="1"/>
  <c r="O19" i="65" a="1"/>
  <c r="I6" i="72" a="1"/>
  <c r="H8" i="73" a="1"/>
  <c r="I21" i="76" a="1"/>
  <c r="S20" i="76" a="1"/>
  <c r="S17" i="73" a="1"/>
  <c r="C24" i="72" a="1"/>
  <c r="H22" i="65" a="1"/>
  <c r="J28" i="77" a="1"/>
  <c r="N19" i="76" a="1"/>
  <c r="O12" i="60" a="1"/>
  <c r="H23" i="72" a="1"/>
  <c r="D20" i="76" a="1"/>
  <c r="O10" i="73" a="1"/>
  <c r="H20" i="60" a="1"/>
  <c r="C10" i="72" a="1"/>
  <c r="S10" i="77" a="1"/>
  <c r="I28" i="65" a="1"/>
  <c r="S9" i="76" a="1"/>
  <c r="T12" i="77" a="1"/>
  <c r="J20" i="60" a="1"/>
  <c r="T9" i="72" a="1"/>
  <c r="O23" i="77" a="1"/>
  <c r="U14" i="65" a="1"/>
  <c r="N27" i="73" a="1"/>
  <c r="J9" i="60" a="1"/>
  <c r="D20" i="60" a="1"/>
  <c r="O27" i="65" a="1"/>
  <c r="S24" i="73" a="1"/>
  <c r="C5" i="60" a="1"/>
  <c r="O16" i="72" a="1"/>
  <c r="E30" i="60" a="1"/>
  <c r="C12" i="72" a="1"/>
  <c r="H8" i="60" a="1"/>
  <c r="G12" i="60" a="1"/>
  <c r="F6" i="60" a="1"/>
  <c r="I26" i="76" a="1"/>
  <c r="N10" i="65" a="1"/>
  <c r="H26" i="65" a="1"/>
  <c r="S11" i="72" a="1"/>
  <c r="C25" i="72" a="1"/>
  <c r="N17" i="77" a="1"/>
  <c r="C30" i="76" a="1"/>
  <c r="P5" i="77" a="1"/>
  <c r="T7" i="77" a="1"/>
  <c r="D18" i="73" a="1"/>
  <c r="E16" i="77" a="1"/>
  <c r="O9" i="60" a="1"/>
  <c r="U29" i="77" a="1"/>
  <c r="C21" i="65" a="1"/>
  <c r="J23" i="72" a="1"/>
  <c r="E5" i="73" a="1"/>
  <c r="C6" i="77" a="1"/>
  <c r="S14" i="72" a="1"/>
  <c r="O24" i="65" a="1"/>
  <c r="C27" i="60" a="1"/>
  <c r="U24" i="73" a="1"/>
  <c r="E9" i="76" a="1"/>
  <c r="G14" i="60" a="1"/>
  <c r="E27" i="72" a="1"/>
  <c r="J8" i="65" a="1"/>
  <c r="T12" i="72" a="1"/>
  <c r="N19" i="72" a="1"/>
  <c r="C21" i="76" a="1"/>
  <c r="S20" i="73" a="1"/>
  <c r="P24" i="77" a="1"/>
  <c r="E5" i="72" a="1"/>
  <c r="P30" i="73" a="1"/>
  <c r="N27" i="72" a="1"/>
  <c r="C11" i="60" a="1"/>
  <c r="P27" i="65" a="1"/>
  <c r="E5" i="65" a="1"/>
  <c r="J5" i="60" a="1"/>
  <c r="H27" i="65" a="1"/>
  <c r="C18" i="72" a="1"/>
  <c r="J16" i="60" a="1"/>
  <c r="U23" i="72" a="1"/>
  <c r="T22" i="73" a="1"/>
  <c r="T22" i="76" a="1"/>
  <c r="S5" i="76" a="1"/>
  <c r="D14" i="76" a="1"/>
  <c r="T25" i="77" a="1"/>
  <c r="J30" i="60" a="1"/>
  <c r="U8" i="65" a="1"/>
  <c r="P30" i="65" a="1"/>
  <c r="O7" i="73" a="1"/>
  <c r="N29" i="65" a="1"/>
  <c r="O8" i="73" a="1"/>
  <c r="I22" i="77" a="1"/>
  <c r="H7" i="65" a="1"/>
  <c r="H29" i="76" a="1"/>
  <c r="T28" i="76" a="1"/>
  <c r="T28" i="65" a="1"/>
  <c r="U12" i="72" a="1"/>
  <c r="O9" i="72" a="1"/>
  <c r="E21" i="65" a="1"/>
  <c r="P27" i="72" a="1"/>
  <c r="J15" i="76" a="1"/>
  <c r="T20" i="65" a="1"/>
  <c r="T30" i="72" a="1"/>
  <c r="O19" i="73" a="1"/>
  <c r="O25" i="73" a="1"/>
  <c r="H12" i="77" a="1"/>
  <c r="U21" i="77" a="1"/>
  <c r="D15" i="72" a="1"/>
  <c r="O26" i="73" a="1"/>
  <c r="N25" i="76" a="1"/>
  <c r="O30" i="73" a="1"/>
  <c r="H7" i="76" a="1"/>
  <c r="P17" i="77" a="1"/>
  <c r="T17" i="76" a="1"/>
  <c r="I22" i="65" a="1"/>
  <c r="H5" i="72" a="1"/>
  <c r="K14" i="60" a="1"/>
  <c r="N8" i="76" a="1"/>
  <c r="D29" i="77" a="1"/>
  <c r="O12" i="76" a="1"/>
  <c r="U26" i="65" a="1"/>
  <c r="T26" i="77" a="1"/>
  <c r="N18" i="65" a="1"/>
  <c r="E5" i="77" a="1"/>
  <c r="N10" i="73" a="1"/>
  <c r="D13" i="77" a="1"/>
  <c r="I12" i="65" a="1"/>
  <c r="C28" i="76" a="1"/>
  <c r="D15" i="77" a="1"/>
  <c r="P18" i="73" a="1"/>
  <c r="P16" i="72" a="1"/>
  <c r="M10" i="60" a="1"/>
  <c r="D30" i="73" a="1"/>
  <c r="J14" i="65" a="1"/>
  <c r="N18" i="77" a="1"/>
  <c r="H15" i="77" a="1"/>
  <c r="K8" i="60" a="1"/>
  <c r="N17" i="60" a="1"/>
  <c r="E6" i="73" a="1"/>
  <c r="I29" i="72" a="1"/>
  <c r="N26" i="65" a="1"/>
  <c r="S25" i="73" a="1"/>
  <c r="S29" i="73" a="1"/>
  <c r="L21" i="60" a="1"/>
  <c r="N24" i="76" a="1"/>
  <c r="E10" i="76" a="1"/>
  <c r="U13" i="76" a="1"/>
  <c r="S10" i="73" a="1"/>
  <c r="E9" i="60" a="1"/>
  <c r="J21" i="76" a="1"/>
  <c r="O12" i="72" a="1"/>
  <c r="D17" i="72" a="1"/>
  <c r="H18" i="65" a="1"/>
  <c r="D30" i="65" a="1"/>
  <c r="H16" i="73" a="1"/>
  <c r="C12" i="76" a="1"/>
  <c r="P27" i="76" a="1"/>
  <c r="O17" i="73" a="1"/>
  <c r="J8" i="60" a="1"/>
  <c r="U12" i="77" a="1"/>
  <c r="P29" i="65" a="1"/>
  <c r="H15" i="60" a="1"/>
  <c r="U23" i="65" a="1"/>
  <c r="H28" i="77" a="1"/>
  <c r="H28" i="73" a="1"/>
  <c r="P18" i="72" a="1"/>
  <c r="J10" i="72" a="1"/>
  <c r="D17" i="77" a="1"/>
  <c r="E15" i="77" a="1"/>
  <c r="O17" i="65" a="1"/>
  <c r="P10" i="76" a="1"/>
  <c r="E10" i="72" a="1"/>
  <c r="E30" i="76" a="1"/>
  <c r="I18" i="77" a="1"/>
  <c r="T23" i="73" a="1"/>
  <c r="F15" i="60" a="1"/>
  <c r="E26" i="60" a="1"/>
  <c r="J7" i="77" a="1"/>
  <c r="S20" i="72" a="1"/>
  <c r="O28" i="73" a="1"/>
  <c r="L22" i="60" a="1"/>
  <c r="E11" i="65" a="1"/>
  <c r="O21" i="77" a="1"/>
  <c r="H20" i="77" a="1"/>
  <c r="H7" i="72" a="1"/>
  <c r="U18" i="72" a="1"/>
  <c r="N6" i="73" a="1"/>
  <c r="U5" i="77" a="1"/>
  <c r="T27" i="72" a="1"/>
  <c r="N12" i="77" a="1"/>
  <c r="U27" i="65" a="1"/>
  <c r="E29" i="72" a="1"/>
  <c r="C21" i="73" a="1"/>
  <c r="J18" i="72" a="1"/>
  <c r="D22" i="76" a="1"/>
  <c r="C21" i="60" a="1"/>
  <c r="C13" i="77" a="1"/>
  <c r="O26" i="76" a="1"/>
  <c r="H30" i="65" a="1"/>
  <c r="C16" i="76" a="1"/>
  <c r="J15" i="60" a="1"/>
  <c r="H18" i="76" a="1"/>
  <c r="C29" i="65" a="1"/>
  <c r="I9" i="73" a="1"/>
  <c r="O25" i="60" a="1"/>
  <c r="C10" i="65" a="1"/>
  <c r="K9" i="60" a="1"/>
  <c r="D10" i="60" a="1"/>
  <c r="U20" i="73" a="1"/>
  <c r="O6" i="76" a="1"/>
  <c r="E8" i="76" a="1"/>
  <c r="L13" i="60" a="1"/>
  <c r="J6" i="65" a="1"/>
  <c r="C14" i="72" a="1"/>
  <c r="C24" i="73" a="1"/>
  <c r="N11" i="76" a="1"/>
  <c r="S13" i="76" a="1"/>
  <c r="S19" i="76" a="1"/>
  <c r="N28" i="60" a="1"/>
  <c r="E27" i="60" a="1"/>
  <c r="E19" i="76" a="1"/>
  <c r="O9" i="76" a="1"/>
  <c r="J9" i="73" a="1"/>
  <c r="O15" i="73" a="1"/>
  <c r="J8" i="72" a="1"/>
  <c r="U14" i="72" a="1"/>
  <c r="U13" i="72" a="1"/>
  <c r="E10" i="77" a="1"/>
  <c r="T17" i="73" a="1"/>
  <c r="O26" i="77" a="1"/>
  <c r="J16" i="65" a="1"/>
  <c r="M16" i="60" a="1"/>
  <c r="O22" i="73" a="1"/>
  <c r="S30" i="77" a="1"/>
  <c r="S23" i="76" a="1"/>
  <c r="N30" i="65" a="1"/>
  <c r="E10" i="65" a="1"/>
  <c r="J11" i="77" a="1"/>
  <c r="K10" i="60" a="1"/>
  <c r="N29" i="73" a="1"/>
  <c r="O10" i="60" a="1"/>
  <c r="C7" i="73" a="1"/>
  <c r="I29" i="73" a="1"/>
  <c r="T24" i="76" a="1"/>
  <c r="P24" i="73" a="1"/>
  <c r="I9" i="65" a="1"/>
  <c r="E29" i="77" a="1"/>
  <c r="P16" i="77" a="1"/>
  <c r="O20" i="60" a="1"/>
  <c r="C14" i="60" a="1"/>
  <c r="O21" i="72" a="1"/>
  <c r="P8" i="76" a="1"/>
  <c r="U12" i="76" a="1"/>
  <c r="J20" i="76" a="1"/>
  <c r="O8" i="60" a="1"/>
  <c r="U28" i="73" a="1"/>
  <c r="P16" i="73" a="1"/>
  <c r="D12" i="72" a="1"/>
  <c r="E18" i="72" a="1"/>
  <c r="N30" i="72" a="1"/>
  <c r="T16" i="65" a="1"/>
  <c r="O18" i="76" a="1"/>
  <c r="O15" i="77" a="1"/>
  <c r="H21" i="72" a="1"/>
  <c r="I28" i="77" a="1"/>
  <c r="O27" i="60" a="1"/>
  <c r="P29" i="73" a="1"/>
  <c r="I13" i="73" a="1"/>
  <c r="S14" i="73" a="1"/>
  <c r="H27" i="72" a="1"/>
  <c r="U5" i="72" a="1"/>
  <c r="C22" i="60" a="1"/>
  <c r="S7" i="76" a="1"/>
  <c r="U9" i="72" a="1"/>
  <c r="T8" i="76" a="1"/>
  <c r="S19" i="72" a="1"/>
  <c r="U26" i="72" a="1"/>
  <c r="U10" i="73" a="1"/>
  <c r="J26" i="77" a="1"/>
  <c r="N6" i="65" a="1"/>
  <c r="N14" i="60" a="1"/>
  <c r="D10" i="76" a="1"/>
  <c r="C28" i="73" a="1"/>
  <c r="U17" i="73" a="1"/>
  <c r="H15" i="76" a="1"/>
  <c r="H29" i="73" a="1"/>
  <c r="U20" i="72" a="1"/>
  <c r="D18" i="77" a="1"/>
  <c r="K28" i="60" a="1"/>
  <c r="N29" i="60" a="1"/>
  <c r="P10" i="65" a="1"/>
  <c r="U23" i="77" a="1"/>
  <c r="N25" i="60" a="1"/>
  <c r="S27" i="76" a="1"/>
  <c r="N16" i="77" a="1"/>
  <c r="N26" i="73" a="1"/>
  <c r="E30" i="77" a="1"/>
  <c r="U18" i="65" a="1"/>
  <c r="O18" i="77" a="1"/>
  <c r="G23" i="60" a="1"/>
  <c r="H9" i="65" a="1"/>
  <c r="N22" i="77" a="1"/>
  <c r="H20" i="73" a="1"/>
  <c r="I30" i="73" a="1"/>
  <c r="E24" i="65" a="1"/>
  <c r="L11" i="60" a="1"/>
  <c r="O16" i="60" a="1"/>
  <c r="J5" i="65" a="1"/>
  <c r="I24" i="73" a="1"/>
  <c r="J18" i="77" a="1"/>
  <c r="L14" i="60" a="1"/>
  <c r="O18" i="73" a="1"/>
  <c r="K27" i="60" a="1"/>
  <c r="U20" i="77" a="1"/>
  <c r="N14" i="76" a="1"/>
  <c r="S8" i="77" a="1"/>
  <c r="L20" i="60" a="1"/>
  <c r="J20" i="77" a="1"/>
  <c r="J13" i="76" a="1"/>
  <c r="E29" i="65" a="1"/>
  <c r="J16" i="77" a="1"/>
  <c r="G17" i="60" a="1"/>
  <c r="T15" i="65" a="1"/>
  <c r="T15" i="77" a="1"/>
  <c r="O24" i="77" a="1"/>
  <c r="H10" i="76" a="1"/>
  <c r="N24" i="73" a="1"/>
  <c r="S8" i="76" a="1"/>
  <c r="N12" i="60" a="1"/>
  <c r="I24" i="77" a="1"/>
  <c r="C8" i="72" a="1"/>
  <c r="H19" i="73" a="1"/>
  <c r="T10" i="65" a="1"/>
  <c r="D23" i="76" a="1"/>
  <c r="N7" i="76" a="1"/>
  <c r="C9" i="65" a="1"/>
  <c r="T26" i="65" a="1"/>
  <c r="O20" i="77" a="1"/>
  <c r="H5" i="76" a="1"/>
  <c r="O11" i="73" a="1"/>
  <c r="U7" i="77" a="1"/>
  <c r="P9" i="65" a="1"/>
  <c r="U24" i="65" a="1"/>
  <c r="P14" i="77" a="1"/>
  <c r="C21" i="72" a="1"/>
  <c r="E20" i="77" a="1"/>
  <c r="E29" i="76" a="1"/>
  <c r="K24" i="60" a="1"/>
  <c r="H15" i="73" a="1"/>
  <c r="P17" i="73" a="1"/>
  <c r="E22" i="65" a="1"/>
  <c r="N15" i="76" a="1"/>
  <c r="C10" i="73" a="1"/>
  <c r="D9" i="65" a="1"/>
  <c r="H30" i="76" a="1"/>
  <c r="F24" i="60" a="1"/>
  <c r="N20" i="77" a="1"/>
  <c r="F29" i="60" a="1"/>
  <c r="J24" i="76" a="1"/>
  <c r="D25" i="72" a="1"/>
  <c r="I19" i="73" a="1"/>
  <c r="E24" i="73" a="1"/>
  <c r="U18" i="73" a="1"/>
  <c r="U5" i="65" a="1"/>
  <c r="J8" i="77" a="1"/>
  <c r="L26" i="60" a="1"/>
  <c r="I8" i="76" a="1"/>
  <c r="C11" i="73" a="1"/>
  <c r="M23" i="60" a="1"/>
  <c r="U25" i="65" a="1"/>
  <c r="N16" i="76" a="1"/>
  <c r="D11" i="76" a="1"/>
  <c r="D27" i="72" a="1"/>
  <c r="O13" i="73" a="1"/>
  <c r="N28" i="65" a="1"/>
  <c r="H17" i="60" a="1"/>
  <c r="E28" i="65" a="1"/>
  <c r="J30" i="76" a="1"/>
  <c r="D30" i="77" a="1"/>
  <c r="D16" i="65" a="1"/>
  <c r="D8" i="65" a="1"/>
  <c r="O28" i="76" a="1"/>
  <c r="F27" i="60" a="1"/>
  <c r="J11" i="65" a="1"/>
  <c r="C20" i="65" a="1"/>
  <c r="E22" i="72" a="1"/>
  <c r="P7" i="76" a="1"/>
  <c r="D5" i="76" a="1"/>
  <c r="O16" i="65" a="1"/>
  <c r="T11" i="72" a="1"/>
  <c r="J17" i="65" a="1"/>
  <c r="E30" i="73" a="1"/>
  <c r="O6" i="72" a="1"/>
  <c r="G20" i="60" a="1"/>
  <c r="T15" i="76" a="1"/>
  <c r="I15" i="77" a="1"/>
  <c r="P10" i="73" a="1"/>
  <c r="H13" i="60" a="1"/>
  <c r="L19" i="60" a="1"/>
  <c r="D17" i="76" a="1"/>
  <c r="O17" i="72" a="1"/>
  <c r="U26" i="73" a="1"/>
  <c r="J28" i="73" a="1"/>
  <c r="I12" i="77" a="1"/>
  <c r="O14" i="60" a="1"/>
  <c r="J10" i="73" a="1"/>
  <c r="T21" i="73" a="1"/>
  <c r="P28" i="77" a="1"/>
  <c r="D21" i="73" a="1"/>
  <c r="P26" i="72" a="1"/>
  <c r="E5" i="76" a="1"/>
  <c r="O23" i="73" a="1"/>
  <c r="C29" i="76" a="1"/>
  <c r="T25" i="72" a="1"/>
  <c r="C6" i="72" a="1"/>
  <c r="O7" i="72" a="1"/>
  <c r="E16" i="72" a="1"/>
  <c r="I18" i="73" a="1"/>
  <c r="T7" i="73" a="1"/>
  <c r="J20" i="73" a="1"/>
  <c r="I22" i="73" a="1"/>
  <c r="D7" i="73" a="1"/>
  <c r="D19" i="60" a="1"/>
  <c r="I7" i="77" a="1"/>
  <c r="E12" i="73" a="1"/>
  <c r="L10" i="60" a="1"/>
  <c r="S15" i="76" a="1"/>
  <c r="H20" i="76" a="1"/>
  <c r="E25" i="60" a="1"/>
  <c r="P19" i="77" a="1"/>
  <c r="D24" i="77" a="1"/>
  <c r="O29" i="60" a="1"/>
  <c r="O20" i="72" a="1"/>
  <c r="N21" i="77" a="1"/>
  <c r="N13" i="73" a="1"/>
  <c r="J19" i="76" a="1"/>
  <c r="H11" i="72" a="1"/>
  <c r="C10" i="60" a="1"/>
  <c r="C11" i="77" a="1"/>
  <c r="P26" i="73" a="1"/>
  <c r="C24" i="76" a="1"/>
  <c r="N21" i="60" a="1"/>
  <c r="J19" i="60" a="1"/>
  <c r="N10" i="60" a="1"/>
  <c r="H25" i="73" a="1"/>
  <c r="N14" i="73" a="1"/>
  <c r="N13" i="65" a="1"/>
  <c r="N13" i="72" a="1"/>
  <c r="D11" i="73" a="1"/>
  <c r="D26" i="73" a="1"/>
  <c r="N26" i="60" a="1"/>
  <c r="E14" i="72" a="1"/>
  <c r="T9" i="77" a="1"/>
  <c r="I6" i="76" a="1"/>
  <c r="J30" i="72" a="1"/>
  <c r="I12" i="72" a="1"/>
  <c r="T18" i="65" a="1"/>
  <c r="I16" i="65" a="1"/>
  <c r="K13" i="60" a="1"/>
  <c r="O26" i="65" a="1"/>
  <c r="I13" i="76" a="1"/>
  <c r="J10" i="65" a="1"/>
  <c r="H9" i="73" a="1"/>
  <c r="T5" i="65" a="1"/>
  <c r="J30" i="65" a="1"/>
  <c r="T14" i="72" a="1"/>
  <c r="S29" i="76" a="1"/>
  <c r="S19" i="73" a="1"/>
  <c r="E24" i="60" a="1"/>
  <c r="O30" i="72" a="1"/>
  <c r="U26" i="77" a="1"/>
  <c r="O13" i="76" a="1"/>
  <c r="J5" i="72" a="1"/>
  <c r="S21" i="72" a="1"/>
  <c r="S26" i="76" a="1"/>
  <c r="D7" i="60" a="1"/>
  <c r="O19" i="77" a="1"/>
  <c r="J27" i="77" a="1"/>
  <c r="D13" i="65" a="1"/>
  <c r="E16" i="76" a="1"/>
  <c r="U16" i="65" a="1"/>
  <c r="T24" i="65" a="1"/>
  <c r="H16" i="77" a="1"/>
  <c r="J26" i="60" a="1"/>
  <c r="U8" i="77" a="1"/>
  <c r="O5" i="73" a="1"/>
  <c r="H19" i="60" a="1"/>
  <c r="N14" i="72" a="1"/>
  <c r="L8" i="60" a="1"/>
  <c r="I10" i="77" a="1"/>
  <c r="J25" i="60" a="1"/>
  <c r="D6" i="65" a="1"/>
  <c r="H16" i="72" a="1"/>
  <c r="E17" i="77" a="1"/>
  <c r="E5" i="60" a="1"/>
  <c r="T11" i="76" a="1"/>
  <c r="J21" i="65" a="1"/>
  <c r="C22" i="73" a="1"/>
  <c r="N24" i="60" a="1"/>
  <c r="P30" i="76" a="1"/>
  <c r="C29" i="77" a="1"/>
  <c r="N21" i="73" a="1"/>
  <c r="N6" i="76" a="1"/>
  <c r="N9" i="60" a="1"/>
  <c r="I18" i="72" a="1"/>
  <c r="U23" i="73" a="1"/>
  <c r="F13" i="60" a="1"/>
  <c r="C17" i="73" a="1"/>
  <c r="E23" i="73" a="1"/>
  <c r="I25" i="77" a="1"/>
  <c r="S23" i="73" a="1"/>
  <c r="C9" i="60" a="1"/>
  <c r="C5" i="72" a="1"/>
  <c r="O25" i="77" a="1"/>
  <c r="H23" i="76" a="1"/>
  <c r="C27" i="76" a="1"/>
  <c r="M13" i="60" a="1"/>
  <c r="E17" i="72" a="1"/>
  <c r="D19" i="77" a="1"/>
  <c r="C25" i="65" a="1"/>
  <c r="U22" i="76" a="1"/>
  <c r="I14" i="77" a="1"/>
  <c r="J25" i="76" a="1"/>
  <c r="H9" i="60" a="1"/>
  <c r="D25" i="65" a="1"/>
  <c r="S30" i="76" a="1"/>
  <c r="S7" i="77" a="1"/>
  <c r="U29" i="73" a="1"/>
  <c r="N22" i="73" a="1"/>
  <c r="F8" i="60" a="1"/>
  <c r="C8" i="60" a="1"/>
  <c r="C5" i="65" a="1"/>
  <c r="F16" i="60" a="1"/>
  <c r="J12" i="72" a="1"/>
  <c r="H21" i="76" a="1"/>
  <c r="H17" i="76" a="1"/>
  <c r="C15" i="65" a="1"/>
  <c r="L30" i="60" a="1"/>
  <c r="E13" i="77" a="1"/>
  <c r="P5" i="76" a="1"/>
  <c r="S12" i="76" a="1"/>
  <c r="E17" i="65" a="1"/>
  <c r="O6" i="65" a="1"/>
  <c r="C19" i="60" a="1"/>
  <c r="F30" i="60" a="1"/>
  <c r="P11" i="65" a="1"/>
  <c r="N22" i="76" a="1"/>
  <c r="O17" i="77" a="1"/>
  <c r="H23" i="60" a="1"/>
  <c r="U15" i="72" a="1"/>
  <c r="U22" i="65" a="1"/>
  <c r="T24" i="72" a="1"/>
  <c r="E25" i="77" a="1"/>
  <c r="J26" i="65" a="1"/>
  <c r="I16" i="72" a="1"/>
  <c r="L29" i="60" a="1"/>
  <c r="D6" i="60" a="1"/>
  <c r="C13" i="60" a="1"/>
  <c r="J15" i="65" a="1"/>
  <c r="U30" i="76" a="1"/>
  <c r="S5" i="73" a="1"/>
  <c r="E18" i="76" a="1"/>
  <c r="P8" i="77" a="1"/>
  <c r="D14" i="60" a="1"/>
  <c r="T13" i="76" a="1"/>
  <c r="H17" i="73" a="1"/>
  <c r="N8" i="72" a="1"/>
  <c r="O6" i="60" a="1"/>
  <c r="E19" i="60" a="1"/>
  <c r="J9" i="72" a="1"/>
  <c r="H21" i="77" a="1"/>
  <c r="E8" i="73" a="1"/>
  <c r="E17" i="60" a="1"/>
  <c r="H13" i="72" a="1"/>
  <c r="N21" i="65" a="1"/>
  <c r="O21" i="60" a="1"/>
  <c r="P13" i="73" a="1"/>
  <c r="I5" i="72" a="1"/>
  <c r="H9" i="77" a="1"/>
  <c r="N17" i="65" a="1"/>
  <c r="N5" i="60" a="1"/>
  <c r="O23" i="76" a="1"/>
  <c r="T20" i="76" a="1"/>
  <c r="E12" i="65" a="1"/>
  <c r="P23" i="72" a="1"/>
  <c r="H11" i="60" a="1"/>
  <c r="J12" i="60" a="1"/>
  <c r="I20" i="73" a="1"/>
  <c r="S28" i="72" a="1"/>
  <c r="J12" i="65" a="1"/>
  <c r="S12" i="72" a="1"/>
  <c r="J15" i="73" a="1"/>
  <c r="D27" i="65" a="1"/>
  <c r="H6" i="77" a="1"/>
  <c r="N14" i="77" a="1"/>
  <c r="T10" i="76" a="1"/>
  <c r="N27" i="65" a="1"/>
  <c r="N17" i="73" a="1"/>
  <c r="E14" i="77" a="1"/>
  <c r="I7" i="65" a="1"/>
  <c r="I27" i="76" a="1"/>
  <c r="U21" i="73" a="1"/>
  <c r="S15" i="72" a="1"/>
  <c r="H5" i="77" a="1"/>
  <c r="E14" i="73" a="1"/>
  <c r="I13" i="77" a="1"/>
  <c r="D15" i="60" a="1"/>
  <c r="N7" i="73" a="1"/>
  <c r="D8" i="77" a="1"/>
  <c r="G9" i="60" a="1"/>
  <c r="P20" i="72" a="1"/>
  <c r="C16" i="77" a="1"/>
  <c r="O9" i="77" a="1"/>
  <c r="N9" i="73" a="1"/>
  <c r="I5" i="73" a="1"/>
  <c r="E13" i="76" a="1"/>
  <c r="D8" i="73" a="1"/>
  <c r="E11" i="72" a="1"/>
  <c r="H24" i="65" a="1"/>
  <c r="D20" i="65" a="1"/>
  <c r="J17" i="72" a="1"/>
  <c r="I19" i="72" a="1"/>
  <c r="T18" i="73" a="1"/>
  <c r="I10" i="73" a="1"/>
  <c r="N11" i="65" a="1"/>
  <c r="P20" i="73" a="1"/>
  <c r="C18" i="65" a="1"/>
  <c r="N16" i="72" a="1"/>
  <c r="E17" i="73" a="1"/>
  <c r="M15" i="60" a="1"/>
  <c r="D19" i="65" a="1"/>
  <c r="O21" i="76" a="1"/>
  <c r="D5" i="60" a="1"/>
  <c r="O25" i="65" a="1"/>
  <c r="C12" i="77" a="1"/>
  <c r="E26" i="72" a="1"/>
  <c r="I18" i="65" a="1"/>
  <c r="D14" i="65" a="1"/>
  <c r="O11" i="76" a="1"/>
  <c r="D24" i="72" a="1"/>
  <c r="J8" i="73" a="1"/>
  <c r="J23" i="77" a="1"/>
  <c r="E15" i="73" a="1"/>
  <c r="E23" i="77" a="1"/>
  <c r="J9" i="76" a="1"/>
  <c r="E15" i="76" a="1"/>
  <c r="U16" i="76" a="1"/>
  <c r="T21" i="65" a="1"/>
  <c r="U7" i="65" a="1"/>
  <c r="S5" i="77" a="1"/>
  <c r="C26" i="72" a="1"/>
  <c r="U26" i="76" a="1"/>
  <c r="C24" i="65" a="1"/>
  <c r="G21" i="60" a="1"/>
  <c r="S22" i="76" a="1"/>
  <c r="D9" i="76" a="1"/>
  <c r="J27" i="60" a="1"/>
  <c r="I30" i="65" a="1"/>
  <c r="J21" i="73" a="1"/>
  <c r="P21" i="65" a="1"/>
  <c r="D24" i="60" a="1"/>
  <c r="S23" i="72" a="1"/>
  <c r="N22" i="72" a="1"/>
  <c r="H10" i="65" a="1"/>
  <c r="H25" i="65" a="1"/>
  <c r="H26" i="60" a="1"/>
  <c r="N15" i="73" a="1"/>
  <c r="E28" i="77" a="1"/>
  <c r="T18" i="77" a="1"/>
  <c r="S28" i="73" a="1"/>
  <c r="H25" i="60" a="1"/>
  <c r="U16" i="73" a="1"/>
  <c r="C22" i="65" a="1"/>
  <c r="O22" i="76" a="1"/>
  <c r="N28" i="76" a="1"/>
  <c r="O11" i="77" a="1"/>
  <c r="I24" i="76" a="1"/>
  <c r="E23" i="65" a="1"/>
  <c r="E7" i="73" a="1"/>
  <c r="I17" i="77" a="1"/>
  <c r="I23" i="73" a="1"/>
  <c r="P11" i="77" a="1"/>
  <c r="T16" i="77" a="1"/>
  <c r="P24" i="76" a="1"/>
  <c r="E8" i="72" a="1"/>
  <c r="T5" i="73" a="1"/>
  <c r="S6" i="73" a="1"/>
  <c r="I24" i="65" a="1"/>
  <c r="S9" i="73" a="1"/>
  <c r="H18" i="77" a="1"/>
  <c r="O17" i="76" a="1"/>
  <c r="H25" i="72" a="1"/>
  <c r="O12" i="65" a="1"/>
  <c r="T15" i="73" a="1"/>
  <c r="O28" i="65" a="1"/>
  <c r="E6" i="72" a="1"/>
  <c r="H24" i="60" a="1"/>
  <c r="P20" i="77" a="1"/>
  <c r="U20" i="76" a="1"/>
  <c r="N5" i="73" a="1"/>
  <c r="P13" i="77" a="1"/>
  <c r="C8" i="76" a="1"/>
  <c r="U30" i="77" a="1"/>
  <c r="I25" i="65" a="1"/>
  <c r="C17" i="72" a="1"/>
  <c r="C13" i="73" a="1"/>
  <c r="N16" i="65" a="1"/>
  <c r="J30" i="77" a="1"/>
  <c r="D26" i="72" a="1"/>
  <c r="D21" i="76" a="1"/>
  <c r="U9" i="76" a="1"/>
  <c r="N30" i="77" a="1"/>
  <c r="P15" i="65" a="1"/>
  <c r="F18" i="60" a="1"/>
  <c r="U25" i="76" a="1"/>
  <c r="H27" i="76" a="1"/>
  <c r="H7" i="77" a="1"/>
  <c r="T5" i="76" a="1"/>
  <c r="I30" i="72" a="1"/>
  <c r="N19" i="77" a="1"/>
  <c r="S16" i="73" a="1"/>
  <c r="T12" i="73" a="1"/>
  <c r="E16" i="60" a="1"/>
  <c r="C7" i="76" a="1"/>
  <c r="D20" i="73" a="1"/>
  <c r="P11" i="73" a="1"/>
  <c r="P8" i="65" a="1"/>
  <c r="I8" i="65" a="1"/>
  <c r="U19" i="65" a="1"/>
  <c r="U8" i="76" a="1"/>
  <c r="D16" i="60" a="1"/>
  <c r="C15" i="60" a="1"/>
  <c r="J16" i="73" a="1"/>
  <c r="H5" i="60" a="1"/>
  <c r="E9" i="77" a="1"/>
  <c r="O8" i="72" a="1"/>
  <c r="U24" i="72" a="1"/>
  <c r="J11" i="60" a="1"/>
  <c r="G13" i="60" a="1"/>
  <c r="C13" i="76" a="1"/>
  <c r="D12" i="60" a="1"/>
  <c r="N11" i="77" a="1"/>
  <c r="L5" i="60" a="1"/>
  <c r="E26" i="65" a="1"/>
  <c r="N8" i="77" a="1"/>
  <c r="T18" i="72" a="1"/>
  <c r="J14" i="72" a="1"/>
  <c r="D11" i="77" a="1"/>
  <c r="P23" i="77" a="1"/>
  <c r="C24" i="60" a="1"/>
  <c r="C13" i="65" a="1"/>
  <c r="O30" i="65" a="1"/>
  <c r="U27" i="76" a="1"/>
  <c r="D12" i="76" a="1"/>
  <c r="K16" i="60" a="1"/>
  <c r="H18" i="73" a="1"/>
  <c r="F5" i="60" a="1"/>
  <c r="T25" i="73" a="1"/>
  <c r="D11" i="72" a="1"/>
  <c r="N20" i="60" a="1"/>
  <c r="M28" i="60" a="1"/>
  <c r="P7" i="77" a="1"/>
  <c r="D5" i="65" a="1"/>
  <c r="E24" i="76" a="1"/>
  <c r="P29" i="77" a="1"/>
  <c r="J17" i="60" a="1"/>
  <c r="C18" i="76" a="1"/>
  <c r="D18" i="65" a="1"/>
  <c r="C16" i="60" a="1"/>
  <c r="P9" i="76" a="1"/>
  <c r="O26" i="72" a="1"/>
  <c r="O15" i="76" a="1"/>
  <c r="L16" i="60" a="1"/>
  <c r="D22" i="60" a="1"/>
  <c r="T8" i="77" a="1"/>
  <c r="P20" i="76" a="1"/>
  <c r="D7" i="77" a="1"/>
  <c r="D17" i="65" a="1"/>
  <c r="J26" i="76" a="1"/>
  <c r="E15" i="72" a="1"/>
  <c r="N19" i="65" a="1"/>
  <c r="T14" i="76" a="1"/>
  <c r="N8" i="65" a="1"/>
  <c r="G25" i="60" a="1"/>
  <c r="T23" i="77" a="1"/>
  <c r="C30" i="60" a="1"/>
  <c r="E24" i="77" a="1"/>
  <c r="T13" i="77" a="1"/>
  <c r="D25" i="77" a="1"/>
  <c r="N7" i="60" a="1"/>
  <c r="J12" i="73" a="1"/>
  <c r="H14" i="72" a="1"/>
  <c r="P6" i="73" a="1"/>
  <c r="O22" i="60" a="1"/>
  <c r="C5" i="77" a="1"/>
  <c r="J7" i="72" a="1"/>
  <c r="I23" i="72" a="1"/>
  <c r="N6" i="60" a="1"/>
  <c r="I17" i="72" a="1"/>
  <c r="T6" i="72" a="1"/>
  <c r="U29" i="72" a="1"/>
  <c r="U6" i="77" a="1"/>
  <c r="E25" i="72" a="1"/>
  <c r="N30" i="73" a="1"/>
  <c r="C14" i="77" a="1"/>
  <c r="O14" i="73" a="1"/>
  <c r="O5" i="60" a="1"/>
  <c r="J22" i="72" a="1"/>
  <c r="C27" i="65" a="1"/>
  <c r="C29" i="72" a="1"/>
  <c r="I11" i="72" a="1"/>
  <c r="J26" i="73" a="1"/>
  <c r="N25" i="72" a="1"/>
  <c r="D26" i="60" a="1"/>
  <c r="P15" i="72" a="1"/>
  <c r="D23" i="65" a="1"/>
  <c r="S18" i="72" a="1"/>
  <c r="J18" i="60" a="1"/>
  <c r="T25" i="65" a="1"/>
  <c r="T29" i="72" a="1"/>
  <c r="N17" i="72" a="1"/>
  <c r="O30" i="60" a="1"/>
  <c r="D20" i="77" a="1"/>
  <c r="T13" i="72" a="1"/>
  <c r="U15" i="76" a="1"/>
  <c r="N13" i="60" a="1"/>
  <c r="D21" i="65" a="1"/>
  <c r="J14" i="60" a="1"/>
  <c r="O13" i="72" a="1"/>
  <c r="D16" i="77" a="1"/>
  <c r="G27" i="60" a="1"/>
  <c r="S24" i="76" a="1"/>
  <c r="I6" i="73" a="1"/>
  <c r="T14" i="73" a="1"/>
  <c r="N30" i="76" a="1"/>
  <c r="H22" i="72" a="1"/>
  <c r="O27" i="72" a="1"/>
  <c r="O10" i="72" a="1"/>
  <c r="S8" i="73" a="1"/>
  <c r="C6" i="60" a="1"/>
  <c r="N11" i="73" a="1"/>
  <c r="J10" i="76" a="1"/>
  <c r="O5" i="76" a="1"/>
  <c r="U6" i="73" a="1"/>
  <c r="N26" i="77" a="1"/>
  <c r="O27" i="73" a="1"/>
  <c r="L6" i="60" a="1"/>
  <c r="T30" i="76" a="1"/>
  <c r="F23" i="60" a="1"/>
  <c r="N12" i="65" a="1"/>
  <c r="S9" i="72" a="1"/>
  <c r="S14" i="76" a="1"/>
  <c r="P18" i="76" a="1"/>
  <c r="N24" i="77" a="1"/>
  <c r="C10" i="76" a="1"/>
  <c r="S12" i="77" a="1"/>
  <c r="N20" i="76" a="1"/>
  <c r="N29" i="77" a="1"/>
  <c r="T9" i="65" a="1"/>
  <c r="O28" i="60" a="1"/>
  <c r="F11" i="60" a="1"/>
  <c r="T7" i="76" a="1"/>
  <c r="K23" i="60" a="1"/>
  <c r="N14" i="65" a="1"/>
  <c r="I19" i="65" a="1"/>
  <c r="P5" i="72" a="1"/>
  <c r="J7" i="60" a="1"/>
  <c r="P23" i="76" a="1"/>
  <c r="P16" i="65" a="1"/>
  <c r="J29" i="76" a="1"/>
  <c r="J15" i="77" a="1"/>
  <c r="N10" i="76" a="1"/>
  <c r="I8" i="72" a="1"/>
  <c r="E21" i="76" a="1"/>
  <c r="E14" i="65" a="1"/>
  <c r="P13" i="65" a="1"/>
  <c r="D5" i="77" a="1"/>
  <c r="S26" i="77" a="1"/>
  <c r="I20" i="72" a="1"/>
  <c r="F10" i="60" a="1"/>
  <c r="P23" i="65" a="1"/>
  <c r="P22" i="65" a="1"/>
  <c r="E7" i="72" a="1"/>
  <c r="N8" i="60" a="1"/>
  <c r="T22" i="65" a="1"/>
  <c r="N12" i="73" a="1"/>
  <c r="H16" i="60" a="1"/>
  <c r="H21" i="73" a="1"/>
  <c r="I9" i="77" a="1"/>
  <c r="K11" i="60" a="1"/>
  <c r="N16" i="60" a="1"/>
  <c r="I25" i="76" a="1"/>
  <c r="N28" i="73" a="1"/>
  <c r="J9" i="77" a="1"/>
  <c r="S26" i="73" a="1"/>
  <c r="N10" i="72" a="1"/>
  <c r="T27" i="77" a="1"/>
  <c r="U28" i="72" a="1"/>
  <c r="N16" i="73" a="1"/>
  <c r="N20" i="65" a="1"/>
  <c r="H25" i="77" a="1"/>
  <c r="C7" i="77" a="1"/>
  <c r="E20" i="76" a="1"/>
  <c r="T22" i="77" a="1"/>
  <c r="N25" i="65" a="1"/>
  <c r="E10" i="60" a="1"/>
  <c r="J22" i="76" a="1"/>
  <c r="D19" i="76" a="1"/>
  <c r="U11" i="65" a="1"/>
  <c r="P6" i="76" a="1"/>
  <c r="H7" i="60" a="1"/>
  <c r="H24" i="73" a="1"/>
  <c r="O11" i="65" a="1"/>
  <c r="J18" i="73" a="1"/>
  <c r="L17" i="60" a="1"/>
  <c r="I21" i="72" a="1"/>
  <c r="S10" i="76" a="1"/>
  <c r="D29" i="76" a="1"/>
  <c r="C23" i="76" a="1"/>
  <c r="S17" i="77" a="1"/>
  <c r="H29" i="60" a="1"/>
  <c r="P10" i="77" a="1"/>
  <c r="D8" i="60" a="1"/>
  <c r="G29" i="60" a="1"/>
  <c r="J13" i="73" a="1"/>
  <c r="P17" i="76" a="1"/>
  <c r="U17" i="65" a="1"/>
  <c r="M9" i="60" a="1"/>
  <c r="U22" i="73" a="1"/>
  <c r="U6" i="76" a="1"/>
  <c r="E25" i="76" a="1"/>
  <c r="E11" i="76" a="1"/>
  <c r="K19" i="60" a="1"/>
  <c r="N19" i="73" a="1"/>
  <c r="T9" i="76" a="1"/>
  <c r="T24" i="77" a="1"/>
  <c r="U21" i="72" a="1"/>
  <c r="T17" i="72" a="1"/>
  <c r="E19" i="72" a="1"/>
  <c r="S29" i="72" a="1"/>
  <c r="I9" i="76" a="1"/>
  <c r="D29" i="72" a="1"/>
  <c r="P12" i="72" a="1"/>
  <c r="S27" i="77" a="1"/>
  <c r="S10" i="72" a="1"/>
  <c r="M27" i="60" a="1"/>
  <c r="O14" i="72" a="1"/>
  <c r="T7" i="65" a="1"/>
  <c r="S9" i="77" a="1"/>
  <c r="D25" i="73" a="1"/>
  <c r="J7" i="76" a="1"/>
  <c r="P7" i="73" a="1"/>
  <c r="N15" i="60" a="1"/>
  <c r="T21" i="77" a="1"/>
  <c r="T17" i="77" a="1"/>
  <c r="O24" i="72" a="1"/>
  <c r="S17" i="76" a="1"/>
  <c r="H22" i="77" a="1"/>
  <c r="C19" i="65" a="1"/>
  <c r="P19" i="73" a="1"/>
  <c r="P21" i="77" a="1"/>
  <c r="P28" i="65" a="1"/>
  <c r="I17" i="65" a="1"/>
  <c r="S13" i="77" a="1"/>
  <c r="D29" i="65" a="1"/>
  <c r="E30" i="65" a="1"/>
  <c r="I29" i="77" a="1"/>
  <c r="N28" i="77" a="1"/>
  <c r="S6" i="72" a="1"/>
  <c r="I6" i="77" a="1"/>
  <c r="E15" i="60" a="1"/>
  <c r="C19" i="73" a="1"/>
  <c r="J12" i="76" a="1"/>
  <c r="U12" i="65" a="1"/>
  <c r="E22" i="76" a="1"/>
  <c r="O8" i="65" a="1"/>
  <c r="N23" i="73" a="1"/>
  <c r="C26" i="73" a="1"/>
  <c r="D12" i="65" a="1"/>
  <c r="F9" i="60" a="1"/>
  <c r="D16" i="76" a="1"/>
  <c r="I30" i="76" a="1"/>
  <c r="C28" i="77" a="1"/>
  <c r="T17" i="65" a="1"/>
  <c r="O29" i="73" a="1"/>
  <c r="C30" i="65" a="1"/>
  <c r="J16" i="72" a="1"/>
  <c r="M26" i="60" a="1"/>
  <c r="I20" i="76" a="1"/>
  <c r="U17" i="76" a="1"/>
  <c r="U12" i="73" a="1"/>
  <c r="U17" i="77" a="1"/>
  <c r="I15" i="72" a="1"/>
  <c r="U25" i="72" a="1"/>
  <c r="O10" i="65" a="1"/>
  <c r="O23" i="72" a="1"/>
  <c r="T16" i="73" a="1"/>
  <c r="D9" i="77" a="1"/>
  <c r="F21" i="60" a="1"/>
  <c r="C22" i="72" a="1"/>
  <c r="T30" i="73" a="1"/>
  <c r="T6" i="76" a="1"/>
  <c r="S16" i="77" a="1"/>
  <c r="I27" i="73" a="1"/>
  <c r="I13" i="65" a="1"/>
  <c r="P29" i="72" a="1"/>
  <c r="J9" i="65" a="1"/>
  <c r="C9" i="73" a="1"/>
  <c r="D22" i="73" a="1"/>
  <c r="G22" i="60" a="1"/>
  <c r="E7" i="76" a="1"/>
  <c r="D28" i="65" a="1"/>
  <c r="F26" i="60" a="1"/>
  <c r="E11" i="77" a="1"/>
  <c r="F25" i="60" a="1"/>
  <c r="S11" i="73" a="1"/>
  <c r="N19" i="60" a="1"/>
  <c r="H11" i="76" a="1"/>
  <c r="P5" i="73" a="1"/>
  <c r="E13" i="60" a="1"/>
  <c r="U9" i="77" a="1"/>
  <c r="P16" i="76" a="1"/>
  <c r="I14" i="76" a="1"/>
  <c r="E18" i="73" a="1"/>
  <c r="P19" i="65" a="1"/>
  <c r="D27" i="76" a="1"/>
  <c r="S19" i="77" a="1"/>
  <c r="U24" i="77" a="1"/>
  <c r="S29" i="77" a="1"/>
  <c r="D13" i="73" a="1"/>
  <c r="M5" i="60" a="1"/>
  <c r="H30" i="77" a="1"/>
  <c r="I27" i="72" a="1"/>
  <c r="C6" i="76" a="1"/>
  <c r="L24" i="60" a="1"/>
  <c r="U23" i="76" a="1"/>
  <c r="S11" i="76" a="1"/>
  <c r="L28" i="60" a="1"/>
  <c r="U30" i="72" a="1"/>
  <c r="J20" i="65" a="1"/>
  <c r="T25" i="76" a="1"/>
  <c r="H5" i="73" a="1"/>
  <c r="O14" i="76" a="1"/>
  <c r="S30" i="73" a="1"/>
  <c r="U16" i="72" a="1"/>
  <c r="S6" i="76" a="1"/>
  <c r="C15" i="72" a="1"/>
  <c r="H17" i="77" a="1"/>
  <c r="P14" i="76" a="1"/>
  <c r="M20" i="60" a="1"/>
  <c r="D5" i="73" a="1"/>
  <c r="U9" i="65" a="1"/>
  <c r="M14" i="60" a="1"/>
  <c r="H22" i="73" a="1"/>
  <c r="U22" i="72" a="1"/>
  <c r="J24" i="77" a="1"/>
  <c r="T28" i="73" a="1"/>
  <c r="S22" i="72" a="1"/>
  <c r="D16" i="73" a="1"/>
  <c r="F12" i="60" a="1"/>
  <c r="P7" i="65" a="1"/>
  <c r="H6" i="65" a="1"/>
  <c r="J15" i="72" a="1"/>
  <c r="D24" i="65" a="1"/>
  <c r="H30" i="73" a="1"/>
  <c r="T14" i="65" a="1"/>
  <c r="U24" i="76" a="1"/>
  <c r="H12" i="73" a="1"/>
  <c r="O7" i="76" a="1"/>
  <c r="D23" i="72" a="1"/>
  <c r="E12" i="60" a="1"/>
  <c r="T20" i="72" a="1"/>
  <c r="E6" i="60" a="1"/>
  <c r="E7" i="77" a="1"/>
  <c r="P28" i="73" a="1"/>
  <c r="I13" i="72" a="1"/>
  <c r="C29" i="60" a="1"/>
  <c r="I12" i="73" a="1"/>
  <c r="D20" i="72" a="1"/>
  <c r="P24" i="72" a="1"/>
  <c r="O24" i="76" a="1"/>
  <c r="H18" i="72" a="1"/>
  <c r="O9" i="73" a="1"/>
  <c r="S27" i="73" a="1"/>
  <c r="E16" i="65" a="1"/>
  <c r="S22" i="77" a="1"/>
  <c r="N21" i="76" a="1"/>
  <c r="E25" i="65" a="1"/>
  <c r="N9" i="77" a="1"/>
  <c r="C16" i="65" a="1"/>
  <c r="C20" i="77" a="1"/>
  <c r="M7" i="60" a="1"/>
  <c r="N5" i="77" a="1"/>
  <c r="E12" i="77" a="1"/>
  <c r="J19" i="72" a="1"/>
  <c r="P21" i="76" a="1"/>
  <c r="D21" i="60" a="1"/>
  <c r="O6" i="73" a="1"/>
  <c r="C26" i="60" a="1"/>
  <c r="J11" i="72" a="1"/>
  <c r="M11" i="60" a="1"/>
  <c r="J28" i="76" a="1"/>
  <c r="L27" i="60" a="1"/>
  <c r="K6" i="60" a="1"/>
  <c r="E21" i="73" a="1"/>
  <c r="P19" i="72" a="1"/>
  <c r="S24" i="72" a="1"/>
  <c r="H28" i="76" a="1"/>
  <c r="H19" i="72" a="1"/>
  <c r="P21" i="73" a="1"/>
  <c r="U7" i="72" a="1"/>
  <c r="T16" i="72" a="1"/>
  <c r="C26" i="65" a="1"/>
  <c r="U14" i="76" a="1"/>
  <c r="E20" i="73" a="1"/>
  <c r="D6" i="72" a="1"/>
  <c r="M30" i="60" a="1"/>
  <c r="E22" i="73" a="1"/>
  <c r="F7" i="60" a="1"/>
  <c r="J19" i="77" a="1"/>
  <c r="C10" i="77" a="1"/>
  <c r="H29" i="77" a="1"/>
  <c r="D7" i="72" a="1"/>
  <c r="I15" i="73" a="1"/>
  <c r="H28" i="72" a="1"/>
  <c r="E28" i="60" a="1"/>
  <c r="C20" i="76" a="1"/>
  <c r="N5" i="76" a="1"/>
  <c r="E22" i="77" a="1"/>
  <c r="N26" i="72" a="1"/>
  <c r="C20" i="60" a="1"/>
  <c r="O15" i="60" a="1"/>
  <c r="E30" i="72" a="1"/>
  <c r="C22" i="76" a="1"/>
  <c r="D23" i="73" a="1"/>
  <c r="T26" i="73" a="1"/>
  <c r="J21" i="72" a="1"/>
  <c r="P12" i="65" a="1"/>
  <c r="C23" i="65" a="1"/>
  <c r="M6" i="60" a="1"/>
  <c r="D23" i="60" a="1"/>
  <c r="D12" i="77" a="1"/>
  <c r="D27" i="77" a="1"/>
  <c r="J23" i="60" a="1"/>
  <c r="C21" i="77" a="1"/>
  <c r="H10" i="77" a="1"/>
  <c r="E15" i="65" a="1"/>
  <c r="I10" i="76" a="1"/>
  <c r="D13" i="60" a="1"/>
  <c r="M21" i="60" a="1"/>
  <c r="I11" i="65" a="1"/>
  <c r="G15" i="60" a="1"/>
  <c r="P11" i="76" a="1"/>
  <c r="H11" i="65" a="1"/>
  <c r="S30" i="72" a="1"/>
  <c r="N20" i="73" a="1"/>
  <c r="N18" i="73" a="1"/>
  <c r="U15" i="73" a="1"/>
  <c r="P23" i="73" a="1"/>
  <c r="P24" i="65" a="1"/>
  <c r="E13" i="65" a="1"/>
  <c r="O23" i="65" a="1"/>
  <c r="C15" i="77" a="1"/>
  <c r="O10" i="77" a="1"/>
  <c r="E10" i="73" a="1"/>
  <c r="E18" i="65" a="1"/>
  <c r="D28" i="72" a="1"/>
  <c r="F14" i="60" a="1"/>
  <c r="N15" i="77" a="1"/>
  <c r="C18" i="73" a="1"/>
  <c r="P28" i="72" a="1"/>
  <c r="H5" i="65" a="1"/>
  <c r="J29" i="73" a="1"/>
  <c r="E11" i="73" a="1"/>
  <c r="H13" i="65" a="1"/>
  <c r="P13" i="72" a="1"/>
  <c r="E27" i="73" a="1"/>
  <c r="J7" i="65" a="1"/>
  <c r="C17" i="76" a="1"/>
  <c r="J20" i="72" a="1"/>
  <c r="T16" i="76" a="1"/>
  <c r="E7" i="65" a="1"/>
  <c r="I8" i="73" a="1"/>
  <c r="C25" i="73" a="1"/>
  <c r="O25" i="76" a="1"/>
  <c r="H12" i="72" a="1"/>
  <c r="J13" i="60" a="1"/>
  <c r="N18" i="72" a="1"/>
  <c r="N23" i="76" a="1"/>
  <c r="H16" i="76" a="1"/>
  <c r="P18" i="65" a="1"/>
  <c r="U30" i="73" a="1"/>
  <c r="U19" i="77" a="1"/>
  <c r="H24" i="76" a="1"/>
  <c r="C14" i="73" a="1"/>
  <c r="T30" i="77" a="1"/>
  <c r="N25" i="73" a="1"/>
  <c r="E9" i="73" a="1"/>
  <c r="I25" i="72" a="1"/>
  <c r="T6" i="77" a="1"/>
  <c r="I16" i="73" a="1"/>
  <c r="J24" i="60" a="1"/>
  <c r="J28" i="72" a="1"/>
  <c r="J8" i="76" a="1"/>
  <c r="J28" i="65" a="1"/>
  <c r="G6" i="60" a="1"/>
  <c r="O13" i="77" a="1"/>
  <c r="C26" i="76" a="1"/>
  <c r="I28" i="72" a="1"/>
  <c r="E19" i="65" a="1"/>
  <c r="I26" i="73" a="1"/>
  <c r="T19" i="65" a="1"/>
  <c r="I10" i="65" a="1"/>
  <c r="T8" i="65" a="1"/>
  <c r="S5" i="72" a="1"/>
  <c r="S8" i="72" a="1"/>
  <c r="O5" i="72" a="1"/>
  <c r="C15" i="73" a="1"/>
  <c r="D13" i="72" a="1"/>
  <c r="P25" i="72" a="1"/>
  <c r="K12" i="60" a="1"/>
  <c r="H23" i="65" a="1"/>
  <c r="T12" i="76" a="1"/>
  <c r="H14" i="76" a="1"/>
  <c r="T13" i="73" a="1"/>
  <c r="H21" i="65" a="1"/>
  <c r="P5" i="65" a="1"/>
  <c r="S21" i="77" a="1"/>
  <c r="U22" i="77" a="1"/>
  <c r="C8" i="65" a="1"/>
  <c r="O11" i="60" a="1"/>
  <c r="S17" i="72" a="1"/>
  <c r="D24" i="73" a="1"/>
  <c r="D5" i="72" a="1"/>
  <c r="C15" i="76" a="1"/>
  <c r="E23" i="72" a="1"/>
  <c r="E19" i="73" a="1"/>
  <c r="D28" i="73" a="1"/>
  <c r="D26" i="77" a="1"/>
  <c r="O16" i="77" a="1"/>
  <c r="D29" i="60" a="1"/>
  <c r="O29" i="72" a="1"/>
  <c r="G18" i="60" a="1"/>
  <c r="I16" i="77" a="1"/>
  <c r="D30" i="72" a="1"/>
  <c r="D25" i="60" a="1"/>
  <c r="J5" i="73" a="1"/>
  <c r="T19" i="76" a="1"/>
  <c r="N27" i="77" a="1"/>
  <c r="J12" i="77" a="1"/>
  <c r="H27" i="73" a="1"/>
  <c r="I16" i="76" a="1"/>
  <c r="G16" i="60" a="1"/>
  <c r="K15" i="60" a="1"/>
  <c r="U18" i="77" a="1"/>
  <c r="N23" i="65" a="1"/>
  <c r="C17" i="77" a="1"/>
  <c r="U29" i="65" a="1"/>
  <c r="S14" i="77" a="1"/>
  <c r="I23" i="76" a="1"/>
  <c r="J22" i="60" a="1"/>
  <c r="U14" i="77" a="1"/>
  <c r="T23" i="72" a="1"/>
  <c r="H23" i="77" a="1"/>
  <c r="E20" i="72" a="1"/>
  <c r="I27" i="65" a="1"/>
  <c r="K26" i="60" a="1"/>
  <c r="T11" i="77" a="1"/>
  <c r="J6" i="60" a="1"/>
  <c r="S18" i="73" a="1"/>
  <c r="T10" i="72" a="1"/>
  <c r="I23" i="65" a="1"/>
  <c r="D10" i="65" a="1"/>
  <c r="J23" i="65" a="1"/>
  <c r="O12" i="73" a="1"/>
  <c r="O18" i="72" a="1"/>
  <c r="M12" i="60" a="1"/>
  <c r="P27" i="77" a="1"/>
  <c r="N9" i="65" a="1"/>
  <c r="S24" i="77" a="1"/>
  <c r="O19" i="60" a="1"/>
  <c r="C13" i="72" a="1"/>
  <c r="C19" i="76" a="1"/>
  <c r="C11" i="65" a="1"/>
  <c r="J29" i="65" a="1"/>
  <c r="O28" i="72" a="1"/>
  <c r="U28" i="77" a="1"/>
  <c r="J22" i="77" a="1"/>
  <c r="U19" i="72" a="1"/>
  <c r="U10" i="76" a="1"/>
  <c r="U27" i="77" a="1"/>
  <c r="H12" i="65" a="1"/>
  <c r="M8" i="60" a="1"/>
  <c r="S21" i="73" a="1"/>
  <c r="H7" i="73" a="1"/>
  <c r="J14" i="76" a="1"/>
  <c r="J18" i="76" a="1"/>
  <c r="T29" i="76" a="1"/>
  <c r="D21" i="72" a="1"/>
  <c r="U8" i="73" a="1"/>
  <c r="O19" i="72" a="1"/>
  <c r="P20" i="65" a="1"/>
  <c r="G8" i="60" a="1"/>
  <c r="I29" i="65" a="1"/>
  <c r="N22" i="65" a="1"/>
  <c r="I30" i="77" a="1"/>
  <c r="J24" i="72" a="1"/>
  <c r="U21" i="65" a="1"/>
  <c r="H26" i="73" a="1"/>
  <c r="O18" i="60" a="1"/>
  <c r="O16" i="76" a="1"/>
  <c r="N7" i="65" a="1"/>
  <c r="C19" i="72" a="1"/>
  <c r="E21" i="72" a="1"/>
  <c r="C11" i="72" a="1"/>
  <c r="U27" i="73" a="1"/>
  <c r="P18" i="77" a="1"/>
  <c r="S15" i="77" a="1"/>
  <c r="K21" i="60" a="1"/>
  <c r="I26" i="77" a="1"/>
  <c r="K30" i="60" a="1"/>
  <c r="J30" i="73" a="1"/>
  <c r="U11" i="72" a="1"/>
  <c r="E18" i="60" a="1"/>
  <c r="U21" i="76" a="1"/>
  <c r="N20" i="72" a="1"/>
  <c r="H9" i="76" a="1"/>
  <c r="H20" i="65" a="1"/>
  <c r="O25" i="72" a="1"/>
  <c r="J19" i="73" a="1"/>
  <c r="D19" i="72" a="1"/>
  <c r="U18" i="76" a="1"/>
  <c r="D10" i="73" a="1"/>
  <c r="E20" i="60" a="1"/>
  <c r="E29" i="73" a="1"/>
  <c r="E29" i="60" a="1"/>
  <c r="H19" i="77" a="1"/>
  <c r="I23" i="77" a="1"/>
  <c r="H12" i="60" a="1"/>
  <c r="U14" i="73" a="1"/>
  <c r="P8" i="73" a="1"/>
  <c r="O29" i="77" a="1"/>
  <c r="D18" i="76" a="1"/>
  <c r="S13" i="73" a="1"/>
  <c r="D28" i="76" a="1"/>
  <c r="D6" i="76" a="1"/>
  <c r="F28" i="60" a="1"/>
  <c r="P15" i="76" a="1"/>
  <c r="J29" i="77" a="1"/>
  <c r="P21" i="72" a="1"/>
  <c r="T27" i="65" a="1"/>
  <c r="S25" i="72" a="1"/>
  <c r="C20" i="72" a="1"/>
  <c r="C6" i="65" a="1"/>
  <c r="D6" i="77" a="1"/>
  <c r="I9" i="72" a="1"/>
  <c r="C22" i="77" a="1"/>
  <c r="H17" i="65" a="1"/>
  <c r="I20" i="65" a="1"/>
  <c r="D14" i="73" a="1"/>
  <c r="H6" i="76" a="1"/>
  <c r="L18" i="60" a="1"/>
  <c r="I19" i="77" a="1"/>
  <c r="O7" i="65" a="1"/>
  <c r="T21" i="76" a="1"/>
  <c r="D15" i="73" a="1"/>
  <c r="E27" i="77" a="1"/>
  <c r="H26" i="76" a="1"/>
  <c r="D22" i="65" a="1"/>
  <c r="P14" i="73" a="1"/>
  <c r="J13" i="72" a="1"/>
  <c r="S21" i="76" a="1"/>
  <c r="G28" i="60" a="1"/>
  <c r="K29" i="60" a="1"/>
  <c r="J22" i="73" a="1"/>
  <c r="C12" i="65" a="1"/>
  <c r="D10" i="77" a="1"/>
  <c r="H15" i="65" a="1"/>
  <c r="O15" i="65" a="1"/>
  <c r="N11" i="72" a="1"/>
  <c r="D17" i="60" a="1"/>
  <c r="C24" i="77" a="1"/>
  <c r="O21" i="73" a="1"/>
  <c r="O22" i="65" a="1"/>
  <c r="P11" i="72" a="1"/>
  <c r="U10" i="65" a="1"/>
  <c r="P6" i="72" a="1"/>
  <c r="P19" i="76" a="1"/>
  <c r="C25" i="60" a="1"/>
  <c r="E16" i="73" a="1"/>
  <c r="O9" i="65" a="1"/>
  <c r="I28" i="76" a="1"/>
  <c r="C29" i="73" a="1"/>
  <c r="L7" i="60" a="1"/>
  <c r="J16" i="76" a="1"/>
  <c r="D22" i="77" a="1"/>
  <c r="D22" i="72" a="1"/>
  <c r="O24" i="73" a="1"/>
  <c r="C17" i="60" a="1"/>
  <c r="I21" i="77" a="1"/>
  <c r="O23" i="60" a="1"/>
  <c r="H16" i="65" a="1"/>
  <c r="O20" i="73" a="1"/>
  <c r="S11" i="77" a="1"/>
  <c r="H10" i="60" a="1"/>
  <c r="P13" i="76" a="1"/>
  <c r="T5" i="72" a="1"/>
  <c r="P26" i="77" a="1"/>
  <c r="O26" i="60" a="1"/>
  <c r="C7" i="65" a="1"/>
  <c r="H30" i="60" a="1"/>
  <c r="E28" i="76" a="1"/>
  <c r="D30" i="76" a="1"/>
  <c r="D21" i="77" a="1"/>
  <c r="K17" i="60" a="1"/>
  <c r="N7" i="77" a="1"/>
  <c r="D9" i="60" a="1"/>
  <c r="D7" i="76" a="1"/>
  <c r="D28" i="60" a="1"/>
  <c r="H29" i="65" a="1"/>
  <c r="J23" i="73" a="1"/>
  <c r="H9" i="72" a="1"/>
  <c r="M29" i="60" a="1"/>
  <c r="E26" i="73" a="1"/>
  <c r="O8" i="77" a="1"/>
  <c r="J24" i="65" a="1"/>
  <c r="T19" i="77" a="1"/>
  <c r="P6" i="77" a="1"/>
  <c r="M24" i="60" a="1"/>
  <c r="S13" i="72" a="1"/>
  <c r="C27" i="77" a="1"/>
  <c r="P8" i="72" a="1"/>
  <c r="I11" i="76" a="1"/>
  <c r="P27" i="73" a="1"/>
  <c r="J10" i="77" a="1"/>
  <c r="I25" i="73" a="1"/>
  <c r="C30" i="77" a="1"/>
  <c r="D11" i="65" a="1"/>
  <c r="E25" i="73" a="1"/>
  <c r="N7" i="72" a="1"/>
  <c r="L12" i="60" a="1"/>
  <c r="O30" i="76" a="1"/>
  <c r="D26" i="65" a="1"/>
  <c r="H28" i="65" a="1"/>
  <c r="I7" i="72" a="1"/>
  <c r="E13" i="73" a="1"/>
  <c r="D19" i="73" a="1"/>
  <c r="T27" i="73" a="1"/>
  <c r="S7" i="73" a="1"/>
  <c r="C6" i="73" a="1"/>
  <c r="T13" i="65" a="1"/>
  <c r="U19" i="73" a="1"/>
  <c r="I14" i="73" a="1"/>
  <c r="T6" i="73" a="1"/>
  <c r="S18" i="77" a="1"/>
  <c r="C9" i="77" a="1"/>
  <c r="N27" i="60" a="1"/>
  <c r="T5" i="77" a="1"/>
  <c r="J13" i="77" a="1"/>
  <c r="D9" i="73" a="1"/>
  <c r="S28" i="77" a="1"/>
  <c r="C18" i="77" a="1"/>
  <c r="J25" i="73" a="1"/>
  <c r="T26" i="76" a="1"/>
  <c r="J23" i="76" a="1"/>
  <c r="E8" i="60" a="1"/>
  <c r="U15" i="77" a="1"/>
  <c r="J11" i="76" a="1"/>
  <c r="C7" i="60" a="1"/>
  <c r="K25" i="60" a="1"/>
  <c r="J5" i="77" a="1"/>
  <c r="I27" i="77" a="1"/>
  <c r="N9" i="76" a="1"/>
  <c r="D8" i="72" a="1"/>
  <c r="P12" i="73" a="1"/>
  <c r="H27" i="77" a="1"/>
  <c r="E22" i="60" a="1"/>
  <c r="O12" i="77" a="1"/>
  <c r="C27" i="72" a="1"/>
  <c r="J25" i="77" a="1"/>
  <c r="O29" i="76" a="1"/>
  <c r="J29" i="60" a="1"/>
  <c r="U28" i="65" a="1"/>
  <c r="H6" i="60" a="1"/>
  <c r="I8" i="77" a="1"/>
  <c r="U30" i="65" a="1"/>
  <c r="D12" i="73" a="1"/>
  <c r="D10" i="72" a="1"/>
  <c r="I22" i="72" a="1"/>
  <c r="H14" i="73" a="1"/>
  <c r="D18" i="60" a="1"/>
  <c r="E24" i="72" a="1"/>
  <c r="J27" i="73" a="1"/>
  <c r="E28" i="73" a="1"/>
  <c r="I5" i="76" a="1"/>
  <c r="N30" i="60" a="1"/>
  <c r="P14" i="72" a="1"/>
  <c r="C30" i="72" a="1"/>
  <c r="I5" i="77" a="1"/>
  <c r="O13" i="60" a="1"/>
  <c r="T11" i="65" a="1"/>
  <c r="I22" i="76" a="1"/>
  <c r="H8" i="77" a="1"/>
  <c r="G10" i="60" a="1"/>
  <c r="E14" i="60" a="1"/>
  <c r="N23" i="77" a="1"/>
  <c r="C12" i="73" a="1"/>
  <c r="I24" i="72" a="1"/>
  <c r="C16" i="72" a="1"/>
  <c r="E21" i="60" a="1"/>
  <c r="T11" i="73" a="1"/>
  <c r="P7" i="72" a="1"/>
  <c r="H8" i="65" a="1"/>
  <c r="E7" i="60" a="1"/>
  <c r="T28" i="72" a="1"/>
  <c r="D18" i="72" a="1"/>
  <c r="C26" i="77" a="1"/>
  <c r="U13" i="77" a="1"/>
  <c r="C19" i="77" a="1"/>
  <c r="N17" i="76" a="1"/>
  <c r="E14" i="76" a="1"/>
  <c r="J6" i="72" a="1"/>
  <c r="J29" i="72" a="1"/>
  <c r="P6" i="65" a="1"/>
  <c r="O30" i="77" a="1"/>
  <c r="U10" i="72" a="1"/>
  <c r="T27" i="76" a="1"/>
  <c r="O6" i="77" a="1"/>
  <c r="U11" i="77" a="1"/>
  <c r="I18" i="76" a="1"/>
  <c r="I17" i="76" a="1"/>
  <c r="S25" i="77" a="1"/>
  <c r="L15" i="60" a="1"/>
  <c r="I7" i="73" a="1"/>
  <c r="C28" i="65" a="1"/>
  <c r="O24" i="60" a="1"/>
  <c r="P15" i="73" a="1"/>
  <c r="D26" i="76" a="1"/>
  <c r="O5" i="77" a="1"/>
  <c r="P22" i="72" a="1"/>
  <c r="N23" i="72" a="1"/>
  <c r="H25" i="76" a="1"/>
  <c r="E9" i="72" a="1"/>
  <c r="E6" i="76" a="1"/>
  <c r="E20" i="65" a="1"/>
  <c r="T29" i="65" a="1"/>
  <c r="T20" i="73" a="1"/>
  <c r="O8" i="76" a="1"/>
  <c r="D24" i="76" a="1"/>
  <c r="T12" i="65" a="1"/>
  <c r="T26" i="72" a="1"/>
  <c r="H26" i="77" a="1"/>
  <c r="J22" i="65" a="1"/>
  <c r="T29" i="77" a="1"/>
  <c r="U19" i="76" a="1"/>
  <c r="N23" i="60" a="1"/>
  <c r="U29" i="76" a="1"/>
  <c r="P30" i="72" a="1"/>
  <c r="O14" i="77" a="1"/>
  <c r="N6" i="77" a="1"/>
  <c r="C28" i="72" a="1"/>
  <c r="N25" i="77" a="1"/>
  <c r="E21" i="77" a="1"/>
  <c r="H21" i="60" a="1"/>
  <c r="T23" i="65" a="1"/>
  <c r="J27" i="76" a="1"/>
  <c r="J21" i="60" a="1"/>
  <c r="C23" i="77" a="1"/>
  <c r="P26" i="65" a="1"/>
  <c r="C27" i="73" a="1"/>
  <c r="I14" i="65" a="1"/>
  <c r="N18" i="60" a="1"/>
  <c r="U9" i="73" a="1"/>
  <c r="E23" i="76" a="1"/>
  <c r="H11" i="77" a="1"/>
  <c r="J17" i="76" a="1"/>
  <c r="O19" i="76" a="1"/>
  <c r="I5" i="65" a="1"/>
  <c r="I12" i="76" a="1"/>
  <c r="C11" i="76" a="1"/>
  <c r="G30" i="60" a="1"/>
  <c r="E6" i="65" a="1"/>
  <c r="P9" i="73" a="1"/>
  <c r="P25" i="73" a="1"/>
  <c r="P9" i="72" a="1"/>
  <c r="K20" i="60" a="1"/>
  <c r="U6" i="72" a="1"/>
  <c r="H11" i="73" a="1"/>
  <c r="N12" i="72" a="1"/>
  <c r="S16" i="76" a="1"/>
  <c r="P29" i="76" a="1"/>
  <c r="J14" i="77" a="1"/>
  <c r="U5" i="76" a="1"/>
  <c r="H20" i="72" a="1"/>
  <c r="T24" i="73" a="1"/>
  <c r="C14" i="76" a="1"/>
  <c r="P9" i="77" a="1"/>
  <c r="E12" i="76" a="1"/>
  <c r="H13" i="76" a="1"/>
  <c r="T14" i="77" a="1"/>
  <c r="O20" i="76" a="1"/>
  <c r="F17" i="60" a="1"/>
  <c r="N28" i="72" a="1"/>
  <c r="H27" i="60" a="1"/>
  <c r="U6" i="65" a="1"/>
  <c r="G5" i="60" a="1"/>
  <c r="P28" i="76" a="1"/>
  <c r="C25" i="76" a="1"/>
  <c r="N26" i="76" a="1"/>
  <c r="H8" i="72" a="1"/>
  <c r="I15" i="76" a="1"/>
  <c r="C23" i="73" a="1"/>
  <c r="J18" i="65" a="1"/>
  <c r="T20" i="77" a="1"/>
  <c r="G7" i="60" a="1"/>
  <c r="U25" i="73" a="1"/>
  <c r="E12" i="72" a="1"/>
  <c r="D9" i="72" a="1"/>
  <c r="J27" i="65" a="1"/>
  <c r="J27" i="72" a="1"/>
  <c r="D13" i="76" a="1"/>
  <c r="J6" i="77" a="1"/>
  <c r="E17" i="76" a="1"/>
  <c r="E13" i="72" a="1"/>
  <c r="U16" i="77" a="1"/>
  <c r="J7" i="73" a="1"/>
  <c r="C28" i="60" a="1"/>
  <c r="H15" i="72" a="1"/>
  <c r="E23" i="60" a="1"/>
  <c r="S28" i="76" a="1"/>
  <c r="T10" i="77" a="1"/>
  <c r="I26" i="72" a="1"/>
  <c r="G26" i="60" a="1"/>
  <c r="E8" i="77" a="1"/>
  <c r="C5" i="73" a="1"/>
  <c r="P15" i="77" a="1"/>
  <c r="T21" i="72" a="1"/>
  <c r="U5" i="73" a="1"/>
  <c r="J14" i="73" a="1"/>
  <c r="N24" i="65" a="1"/>
  <c r="O7" i="77" a="1"/>
  <c r="D15" i="76" a="1"/>
  <c r="S22" i="73" a="1"/>
  <c r="C14" i="65" a="1"/>
  <c r="H24" i="77" a="1"/>
  <c r="H18" i="60" a="1"/>
  <c r="C7" i="72" a="1"/>
  <c r="U10" i="77" a="1"/>
  <c r="O13" i="65" a="1"/>
  <c r="J10" i="60" a="1"/>
  <c r="P25" i="76" a="1"/>
  <c r="N21" i="72" a="1"/>
  <c r="E28" i="72" a="1"/>
  <c r="D16" i="72" a="1"/>
  <c r="M22" i="60" a="1"/>
  <c r="O20" i="65" a="1"/>
  <c r="O16" i="73" a="1"/>
  <c r="H23" i="73" a="1"/>
  <c r="U8" i="72" a="1"/>
  <c r="E6" i="77" a="1"/>
  <c r="N13" i="77" a="1"/>
  <c r="O22" i="72" a="1"/>
  <c r="C8" i="77" a="1"/>
  <c r="O22" i="77" a="1"/>
  <c r="N5" i="72" a="1"/>
  <c r="L9" i="60" a="1"/>
  <c r="O7" i="60" a="1"/>
  <c r="J6" i="76" a="1"/>
  <c r="P17" i="72" a="1"/>
  <c r="H12" i="76" a="1"/>
  <c r="C23" i="60" a="1"/>
  <c r="E26" i="77" a="1"/>
  <c r="O27" i="77" a="1"/>
  <c r="D29" i="73" a="1"/>
  <c r="M25" i="60" a="1"/>
  <c r="D27" i="73" a="1"/>
  <c r="P25" i="65" a="1"/>
  <c r="S15" i="73" a="1"/>
  <c r="M19" i="60" a="1"/>
  <c r="N15" i="72" a="1"/>
  <c r="J17" i="77" a="1"/>
  <c r="C12" i="60" a="1"/>
  <c r="I21" i="65" a="1"/>
  <c r="J5" i="76" a="1"/>
  <c r="T15" i="72" a="1"/>
  <c r="S16" i="72" a="1"/>
  <c r="C8" i="73" a="1"/>
  <c r="T30" i="65" a="1"/>
  <c r="H10" i="73" a="1"/>
  <c r="J11" i="73" a="1"/>
  <c r="H13" i="77" a="1"/>
  <c r="S26" i="72" a="1"/>
  <c r="N8" i="73" a="1"/>
  <c r="E27" i="76" a="1"/>
  <c r="S27" i="72" a="1"/>
  <c r="H29" i="72" a="1"/>
  <c r="U11" i="73" a="1"/>
  <c r="D28" i="77" a="1"/>
  <c r="K18" i="60" a="1"/>
  <c r="P12" i="76" a="1"/>
  <c r="H6" i="73" a="1"/>
  <c r="J19" i="65" a="1"/>
  <c r="U15" i="65" a="1"/>
  <c r="S20" i="77" a="1"/>
  <c r="O18" i="65" a="1"/>
  <c r="I11" i="73" a="1"/>
  <c r="E18" i="77" a="1"/>
  <c r="E11" i="60" a="1"/>
  <c r="T10" i="73" a="1"/>
  <c r="D11" i="60" a="1"/>
  <c r="T18" i="76" a="1"/>
  <c r="C17" i="65" a="1"/>
  <c r="I21" i="73" a="1"/>
  <c r="H13" i="73" a="1"/>
  <c r="N22" i="60" a="1"/>
  <c r="J13" i="65" a="1"/>
  <c r="U28" i="76" a="1"/>
  <c r="U13" i="65" a="1"/>
  <c r="I10" i="72" a="1"/>
  <c r="G11" i="60" a="1"/>
  <c r="P10" i="72" a="1"/>
  <c r="T19" i="72" a="1"/>
  <c r="N9" i="72" a="1"/>
  <c r="H30" i="72" a="1"/>
  <c r="K22" i="60" a="1"/>
  <c r="J24" i="73" a="1"/>
  <c r="L25" i="60" a="1"/>
  <c r="E19" i="77" a="1"/>
  <c r="C5" i="76" a="1"/>
  <c r="D30" i="60" a="1"/>
  <c r="E8" i="65" a="1"/>
  <c r="E27" i="65" a="1"/>
  <c r="S25" i="76" a="1"/>
  <c r="U20" i="65" a="1"/>
  <c r="N27" i="76" a="1"/>
  <c r="H8" i="76" a="1"/>
  <c r="J26" i="72" a="1"/>
  <c r="H24" i="72" a="1"/>
  <c r="N12" i="76" a="1"/>
  <c r="O15" i="72" a="1"/>
  <c r="H6" i="72" a="1"/>
  <c r="C16" i="73" a="1"/>
  <c r="J28" i="60" a="1"/>
  <c r="C9" i="72" a="1"/>
  <c r="P30" i="77" a="1"/>
  <c r="I26" i="65" a="1"/>
  <c r="H26" i="72" a="1"/>
  <c r="H17" i="72" a="1"/>
  <c r="N5" i="65" a="1"/>
  <c r="T19" i="73" a="1"/>
  <c r="H19" i="65" a="1"/>
  <c r="C18" i="60" a="1"/>
  <c r="O11" i="72" a="1"/>
  <c r="I17" i="73" a="1"/>
  <c r="O27" i="76" a="1"/>
  <c r="C30" i="73" a="1"/>
  <c r="N29" i="72" a="1"/>
  <c r="P25" i="77" a="1"/>
  <c r="P22" i="77" a="1"/>
  <c r="L23" i="60" a="1"/>
  <c r="O29" i="65" a="1"/>
  <c r="J17" i="73" a="1"/>
  <c r="C23" i="72" a="1"/>
  <c r="J25" i="65" a="1"/>
  <c r="H22" i="60" a="1"/>
  <c r="D23" i="77" a="1"/>
  <c r="N11" i="60" a="1"/>
  <c r="U25" i="77" a="1"/>
  <c r="U27" i="72" a="1"/>
  <c r="K5" i="60" a="1"/>
  <c r="S12" i="73" a="1"/>
  <c r="P26" i="76" a="1"/>
  <c r="T29" i="73" a="1"/>
  <c r="D7" i="65" a="1"/>
  <c r="N24" i="72" a="1"/>
  <c r="D15" i="65" a="1"/>
  <c r="T6" i="65" a="1"/>
  <c r="I28" i="73" a="1"/>
  <c r="S23" i="77" a="1"/>
  <c r="S18" i="76" a="1"/>
  <c r="O28" i="77" a="1"/>
  <c r="D6" i="73" a="1"/>
  <c r="J21" i="77" a="1"/>
  <c r="S7" i="72" a="1"/>
  <c r="N10" i="77" a="1"/>
  <c r="C20" i="73" a="1"/>
  <c r="F20" i="60" a="1"/>
  <c r="O10" i="76" a="1"/>
  <c r="T22" i="72" a="1"/>
  <c r="P14" i="65" a="1"/>
  <c r="D14" i="77" a="1"/>
  <c r="U13" i="73" a="1"/>
  <c r="H28" i="60" a="1"/>
  <c r="I7" i="76" a="1"/>
  <c r="O21" i="65" a="1"/>
  <c r="D14" i="72" a="1"/>
  <c r="H14" i="60" a="1"/>
  <c r="T9" i="73" a="1"/>
  <c r="N18" i="76" a="1"/>
  <c r="D8" i="76" a="1"/>
  <c r="J25" i="72" a="1"/>
  <c r="I14" i="72" a="1"/>
  <c r="D17" i="73" a="1"/>
  <c r="O17" i="60" a="1"/>
  <c r="T28" i="77" a="1"/>
  <c r="T23" i="76" a="1"/>
  <c r="T7" i="72" a="1"/>
  <c r="M17" i="60" a="1"/>
  <c r="N29" i="76" a="1"/>
  <c r="P12" i="77" a="1"/>
  <c r="N13" i="76" a="1"/>
  <c r="U11" i="76" a="1"/>
  <c r="U17" i="72" a="1"/>
  <c r="T8" i="73" a="1"/>
  <c r="D27" i="60" a="1"/>
  <c r="H14" i="77" a="1"/>
  <c r="H24" i="77" l="1"/>
  <c r="J29" i="60"/>
  <c r="H21" i="60"/>
  <c r="D10" i="73"/>
  <c r="N20" i="72"/>
  <c r="S28" i="77"/>
  <c r="I16" i="73"/>
  <c r="D26" i="65"/>
  <c r="I5" i="77"/>
  <c r="U27" i="72"/>
  <c r="I17" i="73"/>
  <c r="H6" i="72"/>
  <c r="J5" i="76"/>
  <c r="J14" i="77"/>
  <c r="P25" i="73"/>
  <c r="U18" i="76"/>
  <c r="U21" i="76"/>
  <c r="C14" i="65"/>
  <c r="T6" i="77"/>
  <c r="H11" i="77"/>
  <c r="E21" i="77"/>
  <c r="D9" i="73"/>
  <c r="O30" i="76"/>
  <c r="E18" i="77"/>
  <c r="M17" i="60"/>
  <c r="S16" i="72"/>
  <c r="O15" i="72"/>
  <c r="D19" i="72"/>
  <c r="E18" i="60"/>
  <c r="I21" i="65"/>
  <c r="I25" i="72"/>
  <c r="D26" i="76"/>
  <c r="C14" i="76"/>
  <c r="S22" i="73"/>
  <c r="U10" i="72"/>
  <c r="N25" i="77"/>
  <c r="T28" i="72"/>
  <c r="L12" i="60"/>
  <c r="U5" i="76"/>
  <c r="J19" i="73"/>
  <c r="U11" i="72"/>
  <c r="U25" i="77"/>
  <c r="E9" i="73"/>
  <c r="I7" i="76"/>
  <c r="N12" i="76"/>
  <c r="C12" i="60"/>
  <c r="P29" i="76"/>
  <c r="E24" i="72"/>
  <c r="D15" i="76"/>
  <c r="O29" i="76"/>
  <c r="J11" i="76"/>
  <c r="O25" i="72"/>
  <c r="J30" i="73"/>
  <c r="J13" i="77"/>
  <c r="N25" i="73"/>
  <c r="N7" i="72"/>
  <c r="C30" i="72"/>
  <c r="T7" i="72"/>
  <c r="O11" i="72"/>
  <c r="H24" i="72"/>
  <c r="J17" i="77"/>
  <c r="H8" i="72"/>
  <c r="I7" i="73"/>
  <c r="H20" i="65"/>
  <c r="K30" i="60"/>
  <c r="O7" i="77"/>
  <c r="T30" i="77"/>
  <c r="E23" i="76"/>
  <c r="U15" i="77"/>
  <c r="T5" i="77"/>
  <c r="H14" i="77"/>
  <c r="N11" i="60"/>
  <c r="C18" i="60"/>
  <c r="J26" i="72"/>
  <c r="H9" i="76"/>
  <c r="I26" i="77"/>
  <c r="N15" i="72"/>
  <c r="C14" i="73"/>
  <c r="N26" i="76"/>
  <c r="T24" i="73"/>
  <c r="N24" i="65"/>
  <c r="J25" i="77"/>
  <c r="C28" i="72"/>
  <c r="N27" i="60"/>
  <c r="E25" i="73"/>
  <c r="O5" i="77"/>
  <c r="E28" i="76"/>
  <c r="K21" i="60"/>
  <c r="D23" i="77"/>
  <c r="H24" i="76"/>
  <c r="H28" i="60"/>
  <c r="H8" i="76"/>
  <c r="M19" i="60"/>
  <c r="P14" i="72"/>
  <c r="D18" i="60"/>
  <c r="J14" i="73"/>
  <c r="O30" i="77"/>
  <c r="N6" i="77"/>
  <c r="S15" i="77"/>
  <c r="C9" i="77"/>
  <c r="U19" i="77"/>
  <c r="D11" i="65"/>
  <c r="I11" i="73"/>
  <c r="T23" i="76"/>
  <c r="T15" i="72"/>
  <c r="N27" i="76"/>
  <c r="S15" i="73"/>
  <c r="C25" i="76"/>
  <c r="P9" i="73"/>
  <c r="H30" i="60"/>
  <c r="P18" i="77"/>
  <c r="U5" i="73"/>
  <c r="U30" i="73"/>
  <c r="U9" i="73"/>
  <c r="O14" i="77"/>
  <c r="E7" i="60"/>
  <c r="C30" i="77"/>
  <c r="D27" i="60"/>
  <c r="H22" i="60"/>
  <c r="U13" i="73"/>
  <c r="U20" i="65"/>
  <c r="C7" i="65"/>
  <c r="U27" i="73"/>
  <c r="P25" i="65"/>
  <c r="P18" i="65"/>
  <c r="N30" i="60"/>
  <c r="H5" i="73"/>
  <c r="U10" i="77"/>
  <c r="T21" i="72"/>
  <c r="C27" i="72"/>
  <c r="E8" i="60"/>
  <c r="S18" i="77"/>
  <c r="I25" i="73"/>
  <c r="O26" i="60"/>
  <c r="C11" i="72"/>
  <c r="O18" i="65"/>
  <c r="H16" i="76"/>
  <c r="T28" i="77"/>
  <c r="T25" i="76"/>
  <c r="H19" i="65"/>
  <c r="S25" i="76"/>
  <c r="D27" i="73"/>
  <c r="P28" i="76"/>
  <c r="H20" i="72"/>
  <c r="P15" i="77"/>
  <c r="P26" i="77"/>
  <c r="E21" i="72"/>
  <c r="P6" i="65"/>
  <c r="N23" i="76"/>
  <c r="J23" i="76"/>
  <c r="J20" i="65"/>
  <c r="T6" i="73"/>
  <c r="J10" i="77"/>
  <c r="T8" i="73"/>
  <c r="O17" i="60"/>
  <c r="D14" i="77"/>
  <c r="E27" i="65"/>
  <c r="T5" i="72"/>
  <c r="C19" i="72"/>
  <c r="M25" i="60"/>
  <c r="N18" i="72"/>
  <c r="G5" i="60"/>
  <c r="U30" i="72"/>
  <c r="L15" i="60"/>
  <c r="C5" i="73"/>
  <c r="L6" i="60"/>
  <c r="N18" i="60"/>
  <c r="P30" i="72"/>
  <c r="H8" i="65"/>
  <c r="P13" i="76"/>
  <c r="N7" i="65"/>
  <c r="P27" i="73"/>
  <c r="J13" i="60"/>
  <c r="S20" i="77"/>
  <c r="L28" i="60"/>
  <c r="D17" i="73"/>
  <c r="P14" i="65"/>
  <c r="O27" i="73"/>
  <c r="E8" i="65"/>
  <c r="D29" i="73"/>
  <c r="U6" i="65"/>
  <c r="H10" i="60"/>
  <c r="O16" i="76"/>
  <c r="H14" i="73"/>
  <c r="H12" i="72"/>
  <c r="E8" i="77"/>
  <c r="S11" i="76"/>
  <c r="O12" i="77"/>
  <c r="T26" i="76"/>
  <c r="N26" i="77"/>
  <c r="I14" i="73"/>
  <c r="U17" i="72"/>
  <c r="S11" i="77"/>
  <c r="O18" i="60"/>
  <c r="I14" i="72"/>
  <c r="O25" i="76"/>
  <c r="C26" i="65"/>
  <c r="U23" i="76"/>
  <c r="T19" i="73"/>
  <c r="D30" i="60"/>
  <c r="U6" i="73"/>
  <c r="O27" i="77"/>
  <c r="H27" i="60"/>
  <c r="I22" i="72"/>
  <c r="O20" i="73"/>
  <c r="H26" i="73"/>
  <c r="G26" i="60"/>
  <c r="C25" i="73"/>
  <c r="T16" i="72"/>
  <c r="L24" i="60"/>
  <c r="J29" i="72"/>
  <c r="U29" i="76"/>
  <c r="O5" i="76"/>
  <c r="U19" i="73"/>
  <c r="I11" i="76"/>
  <c r="U15" i="65"/>
  <c r="H16" i="65"/>
  <c r="U21" i="65"/>
  <c r="J25" i="65"/>
  <c r="I8" i="73"/>
  <c r="U7" i="72"/>
  <c r="C6" i="76"/>
  <c r="T22" i="72"/>
  <c r="C5" i="76"/>
  <c r="J10" i="76"/>
  <c r="E26" i="77"/>
  <c r="S16" i="76"/>
  <c r="S25" i="77"/>
  <c r="O23" i="60"/>
  <c r="J24" i="72"/>
  <c r="I26" i="72"/>
  <c r="E7" i="65"/>
  <c r="P21" i="73"/>
  <c r="I27" i="72"/>
  <c r="E22" i="60"/>
  <c r="J25" i="73"/>
  <c r="N11" i="73"/>
  <c r="T13" i="65"/>
  <c r="P8" i="72"/>
  <c r="U11" i="76"/>
  <c r="I21" i="77"/>
  <c r="I30" i="77"/>
  <c r="J25" i="72"/>
  <c r="T16" i="76"/>
  <c r="H19" i="72"/>
  <c r="H30" i="77"/>
  <c r="O10" i="76"/>
  <c r="E19" i="77"/>
  <c r="C6" i="60"/>
  <c r="C23" i="60"/>
  <c r="I5" i="76"/>
  <c r="E6" i="65"/>
  <c r="C17" i="60"/>
  <c r="N22" i="65"/>
  <c r="T10" i="77"/>
  <c r="J20" i="72"/>
  <c r="H28" i="76"/>
  <c r="M5" i="60"/>
  <c r="I14" i="65"/>
  <c r="C26" i="77"/>
  <c r="S8" i="73"/>
  <c r="C6" i="73"/>
  <c r="C27" i="77"/>
  <c r="J19" i="65"/>
  <c r="I29" i="65"/>
  <c r="C23" i="72"/>
  <c r="C17" i="76"/>
  <c r="S24" i="72"/>
  <c r="D13" i="73"/>
  <c r="N5" i="65"/>
  <c r="L25" i="60"/>
  <c r="O10" i="72"/>
  <c r="H12" i="76"/>
  <c r="N28" i="72"/>
  <c r="I17" i="76"/>
  <c r="O24" i="73"/>
  <c r="G8" i="60"/>
  <c r="S28" i="76"/>
  <c r="J7" i="65"/>
  <c r="P19" i="72"/>
  <c r="S29" i="77"/>
  <c r="C27" i="73"/>
  <c r="C18" i="77"/>
  <c r="O27" i="72"/>
  <c r="S7" i="73"/>
  <c r="S13" i="72"/>
  <c r="N13" i="76"/>
  <c r="D22" i="72"/>
  <c r="P20" i="65"/>
  <c r="D8" i="76"/>
  <c r="E27" i="73"/>
  <c r="E21" i="73"/>
  <c r="U24" i="77"/>
  <c r="S13" i="77"/>
  <c r="H17" i="72"/>
  <c r="H22" i="72"/>
  <c r="J24" i="73"/>
  <c r="P17" i="72"/>
  <c r="N12" i="72"/>
  <c r="J10" i="73"/>
  <c r="D22" i="77"/>
  <c r="O19" i="72"/>
  <c r="G30" i="60"/>
  <c r="P13" i="72"/>
  <c r="K6" i="60"/>
  <c r="S19" i="77"/>
  <c r="I17" i="65"/>
  <c r="E23" i="60"/>
  <c r="N30" i="76"/>
  <c r="H27" i="77"/>
  <c r="N23" i="60"/>
  <c r="O14" i="60"/>
  <c r="P7" i="72"/>
  <c r="J16" i="76"/>
  <c r="U8" i="73"/>
  <c r="M24" i="60"/>
  <c r="H13" i="65"/>
  <c r="L27" i="60"/>
  <c r="D27" i="76"/>
  <c r="P28" i="65"/>
  <c r="H6" i="73"/>
  <c r="T14" i="73"/>
  <c r="J17" i="73"/>
  <c r="I12" i="77"/>
  <c r="F20" i="60"/>
  <c r="K22" i="60"/>
  <c r="L7" i="60"/>
  <c r="D21" i="72"/>
  <c r="J6" i="76"/>
  <c r="E11" i="73"/>
  <c r="J28" i="76"/>
  <c r="P19" i="65"/>
  <c r="P21" i="77"/>
  <c r="P25" i="76"/>
  <c r="I6" i="73"/>
  <c r="J28" i="73"/>
  <c r="D10" i="72"/>
  <c r="H15" i="72"/>
  <c r="P26" i="65"/>
  <c r="C29" i="73"/>
  <c r="T29" i="76"/>
  <c r="D18" i="72"/>
  <c r="J29" i="73"/>
  <c r="M11" i="60"/>
  <c r="E18" i="73"/>
  <c r="P19" i="73"/>
  <c r="C8" i="60"/>
  <c r="U26" i="73"/>
  <c r="T27" i="73"/>
  <c r="S24" i="76"/>
  <c r="P6" i="77"/>
  <c r="P12" i="77"/>
  <c r="O29" i="65"/>
  <c r="I28" i="76"/>
  <c r="J18" i="76"/>
  <c r="H26" i="72"/>
  <c r="H5" i="65"/>
  <c r="J11" i="72"/>
  <c r="F8" i="60"/>
  <c r="I14" i="76"/>
  <c r="C19" i="65"/>
  <c r="H30" i="72"/>
  <c r="G27" i="60"/>
  <c r="O7" i="60"/>
  <c r="E28" i="73"/>
  <c r="C11" i="76"/>
  <c r="O9" i="65"/>
  <c r="J14" i="76"/>
  <c r="C28" i="60"/>
  <c r="N22" i="73"/>
  <c r="O17" i="72"/>
  <c r="P28" i="72"/>
  <c r="C26" i="60"/>
  <c r="P16" i="76"/>
  <c r="H22" i="77"/>
  <c r="P12" i="73"/>
  <c r="D16" i="77"/>
  <c r="U19" i="76"/>
  <c r="D19" i="73"/>
  <c r="T19" i="77"/>
  <c r="E16" i="73"/>
  <c r="U29" i="73"/>
  <c r="D17" i="76"/>
  <c r="H7" i="73"/>
  <c r="P12" i="76"/>
  <c r="C18" i="73"/>
  <c r="O6" i="73"/>
  <c r="U9" i="77"/>
  <c r="S17" i="76"/>
  <c r="N18" i="76"/>
  <c r="O13" i="72"/>
  <c r="C20" i="73"/>
  <c r="N9" i="72"/>
  <c r="S7" i="77"/>
  <c r="L19" i="60"/>
  <c r="L9" i="60"/>
  <c r="C25" i="60"/>
  <c r="S21" i="73"/>
  <c r="J10" i="60"/>
  <c r="N15" i="77"/>
  <c r="D21" i="60"/>
  <c r="E13" i="60"/>
  <c r="O24" i="72"/>
  <c r="I18" i="76"/>
  <c r="J14" i="60"/>
  <c r="S30" i="76"/>
  <c r="J7" i="73"/>
  <c r="C23" i="77"/>
  <c r="T29" i="77"/>
  <c r="P19" i="76"/>
  <c r="M8" i="60"/>
  <c r="T11" i="73"/>
  <c r="F14" i="60"/>
  <c r="P21" i="76"/>
  <c r="P5" i="73"/>
  <c r="T17" i="77"/>
  <c r="D25" i="65"/>
  <c r="H13" i="60"/>
  <c r="J24" i="65"/>
  <c r="D21" i="65"/>
  <c r="K18" i="60"/>
  <c r="L23" i="60"/>
  <c r="N10" i="77"/>
  <c r="P6" i="72"/>
  <c r="H12" i="65"/>
  <c r="T19" i="72"/>
  <c r="D28" i="72"/>
  <c r="J19" i="72"/>
  <c r="H9" i="60"/>
  <c r="P10" i="73"/>
  <c r="H11" i="76"/>
  <c r="T21" i="77"/>
  <c r="N20" i="65"/>
  <c r="N13" i="60"/>
  <c r="N5" i="72"/>
  <c r="H11" i="73"/>
  <c r="D12" i="73"/>
  <c r="U10" i="65"/>
  <c r="U27" i="77"/>
  <c r="U16" i="77"/>
  <c r="J25" i="76"/>
  <c r="I15" i="77"/>
  <c r="E18" i="65"/>
  <c r="E12" i="77"/>
  <c r="N19" i="60"/>
  <c r="N15" i="60"/>
  <c r="N16" i="73"/>
  <c r="U15" i="76"/>
  <c r="D8" i="72"/>
  <c r="J22" i="65"/>
  <c r="E21" i="60"/>
  <c r="P11" i="72"/>
  <c r="I14" i="77"/>
  <c r="T15" i="76"/>
  <c r="U10" i="76"/>
  <c r="O8" i="77"/>
  <c r="E10" i="73"/>
  <c r="N5" i="77"/>
  <c r="S11" i="73"/>
  <c r="P7" i="73"/>
  <c r="U28" i="72"/>
  <c r="T13" i="72"/>
  <c r="D28" i="77"/>
  <c r="H13" i="77"/>
  <c r="U22" i="76"/>
  <c r="G20" i="60"/>
  <c r="S7" i="72"/>
  <c r="O22" i="65"/>
  <c r="U19" i="72"/>
  <c r="P10" i="72"/>
  <c r="O10" i="77"/>
  <c r="M7" i="60"/>
  <c r="F25" i="60"/>
  <c r="J7" i="76"/>
  <c r="T27" i="77"/>
  <c r="D20" i="77"/>
  <c r="C25" i="65"/>
  <c r="O6" i="72"/>
  <c r="O22" i="77"/>
  <c r="P15" i="73"/>
  <c r="C7" i="72"/>
  <c r="O21" i="73"/>
  <c r="J22" i="77"/>
  <c r="E13" i="72"/>
  <c r="C15" i="77"/>
  <c r="C20" i="77"/>
  <c r="E11" i="77"/>
  <c r="D25" i="73"/>
  <c r="D19" i="77"/>
  <c r="E30" i="73"/>
  <c r="N10" i="72"/>
  <c r="O30" i="60"/>
  <c r="J6" i="72"/>
  <c r="H26" i="77"/>
  <c r="C16" i="72"/>
  <c r="C24" i="77"/>
  <c r="U28" i="77"/>
  <c r="E26" i="73"/>
  <c r="O23" i="65"/>
  <c r="C16" i="65"/>
  <c r="E17" i="72"/>
  <c r="J17" i="65"/>
  <c r="F26" i="60"/>
  <c r="S9" i="77"/>
  <c r="S26" i="73"/>
  <c r="N17" i="72"/>
  <c r="U11" i="73"/>
  <c r="P22" i="77"/>
  <c r="J21" i="77"/>
  <c r="D17" i="60"/>
  <c r="O28" i="72"/>
  <c r="G11" i="60"/>
  <c r="M13" i="60"/>
  <c r="T11" i="72"/>
  <c r="E13" i="65"/>
  <c r="N9" i="77"/>
  <c r="D28" i="65"/>
  <c r="T7" i="65"/>
  <c r="J9" i="77"/>
  <c r="T29" i="72"/>
  <c r="C8" i="77"/>
  <c r="U6" i="72"/>
  <c r="I12" i="76"/>
  <c r="N11" i="72"/>
  <c r="C27" i="76"/>
  <c r="O16" i="65"/>
  <c r="J29" i="65"/>
  <c r="E17" i="76"/>
  <c r="P24" i="65"/>
  <c r="E25" i="65"/>
  <c r="E7" i="76"/>
  <c r="O14" i="72"/>
  <c r="N28" i="73"/>
  <c r="T25" i="65"/>
  <c r="N9" i="76"/>
  <c r="T26" i="72"/>
  <c r="H23" i="76"/>
  <c r="D5" i="76"/>
  <c r="I24" i="72"/>
  <c r="O15" i="65"/>
  <c r="C11" i="65"/>
  <c r="P23" i="73"/>
  <c r="N21" i="76"/>
  <c r="G22" i="60"/>
  <c r="M27" i="60"/>
  <c r="I25" i="76"/>
  <c r="J18" i="60"/>
  <c r="O25" i="77"/>
  <c r="P7" i="76"/>
  <c r="N6" i="65"/>
  <c r="P10" i="76"/>
  <c r="H29" i="72"/>
  <c r="T9" i="73"/>
  <c r="I26" i="65"/>
  <c r="C19" i="76"/>
  <c r="I10" i="72"/>
  <c r="U15" i="73"/>
  <c r="S22" i="77"/>
  <c r="C5" i="72"/>
  <c r="E22" i="72"/>
  <c r="J26" i="77"/>
  <c r="O17" i="65"/>
  <c r="D22" i="73"/>
  <c r="S10" i="72"/>
  <c r="N16" i="60"/>
  <c r="S18" i="72"/>
  <c r="O22" i="72"/>
  <c r="F17" i="60"/>
  <c r="U30" i="65"/>
  <c r="H15" i="65"/>
  <c r="C9" i="60"/>
  <c r="C20" i="65"/>
  <c r="U10" i="73"/>
  <c r="E15" i="77"/>
  <c r="C13" i="72"/>
  <c r="J6" i="77"/>
  <c r="N18" i="73"/>
  <c r="E16" i="65"/>
  <c r="P11" i="73"/>
  <c r="C9" i="73"/>
  <c r="S27" i="77"/>
  <c r="K11" i="60"/>
  <c r="S23" i="73"/>
  <c r="J11" i="65"/>
  <c r="U26" i="72"/>
  <c r="D17" i="77"/>
  <c r="D23" i="65"/>
  <c r="E14" i="76"/>
  <c r="T12" i="65"/>
  <c r="E13" i="73"/>
  <c r="D20" i="73"/>
  <c r="D10" i="77"/>
  <c r="O19" i="60"/>
  <c r="M29" i="60"/>
  <c r="I25" i="77"/>
  <c r="F27" i="60"/>
  <c r="S19" i="72"/>
  <c r="J10" i="72"/>
  <c r="N20" i="73"/>
  <c r="S27" i="73"/>
  <c r="J9" i="65"/>
  <c r="P12" i="72"/>
  <c r="C7" i="76"/>
  <c r="I9" i="77"/>
  <c r="P15" i="72"/>
  <c r="N24" i="72"/>
  <c r="E23" i="73"/>
  <c r="O28" i="76"/>
  <c r="T8" i="76"/>
  <c r="P18" i="72"/>
  <c r="J11" i="73"/>
  <c r="P30" i="77"/>
  <c r="C12" i="65"/>
  <c r="S24" i="77"/>
  <c r="E16" i="60"/>
  <c r="U13" i="65"/>
  <c r="S30" i="72"/>
  <c r="O9" i="73"/>
  <c r="C17" i="73"/>
  <c r="D8" i="65"/>
  <c r="U9" i="72"/>
  <c r="H28" i="73"/>
  <c r="P29" i="72"/>
  <c r="D29" i="72"/>
  <c r="H21" i="73"/>
  <c r="D26" i="60"/>
  <c r="T12" i="73"/>
  <c r="N13" i="77"/>
  <c r="O24" i="60"/>
  <c r="U11" i="77"/>
  <c r="F13" i="60"/>
  <c r="D16" i="65"/>
  <c r="S7" i="76"/>
  <c r="H28" i="77"/>
  <c r="J22" i="73"/>
  <c r="N9" i="65"/>
  <c r="D13" i="76"/>
  <c r="H11" i="65"/>
  <c r="S16" i="73"/>
  <c r="H18" i="72"/>
  <c r="I13" i="65"/>
  <c r="I9" i="76"/>
  <c r="U23" i="73"/>
  <c r="D30" i="77"/>
  <c r="C22" i="60"/>
  <c r="U23" i="65"/>
  <c r="H16" i="60"/>
  <c r="N25" i="72"/>
  <c r="I27" i="77"/>
  <c r="D24" i="76"/>
  <c r="N19" i="77"/>
  <c r="C12" i="73"/>
  <c r="K29" i="60"/>
  <c r="P27" i="77"/>
  <c r="I18" i="72"/>
  <c r="J30" i="76"/>
  <c r="U5" i="72"/>
  <c r="H15" i="60"/>
  <c r="H9" i="72"/>
  <c r="P11" i="76"/>
  <c r="O24" i="76"/>
  <c r="I27" i="73"/>
  <c r="I30" i="72"/>
  <c r="S29" i="72"/>
  <c r="N12" i="73"/>
  <c r="J26" i="73"/>
  <c r="N9" i="60"/>
  <c r="E28" i="65"/>
  <c r="H27" i="72"/>
  <c r="P29" i="65"/>
  <c r="S27" i="72"/>
  <c r="P25" i="77"/>
  <c r="C9" i="72"/>
  <c r="G28" i="60"/>
  <c r="T5" i="76"/>
  <c r="M12" i="60"/>
  <c r="D26" i="77"/>
  <c r="G15" i="60"/>
  <c r="N6" i="76"/>
  <c r="H17" i="60"/>
  <c r="S14" i="73"/>
  <c r="U12" i="77"/>
  <c r="P24" i="72"/>
  <c r="S16" i="77"/>
  <c r="E19" i="72"/>
  <c r="T22" i="65"/>
  <c r="H7" i="77"/>
  <c r="I11" i="72"/>
  <c r="U28" i="76"/>
  <c r="N21" i="73"/>
  <c r="N28" i="65"/>
  <c r="I13" i="73"/>
  <c r="J8" i="60"/>
  <c r="K20" i="60"/>
  <c r="S21" i="76"/>
  <c r="D28" i="73"/>
  <c r="H27" i="76"/>
  <c r="I11" i="65"/>
  <c r="D20" i="72"/>
  <c r="T6" i="76"/>
  <c r="C29" i="77"/>
  <c r="O13" i="73"/>
  <c r="P29" i="73"/>
  <c r="O17" i="73"/>
  <c r="T17" i="72"/>
  <c r="N8" i="60"/>
  <c r="C29" i="72"/>
  <c r="U25" i="76"/>
  <c r="J27" i="72"/>
  <c r="J21" i="60"/>
  <c r="J13" i="72"/>
  <c r="P30" i="76"/>
  <c r="D27" i="72"/>
  <c r="O27" i="60"/>
  <c r="P27" i="76"/>
  <c r="O18" i="72"/>
  <c r="E19" i="73"/>
  <c r="M21" i="60"/>
  <c r="I12" i="73"/>
  <c r="F18" i="60"/>
  <c r="T30" i="73"/>
  <c r="U21" i="72"/>
  <c r="E7" i="72"/>
  <c r="N24" i="60"/>
  <c r="D11" i="76"/>
  <c r="I28" i="77"/>
  <c r="C12" i="76"/>
  <c r="C27" i="65"/>
  <c r="O8" i="76"/>
  <c r="I7" i="72"/>
  <c r="J23" i="73"/>
  <c r="P15" i="65"/>
  <c r="P14" i="73"/>
  <c r="O12" i="73"/>
  <c r="E23" i="72"/>
  <c r="C22" i="73"/>
  <c r="N16" i="76"/>
  <c r="H21" i="72"/>
  <c r="H16" i="73"/>
  <c r="D13" i="60"/>
  <c r="C29" i="60"/>
  <c r="C22" i="72"/>
  <c r="T24" i="77"/>
  <c r="N30" i="77"/>
  <c r="P22" i="65"/>
  <c r="J22" i="72"/>
  <c r="D7" i="65"/>
  <c r="J21" i="65"/>
  <c r="U25" i="65"/>
  <c r="O15" i="77"/>
  <c r="D30" i="65"/>
  <c r="G14" i="60"/>
  <c r="H14" i="60"/>
  <c r="D6" i="73"/>
  <c r="D22" i="65"/>
  <c r="U9" i="76"/>
  <c r="J23" i="65"/>
  <c r="C15" i="76"/>
  <c r="I10" i="76"/>
  <c r="T11" i="76"/>
  <c r="M23" i="60"/>
  <c r="O18" i="76"/>
  <c r="H18" i="65"/>
  <c r="E9" i="76"/>
  <c r="I13" i="72"/>
  <c r="F21" i="60"/>
  <c r="T9" i="76"/>
  <c r="D21" i="76"/>
  <c r="P23" i="65"/>
  <c r="O5" i="60"/>
  <c r="J13" i="65"/>
  <c r="E5" i="60"/>
  <c r="C11" i="73"/>
  <c r="T16" i="65"/>
  <c r="D17" i="72"/>
  <c r="U24" i="73"/>
  <c r="E6" i="77"/>
  <c r="O20" i="76"/>
  <c r="H26" i="76"/>
  <c r="D26" i="72"/>
  <c r="D10" i="65"/>
  <c r="D5" i="72"/>
  <c r="E17" i="77"/>
  <c r="I8" i="76"/>
  <c r="N30" i="72"/>
  <c r="O12" i="72"/>
  <c r="C27" i="60"/>
  <c r="E15" i="65"/>
  <c r="P28" i="73"/>
  <c r="D9" i="77"/>
  <c r="J30" i="77"/>
  <c r="D20" i="65"/>
  <c r="N19" i="73"/>
  <c r="F10" i="60"/>
  <c r="H16" i="72"/>
  <c r="L26" i="60"/>
  <c r="E18" i="72"/>
  <c r="J21" i="76"/>
  <c r="O24" i="65"/>
  <c r="O14" i="73"/>
  <c r="I8" i="77"/>
  <c r="J27" i="65"/>
  <c r="N16" i="65"/>
  <c r="H24" i="65"/>
  <c r="N17" i="76"/>
  <c r="E27" i="77"/>
  <c r="D6" i="65"/>
  <c r="J8" i="77"/>
  <c r="D12" i="72"/>
  <c r="E9" i="60"/>
  <c r="S14" i="72"/>
  <c r="I23" i="65"/>
  <c r="D24" i="73"/>
  <c r="H10" i="77"/>
  <c r="C13" i="73"/>
  <c r="E11" i="72"/>
  <c r="E7" i="77"/>
  <c r="T16" i="73"/>
  <c r="J25" i="60"/>
  <c r="U5" i="65"/>
  <c r="P16" i="73"/>
  <c r="S10" i="73"/>
  <c r="C6" i="77"/>
  <c r="K19" i="60"/>
  <c r="I20" i="72"/>
  <c r="C14" i="77"/>
  <c r="C17" i="72"/>
  <c r="D8" i="73"/>
  <c r="T20" i="73"/>
  <c r="N23" i="77"/>
  <c r="I10" i="77"/>
  <c r="U18" i="73"/>
  <c r="U28" i="73"/>
  <c r="U13" i="76"/>
  <c r="E5" i="73"/>
  <c r="H29" i="65"/>
  <c r="D15" i="73"/>
  <c r="T10" i="72"/>
  <c r="I25" i="65"/>
  <c r="E13" i="76"/>
  <c r="S17" i="72"/>
  <c r="C21" i="77"/>
  <c r="L8" i="60"/>
  <c r="E24" i="73"/>
  <c r="O8" i="60"/>
  <c r="E10" i="76"/>
  <c r="J23" i="72"/>
  <c r="O23" i="72"/>
  <c r="E11" i="76"/>
  <c r="U30" i="77"/>
  <c r="I5" i="73"/>
  <c r="S26" i="77"/>
  <c r="N30" i="73"/>
  <c r="N14" i="72"/>
  <c r="I19" i="73"/>
  <c r="J20" i="76"/>
  <c r="N24" i="76"/>
  <c r="C21" i="65"/>
  <c r="E27" i="76"/>
  <c r="H10" i="73"/>
  <c r="J28" i="60"/>
  <c r="C8" i="76"/>
  <c r="N9" i="73"/>
  <c r="T21" i="76"/>
  <c r="S18" i="73"/>
  <c r="H19" i="60"/>
  <c r="D25" i="72"/>
  <c r="U12" i="76"/>
  <c r="L21" i="60"/>
  <c r="U29" i="77"/>
  <c r="O11" i="60"/>
  <c r="J23" i="60"/>
  <c r="E6" i="60"/>
  <c r="P13" i="77"/>
  <c r="O9" i="77"/>
  <c r="O10" i="65"/>
  <c r="E25" i="76"/>
  <c r="O5" i="73"/>
  <c r="J24" i="76"/>
  <c r="P8" i="76"/>
  <c r="S29" i="73"/>
  <c r="O9" i="60"/>
  <c r="D5" i="77"/>
  <c r="E25" i="72"/>
  <c r="N22" i="60"/>
  <c r="N5" i="73"/>
  <c r="C16" i="77"/>
  <c r="U8" i="72"/>
  <c r="T14" i="77"/>
  <c r="F29" i="60"/>
  <c r="O21" i="72"/>
  <c r="S25" i="73"/>
  <c r="E16" i="77"/>
  <c r="O7" i="65"/>
  <c r="J6" i="60"/>
  <c r="C8" i="65"/>
  <c r="U20" i="76"/>
  <c r="P20" i="72"/>
  <c r="D27" i="77"/>
  <c r="T20" i="72"/>
  <c r="U8" i="77"/>
  <c r="N20" i="77"/>
  <c r="C14" i="60"/>
  <c r="N26" i="65"/>
  <c r="D18" i="73"/>
  <c r="U25" i="72"/>
  <c r="U6" i="76"/>
  <c r="P13" i="65"/>
  <c r="P20" i="77"/>
  <c r="G9" i="60"/>
  <c r="U6" i="77"/>
  <c r="O6" i="77"/>
  <c r="J26" i="60"/>
  <c r="F24" i="60"/>
  <c r="O20" i="60"/>
  <c r="I29" i="72"/>
  <c r="T7" i="77"/>
  <c r="D9" i="72"/>
  <c r="J27" i="76"/>
  <c r="I19" i="77"/>
  <c r="H24" i="60"/>
  <c r="D8" i="77"/>
  <c r="T11" i="77"/>
  <c r="U22" i="77"/>
  <c r="H16" i="77"/>
  <c r="H30" i="76"/>
  <c r="P16" i="77"/>
  <c r="E6" i="73"/>
  <c r="P5" i="77"/>
  <c r="D12" i="77"/>
  <c r="E12" i="60"/>
  <c r="I15" i="72"/>
  <c r="E6" i="72"/>
  <c r="N7" i="73"/>
  <c r="U22" i="73"/>
  <c r="E14" i="65"/>
  <c r="T24" i="65"/>
  <c r="D9" i="65"/>
  <c r="E29" i="77"/>
  <c r="N17" i="60"/>
  <c r="C30" i="76"/>
  <c r="U29" i="72"/>
  <c r="T29" i="65"/>
  <c r="E14" i="60"/>
  <c r="O28" i="65"/>
  <c r="D15" i="60"/>
  <c r="D28" i="60"/>
  <c r="L18" i="60"/>
  <c r="U16" i="65"/>
  <c r="C10" i="73"/>
  <c r="I9" i="65"/>
  <c r="K8" i="60"/>
  <c r="N17" i="77"/>
  <c r="K26" i="60"/>
  <c r="S21" i="77"/>
  <c r="D23" i="60"/>
  <c r="T15" i="73"/>
  <c r="I13" i="77"/>
  <c r="D23" i="72"/>
  <c r="U17" i="77"/>
  <c r="E16" i="76"/>
  <c r="N15" i="76"/>
  <c r="P24" i="73"/>
  <c r="H15" i="77"/>
  <c r="C25" i="72"/>
  <c r="M9" i="60"/>
  <c r="E21" i="76"/>
  <c r="T6" i="72"/>
  <c r="O12" i="65"/>
  <c r="E14" i="73"/>
  <c r="T29" i="73"/>
  <c r="N29" i="72"/>
  <c r="D13" i="65"/>
  <c r="E22" i="65"/>
  <c r="T24" i="76"/>
  <c r="N18" i="77"/>
  <c r="S11" i="72"/>
  <c r="O28" i="77"/>
  <c r="H6" i="76"/>
  <c r="I27" i="65"/>
  <c r="H25" i="72"/>
  <c r="H5" i="77"/>
  <c r="P5" i="65"/>
  <c r="M6" i="60"/>
  <c r="J27" i="77"/>
  <c r="P17" i="73"/>
  <c r="I29" i="73"/>
  <c r="J14" i="65"/>
  <c r="H26" i="65"/>
  <c r="O7" i="76"/>
  <c r="U12" i="73"/>
  <c r="U17" i="65"/>
  <c r="O17" i="76"/>
  <c r="S15" i="72"/>
  <c r="I8" i="72"/>
  <c r="I17" i="72"/>
  <c r="O19" i="77"/>
  <c r="H15" i="73"/>
  <c r="C7" i="73"/>
  <c r="D30" i="73"/>
  <c r="N10" i="65"/>
  <c r="H13" i="73"/>
  <c r="H23" i="73"/>
  <c r="H13" i="76"/>
  <c r="H18" i="77"/>
  <c r="U21" i="73"/>
  <c r="D14" i="73"/>
  <c r="E20" i="72"/>
  <c r="K24" i="60"/>
  <c r="O10" i="60"/>
  <c r="M10" i="60"/>
  <c r="I26" i="76"/>
  <c r="C23" i="65"/>
  <c r="H12" i="73"/>
  <c r="S9" i="73"/>
  <c r="I27" i="76"/>
  <c r="U17" i="76"/>
  <c r="P17" i="76"/>
  <c r="D7" i="60"/>
  <c r="E29" i="76"/>
  <c r="N29" i="73"/>
  <c r="P16" i="72"/>
  <c r="F6" i="60"/>
  <c r="N10" i="76"/>
  <c r="N6" i="60"/>
  <c r="I5" i="65"/>
  <c r="I24" i="65"/>
  <c r="I7" i="65"/>
  <c r="E12" i="72"/>
  <c r="C19" i="77"/>
  <c r="S26" i="76"/>
  <c r="E20" i="77"/>
  <c r="K10" i="60"/>
  <c r="P18" i="73"/>
  <c r="G12" i="60"/>
  <c r="I20" i="65"/>
  <c r="H23" i="77"/>
  <c r="H21" i="65"/>
  <c r="S6" i="73"/>
  <c r="E14" i="77"/>
  <c r="P12" i="65"/>
  <c r="U24" i="76"/>
  <c r="S21" i="72"/>
  <c r="C21" i="72"/>
  <c r="J11" i="77"/>
  <c r="D15" i="77"/>
  <c r="H8" i="60"/>
  <c r="I20" i="76"/>
  <c r="J13" i="73"/>
  <c r="J15" i="77"/>
  <c r="T5" i="73"/>
  <c r="N17" i="73"/>
  <c r="I23" i="72"/>
  <c r="E20" i="65"/>
  <c r="J5" i="72"/>
  <c r="P14" i="77"/>
  <c r="E10" i="65"/>
  <c r="C28" i="76"/>
  <c r="C12" i="72"/>
  <c r="H28" i="65"/>
  <c r="D7" i="76"/>
  <c r="H17" i="65"/>
  <c r="E8" i="72"/>
  <c r="N27" i="65"/>
  <c r="T23" i="72"/>
  <c r="T13" i="73"/>
  <c r="O13" i="76"/>
  <c r="U24" i="65"/>
  <c r="N30" i="65"/>
  <c r="I12" i="65"/>
  <c r="E30" i="60"/>
  <c r="J21" i="72"/>
  <c r="T14" i="65"/>
  <c r="M26" i="60"/>
  <c r="P24" i="76"/>
  <c r="T10" i="76"/>
  <c r="G29" i="60"/>
  <c r="J29" i="76"/>
  <c r="U26" i="77"/>
  <c r="P9" i="65"/>
  <c r="S23" i="76"/>
  <c r="D13" i="77"/>
  <c r="O16" i="72"/>
  <c r="J7" i="72"/>
  <c r="N29" i="76"/>
  <c r="D14" i="72"/>
  <c r="T16" i="77"/>
  <c r="N14" i="77"/>
  <c r="S18" i="76"/>
  <c r="C22" i="77"/>
  <c r="O30" i="72"/>
  <c r="U7" i="77"/>
  <c r="S30" i="77"/>
  <c r="N10" i="73"/>
  <c r="C5" i="60"/>
  <c r="U14" i="77"/>
  <c r="H14" i="76"/>
  <c r="T26" i="73"/>
  <c r="P11" i="77"/>
  <c r="H6" i="77"/>
  <c r="H30" i="73"/>
  <c r="J16" i="72"/>
  <c r="E24" i="60"/>
  <c r="O11" i="73"/>
  <c r="O22" i="73"/>
  <c r="E5" i="77"/>
  <c r="S24" i="73"/>
  <c r="D8" i="60"/>
  <c r="P16" i="65"/>
  <c r="C5" i="77"/>
  <c r="I23" i="73"/>
  <c r="D27" i="65"/>
  <c r="I21" i="73"/>
  <c r="O16" i="73"/>
  <c r="S19" i="73"/>
  <c r="H5" i="76"/>
  <c r="M16" i="60"/>
  <c r="N18" i="65"/>
  <c r="O27" i="65"/>
  <c r="E12" i="76"/>
  <c r="I9" i="72"/>
  <c r="J22" i="60"/>
  <c r="I17" i="77"/>
  <c r="J15" i="73"/>
  <c r="T12" i="76"/>
  <c r="D23" i="73"/>
  <c r="S29" i="76"/>
  <c r="O20" i="77"/>
  <c r="J16" i="65"/>
  <c r="T26" i="77"/>
  <c r="D20" i="60"/>
  <c r="D24" i="65"/>
  <c r="C30" i="65"/>
  <c r="P10" i="77"/>
  <c r="E7" i="73"/>
  <c r="S12" i="72"/>
  <c r="P23" i="76"/>
  <c r="O22" i="60"/>
  <c r="T14" i="72"/>
  <c r="T26" i="65"/>
  <c r="O26" i="77"/>
  <c r="U26" i="65"/>
  <c r="J9" i="60"/>
  <c r="O19" i="76"/>
  <c r="U25" i="73"/>
  <c r="J5" i="77"/>
  <c r="E23" i="65"/>
  <c r="J12" i="65"/>
  <c r="D6" i="77"/>
  <c r="I23" i="76"/>
  <c r="J30" i="65"/>
  <c r="C9" i="65"/>
  <c r="T17" i="73"/>
  <c r="O12" i="76"/>
  <c r="N27" i="73"/>
  <c r="H23" i="65"/>
  <c r="C22" i="76"/>
  <c r="J15" i="72"/>
  <c r="I24" i="76"/>
  <c r="S28" i="72"/>
  <c r="O29" i="73"/>
  <c r="H29" i="60"/>
  <c r="T5" i="65"/>
  <c r="E10" i="77"/>
  <c r="D29" i="77"/>
  <c r="U14" i="65"/>
  <c r="J7" i="60"/>
  <c r="P6" i="73"/>
  <c r="E6" i="76"/>
  <c r="I20" i="73"/>
  <c r="G10" i="60"/>
  <c r="D9" i="60"/>
  <c r="H9" i="73"/>
  <c r="N7" i="76"/>
  <c r="U13" i="72"/>
  <c r="N8" i="76"/>
  <c r="O23" i="77"/>
  <c r="C6" i="65"/>
  <c r="S14" i="77"/>
  <c r="K12" i="60"/>
  <c r="O11" i="77"/>
  <c r="J12" i="60"/>
  <c r="E30" i="72"/>
  <c r="H6" i="65"/>
  <c r="J10" i="65"/>
  <c r="D23" i="76"/>
  <c r="U14" i="72"/>
  <c r="K14" i="60"/>
  <c r="T9" i="72"/>
  <c r="T17" i="65"/>
  <c r="S17" i="77"/>
  <c r="P5" i="72"/>
  <c r="N28" i="76"/>
  <c r="H11" i="60"/>
  <c r="H14" i="72"/>
  <c r="N8" i="73"/>
  <c r="I13" i="76"/>
  <c r="T10" i="65"/>
  <c r="J8" i="72"/>
  <c r="H5" i="72"/>
  <c r="J20" i="60"/>
  <c r="T30" i="65"/>
  <c r="C16" i="73"/>
  <c r="C20" i="72"/>
  <c r="O22" i="76"/>
  <c r="P23" i="72"/>
  <c r="U29" i="65"/>
  <c r="P25" i="72"/>
  <c r="O26" i="65"/>
  <c r="H19" i="73"/>
  <c r="O15" i="73"/>
  <c r="I22" i="65"/>
  <c r="T12" i="77"/>
  <c r="O15" i="60"/>
  <c r="P7" i="65"/>
  <c r="C28" i="77"/>
  <c r="C22" i="65"/>
  <c r="E12" i="65"/>
  <c r="C23" i="76"/>
  <c r="I19" i="65"/>
  <c r="K13" i="60"/>
  <c r="C8" i="72"/>
  <c r="T17" i="76"/>
  <c r="S9" i="76"/>
  <c r="J12" i="73"/>
  <c r="C17" i="65"/>
  <c r="O20" i="65"/>
  <c r="U16" i="73"/>
  <c r="T20" i="76"/>
  <c r="O13" i="65"/>
  <c r="S25" i="72"/>
  <c r="I16" i="65"/>
  <c r="I24" i="77"/>
  <c r="J9" i="73"/>
  <c r="P17" i="77"/>
  <c r="I28" i="65"/>
  <c r="C17" i="77"/>
  <c r="D13" i="72"/>
  <c r="C20" i="60"/>
  <c r="H25" i="60"/>
  <c r="O23" i="76"/>
  <c r="F12" i="60"/>
  <c r="I30" i="76"/>
  <c r="T18" i="65"/>
  <c r="N12" i="60"/>
  <c r="O9" i="76"/>
  <c r="H7" i="76"/>
  <c r="S10" i="77"/>
  <c r="D29" i="76"/>
  <c r="N14" i="65"/>
  <c r="N7" i="60"/>
  <c r="S28" i="73"/>
  <c r="N5" i="60"/>
  <c r="H6" i="60"/>
  <c r="G7" i="60"/>
  <c r="I12" i="72"/>
  <c r="S8" i="76"/>
  <c r="E19" i="76"/>
  <c r="O30" i="73"/>
  <c r="C10" i="72"/>
  <c r="K25" i="60"/>
  <c r="T27" i="65"/>
  <c r="N23" i="65"/>
  <c r="T18" i="77"/>
  <c r="N17" i="65"/>
  <c r="C15" i="73"/>
  <c r="N26" i="72"/>
  <c r="J30" i="72"/>
  <c r="N24" i="73"/>
  <c r="E27" i="60"/>
  <c r="N25" i="76"/>
  <c r="H20" i="60"/>
  <c r="D16" i="73"/>
  <c r="D16" i="76"/>
  <c r="S10" i="76"/>
  <c r="E28" i="77"/>
  <c r="H9" i="77"/>
  <c r="K23" i="60"/>
  <c r="D25" i="77"/>
  <c r="I6" i="76"/>
  <c r="H10" i="76"/>
  <c r="N28" i="60"/>
  <c r="O26" i="73"/>
  <c r="O10" i="73"/>
  <c r="E9" i="72"/>
  <c r="H8" i="77"/>
  <c r="L16" i="60"/>
  <c r="N15" i="73"/>
  <c r="I5" i="72"/>
  <c r="N7" i="77"/>
  <c r="P21" i="72"/>
  <c r="T9" i="77"/>
  <c r="O24" i="77"/>
  <c r="S19" i="76"/>
  <c r="D20" i="76"/>
  <c r="U18" i="77"/>
  <c r="O5" i="72"/>
  <c r="O15" i="76"/>
  <c r="H26" i="60"/>
  <c r="P13" i="73"/>
  <c r="E22" i="77"/>
  <c r="S22" i="72"/>
  <c r="E14" i="72"/>
  <c r="T15" i="77"/>
  <c r="S13" i="76"/>
  <c r="D15" i="72"/>
  <c r="H23" i="72"/>
  <c r="F9" i="60"/>
  <c r="I21" i="72"/>
  <c r="O26" i="72"/>
  <c r="H25" i="65"/>
  <c r="O21" i="60"/>
  <c r="T7" i="76"/>
  <c r="T13" i="77"/>
  <c r="N26" i="60"/>
  <c r="T15" i="65"/>
  <c r="N11" i="76"/>
  <c r="U21" i="77"/>
  <c r="O12" i="60"/>
  <c r="P26" i="76"/>
  <c r="C30" i="73"/>
  <c r="P9" i="76"/>
  <c r="H10" i="65"/>
  <c r="N21" i="65"/>
  <c r="S23" i="77"/>
  <c r="J29" i="77"/>
  <c r="D26" i="73"/>
  <c r="G17" i="60"/>
  <c r="C24" i="73"/>
  <c r="H12" i="77"/>
  <c r="N19" i="76"/>
  <c r="K15" i="60"/>
  <c r="S8" i="72"/>
  <c r="C16" i="60"/>
  <c r="N22" i="72"/>
  <c r="H13" i="72"/>
  <c r="N5" i="76"/>
  <c r="T28" i="73"/>
  <c r="D11" i="73"/>
  <c r="J16" i="77"/>
  <c r="C14" i="72"/>
  <c r="O25" i="73"/>
  <c r="J28" i="77"/>
  <c r="D12" i="65"/>
  <c r="L17" i="60"/>
  <c r="D18" i="65"/>
  <c r="E17" i="60"/>
  <c r="F11" i="60"/>
  <c r="E24" i="77"/>
  <c r="N13" i="72"/>
  <c r="E29" i="65"/>
  <c r="J6" i="65"/>
  <c r="O19" i="73"/>
  <c r="H22" i="65"/>
  <c r="T18" i="76"/>
  <c r="M22" i="60"/>
  <c r="C18" i="76"/>
  <c r="S23" i="72"/>
  <c r="E8" i="73"/>
  <c r="P9" i="72"/>
  <c r="P15" i="76"/>
  <c r="N13" i="65"/>
  <c r="J13" i="76"/>
  <c r="L13" i="60"/>
  <c r="T30" i="72"/>
  <c r="C24" i="72"/>
  <c r="G16" i="60"/>
  <c r="S5" i="72"/>
  <c r="J17" i="60"/>
  <c r="D24" i="60"/>
  <c r="H21" i="77"/>
  <c r="C20" i="76"/>
  <c r="J24" i="77"/>
  <c r="N14" i="73"/>
  <c r="J20" i="77"/>
  <c r="E8" i="76"/>
  <c r="T20" i="65"/>
  <c r="S17" i="73"/>
  <c r="C26" i="73"/>
  <c r="J18" i="73"/>
  <c r="P29" i="77"/>
  <c r="P21" i="65"/>
  <c r="J9" i="72"/>
  <c r="O28" i="60"/>
  <c r="C30" i="60"/>
  <c r="H25" i="73"/>
  <c r="L20" i="60"/>
  <c r="O6" i="76"/>
  <c r="J15" i="76"/>
  <c r="S20" i="76"/>
  <c r="T27" i="76"/>
  <c r="T20" i="77"/>
  <c r="E24" i="76"/>
  <c r="J21" i="73"/>
  <c r="E19" i="60"/>
  <c r="T23" i="65"/>
  <c r="F28" i="60"/>
  <c r="N10" i="60"/>
  <c r="S8" i="77"/>
  <c r="U20" i="73"/>
  <c r="P27" i="72"/>
  <c r="I21" i="76"/>
  <c r="I16" i="76"/>
  <c r="T8" i="65"/>
  <c r="D5" i="65"/>
  <c r="I30" i="65"/>
  <c r="O6" i="60"/>
  <c r="E28" i="60"/>
  <c r="U22" i="72"/>
  <c r="J19" i="60"/>
  <c r="N14" i="76"/>
  <c r="D10" i="60"/>
  <c r="E21" i="65"/>
  <c r="H8" i="73"/>
  <c r="N23" i="73"/>
  <c r="O11" i="65"/>
  <c r="P7" i="77"/>
  <c r="J27" i="60"/>
  <c r="N8" i="72"/>
  <c r="T9" i="65"/>
  <c r="T23" i="77"/>
  <c r="N21" i="60"/>
  <c r="U20" i="77"/>
  <c r="K9" i="60"/>
  <c r="O9" i="72"/>
  <c r="I6" i="72"/>
  <c r="H25" i="76"/>
  <c r="I22" i="76"/>
  <c r="M28" i="60"/>
  <c r="D9" i="76"/>
  <c r="H17" i="73"/>
  <c r="K17" i="60"/>
  <c r="D6" i="76"/>
  <c r="C24" i="76"/>
  <c r="K27" i="60"/>
  <c r="C10" i="65"/>
  <c r="U12" i="72"/>
  <c r="O19" i="65"/>
  <c r="H27" i="73"/>
  <c r="I10" i="65"/>
  <c r="N20" i="60"/>
  <c r="S22" i="76"/>
  <c r="T13" i="76"/>
  <c r="H28" i="72"/>
  <c r="H22" i="73"/>
  <c r="P26" i="73"/>
  <c r="O18" i="73"/>
  <c r="O25" i="60"/>
  <c r="T28" i="65"/>
  <c r="C25" i="77"/>
  <c r="O8" i="65"/>
  <c r="H24" i="73"/>
  <c r="D11" i="72"/>
  <c r="G21" i="60"/>
  <c r="D14" i="60"/>
  <c r="N29" i="77"/>
  <c r="G25" i="60"/>
  <c r="C11" i="77"/>
  <c r="L14" i="60"/>
  <c r="I9" i="73"/>
  <c r="T28" i="76"/>
  <c r="H22" i="76"/>
  <c r="S12" i="73"/>
  <c r="O21" i="65"/>
  <c r="T25" i="73"/>
  <c r="C24" i="65"/>
  <c r="P8" i="77"/>
  <c r="I28" i="73"/>
  <c r="D28" i="76"/>
  <c r="C10" i="60"/>
  <c r="J18" i="77"/>
  <c r="C29" i="65"/>
  <c r="H29" i="76"/>
  <c r="I19" i="76"/>
  <c r="J12" i="77"/>
  <c r="T19" i="65"/>
  <c r="F5" i="60"/>
  <c r="U26" i="76"/>
  <c r="E18" i="76"/>
  <c r="I15" i="73"/>
  <c r="M14" i="60"/>
  <c r="H11" i="72"/>
  <c r="I24" i="73"/>
  <c r="H18" i="76"/>
  <c r="H7" i="65"/>
  <c r="I20" i="77"/>
  <c r="E22" i="76"/>
  <c r="H7" i="60"/>
  <c r="P7" i="60" s="1"/>
  <c r="H18" i="73"/>
  <c r="C26" i="72"/>
  <c r="S5" i="73"/>
  <c r="N20" i="76"/>
  <c r="N8" i="65"/>
  <c r="J19" i="76"/>
  <c r="J5" i="65"/>
  <c r="J15" i="60"/>
  <c r="I22" i="77"/>
  <c r="C9" i="76"/>
  <c r="D11" i="60"/>
  <c r="D16" i="72"/>
  <c r="K16" i="60"/>
  <c r="S5" i="77"/>
  <c r="U30" i="76"/>
  <c r="J27" i="73"/>
  <c r="S13" i="73"/>
  <c r="N13" i="73"/>
  <c r="O16" i="60"/>
  <c r="C16" i="76"/>
  <c r="O8" i="73"/>
  <c r="J6" i="73"/>
  <c r="N27" i="77"/>
  <c r="I26" i="73"/>
  <c r="D12" i="76"/>
  <c r="U7" i="65"/>
  <c r="J15" i="65"/>
  <c r="D7" i="72"/>
  <c r="U9" i="65"/>
  <c r="N21" i="77"/>
  <c r="H30" i="65"/>
  <c r="N29" i="65"/>
  <c r="E9" i="65"/>
  <c r="U12" i="65"/>
  <c r="P6" i="76"/>
  <c r="U27" i="76"/>
  <c r="T21" i="65"/>
  <c r="C13" i="60"/>
  <c r="S12" i="77"/>
  <c r="T14" i="76"/>
  <c r="O20" i="72"/>
  <c r="L11" i="60"/>
  <c r="O26" i="76"/>
  <c r="O7" i="73"/>
  <c r="I6" i="65"/>
  <c r="U28" i="65"/>
  <c r="J18" i="65"/>
  <c r="O30" i="65"/>
  <c r="U16" i="76"/>
  <c r="D6" i="60"/>
  <c r="U13" i="77"/>
  <c r="D18" i="76"/>
  <c r="O29" i="60"/>
  <c r="E24" i="65"/>
  <c r="C13" i="77"/>
  <c r="P30" i="65"/>
  <c r="U7" i="76"/>
  <c r="T19" i="76"/>
  <c r="E19" i="65"/>
  <c r="C13" i="65"/>
  <c r="E15" i="76"/>
  <c r="L29" i="60"/>
  <c r="H29" i="77"/>
  <c r="D5" i="73"/>
  <c r="D24" i="77"/>
  <c r="I30" i="73"/>
  <c r="C21" i="60"/>
  <c r="U8" i="65"/>
  <c r="I29" i="76"/>
  <c r="J12" i="76"/>
  <c r="U11" i="65"/>
  <c r="C24" i="60"/>
  <c r="J9" i="76"/>
  <c r="I16" i="72"/>
  <c r="C10" i="76"/>
  <c r="N19" i="65"/>
  <c r="P19" i="77"/>
  <c r="H20" i="73"/>
  <c r="D22" i="76"/>
  <c r="J30" i="60"/>
  <c r="F22" i="60"/>
  <c r="N23" i="72"/>
  <c r="T11" i="65"/>
  <c r="P23" i="77"/>
  <c r="E23" i="77"/>
  <c r="J26" i="65"/>
  <c r="D21" i="77"/>
  <c r="O29" i="77"/>
  <c r="E25" i="60"/>
  <c r="N22" i="77"/>
  <c r="J18" i="72"/>
  <c r="T25" i="77"/>
  <c r="G19" i="60"/>
  <c r="J5" i="73"/>
  <c r="I28" i="72"/>
  <c r="D11" i="77"/>
  <c r="E15" i="73"/>
  <c r="E25" i="77"/>
  <c r="C10" i="77"/>
  <c r="M20" i="60"/>
  <c r="H20" i="76"/>
  <c r="H9" i="65"/>
  <c r="C21" i="73"/>
  <c r="D14" i="76"/>
  <c r="P22" i="73"/>
  <c r="C19" i="73"/>
  <c r="D19" i="76"/>
  <c r="J14" i="72"/>
  <c r="J23" i="77"/>
  <c r="N24" i="77"/>
  <c r="E15" i="72"/>
  <c r="S15" i="76"/>
  <c r="G23" i="60"/>
  <c r="E29" i="72"/>
  <c r="S5" i="76"/>
  <c r="F19" i="60"/>
  <c r="S26" i="72"/>
  <c r="C8" i="73"/>
  <c r="T18" i="72"/>
  <c r="J8" i="73"/>
  <c r="T24" i="72"/>
  <c r="T6" i="65"/>
  <c r="P8" i="73"/>
  <c r="L10" i="60"/>
  <c r="O18" i="77"/>
  <c r="U27" i="65"/>
  <c r="T22" i="76"/>
  <c r="P17" i="65"/>
  <c r="D25" i="60"/>
  <c r="C26" i="76"/>
  <c r="N8" i="77"/>
  <c r="D24" i="72"/>
  <c r="U22" i="65"/>
  <c r="J19" i="77"/>
  <c r="P14" i="76"/>
  <c r="E12" i="73"/>
  <c r="U18" i="65"/>
  <c r="N12" i="77"/>
  <c r="T22" i="73"/>
  <c r="H14" i="65"/>
  <c r="E15" i="60"/>
  <c r="J22" i="76"/>
  <c r="E26" i="65"/>
  <c r="O11" i="76"/>
  <c r="U15" i="72"/>
  <c r="P18" i="76"/>
  <c r="J26" i="76"/>
  <c r="I7" i="77"/>
  <c r="E30" i="77"/>
  <c r="T27" i="72"/>
  <c r="U23" i="72"/>
  <c r="T10" i="73"/>
  <c r="E28" i="72"/>
  <c r="L5" i="60"/>
  <c r="D14" i="65"/>
  <c r="H23" i="60"/>
  <c r="C28" i="65"/>
  <c r="U14" i="73"/>
  <c r="D19" i="60"/>
  <c r="N26" i="73"/>
  <c r="U5" i="77"/>
  <c r="J16" i="60"/>
  <c r="H10" i="72"/>
  <c r="D30" i="72"/>
  <c r="O13" i="77"/>
  <c r="N11" i="77"/>
  <c r="I18" i="65"/>
  <c r="O17" i="77"/>
  <c r="F7" i="60"/>
  <c r="H17" i="77"/>
  <c r="D7" i="73"/>
  <c r="N16" i="77"/>
  <c r="N6" i="73"/>
  <c r="C18" i="72"/>
  <c r="P22" i="76"/>
  <c r="I6" i="77"/>
  <c r="E10" i="60"/>
  <c r="D12" i="60"/>
  <c r="E26" i="72"/>
  <c r="N22" i="76"/>
  <c r="S14" i="76"/>
  <c r="D17" i="65"/>
  <c r="I22" i="73"/>
  <c r="S27" i="76"/>
  <c r="U18" i="72"/>
  <c r="H27" i="65"/>
  <c r="T8" i="72"/>
  <c r="J17" i="76"/>
  <c r="C23" i="73"/>
  <c r="C13" i="76"/>
  <c r="C12" i="77"/>
  <c r="P11" i="65"/>
  <c r="C7" i="60"/>
  <c r="H12" i="60"/>
  <c r="J20" i="73"/>
  <c r="N25" i="60"/>
  <c r="H7" i="72"/>
  <c r="J5" i="60"/>
  <c r="U7" i="73"/>
  <c r="I16" i="77"/>
  <c r="G6" i="60"/>
  <c r="G13" i="60"/>
  <c r="O25" i="65"/>
  <c r="F30" i="60"/>
  <c r="E22" i="73"/>
  <c r="C15" i="72"/>
  <c r="T7" i="73"/>
  <c r="H20" i="77"/>
  <c r="E5" i="65"/>
  <c r="S6" i="77"/>
  <c r="S6" i="72"/>
  <c r="N25" i="65"/>
  <c r="J11" i="60"/>
  <c r="D5" i="60"/>
  <c r="C19" i="60"/>
  <c r="S9" i="72"/>
  <c r="D7" i="77"/>
  <c r="I18" i="73"/>
  <c r="U23" i="77"/>
  <c r="O21" i="77"/>
  <c r="P27" i="65"/>
  <c r="K7" i="60"/>
  <c r="P22" i="72"/>
  <c r="O13" i="60"/>
  <c r="U24" i="72"/>
  <c r="O21" i="76"/>
  <c r="O6" i="65"/>
  <c r="D30" i="76"/>
  <c r="I23" i="77"/>
  <c r="E16" i="72"/>
  <c r="P10" i="65"/>
  <c r="E11" i="65"/>
  <c r="C11" i="60"/>
  <c r="O5" i="65"/>
  <c r="G18" i="60"/>
  <c r="J28" i="65"/>
  <c r="O8" i="72"/>
  <c r="D19" i="65"/>
  <c r="E17" i="65"/>
  <c r="M30" i="60"/>
  <c r="S6" i="76"/>
  <c r="O7" i="72"/>
  <c r="N29" i="60"/>
  <c r="L22" i="60"/>
  <c r="N27" i="72"/>
  <c r="E26" i="76"/>
  <c r="N28" i="77"/>
  <c r="T22" i="77"/>
  <c r="E9" i="77"/>
  <c r="M15" i="60"/>
  <c r="S12" i="76"/>
  <c r="N12" i="65"/>
  <c r="P20" i="76"/>
  <c r="C6" i="72"/>
  <c r="K28" i="60"/>
  <c r="O28" i="73"/>
  <c r="P30" i="73"/>
  <c r="I15" i="65"/>
  <c r="K5" i="60"/>
  <c r="O27" i="76"/>
  <c r="H5" i="60"/>
  <c r="E17" i="73"/>
  <c r="P5" i="76"/>
  <c r="D15" i="65"/>
  <c r="H19" i="77"/>
  <c r="T25" i="72"/>
  <c r="D18" i="77"/>
  <c r="S20" i="72"/>
  <c r="E5" i="72"/>
  <c r="N6" i="72"/>
  <c r="O29" i="72"/>
  <c r="J8" i="76"/>
  <c r="J16" i="73"/>
  <c r="N16" i="72"/>
  <c r="E13" i="77"/>
  <c r="D6" i="72"/>
  <c r="U16" i="72"/>
  <c r="C29" i="76"/>
  <c r="U20" i="72"/>
  <c r="J7" i="77"/>
  <c r="P24" i="77"/>
  <c r="O14" i="65"/>
  <c r="I29" i="77"/>
  <c r="E20" i="76"/>
  <c r="C15" i="60"/>
  <c r="C18" i="65"/>
  <c r="L30" i="60"/>
  <c r="F23" i="60"/>
  <c r="T8" i="77"/>
  <c r="O23" i="73"/>
  <c r="H29" i="73"/>
  <c r="E26" i="60"/>
  <c r="S20" i="73"/>
  <c r="M18" i="60"/>
  <c r="E11" i="60"/>
  <c r="N21" i="72"/>
  <c r="D16" i="60"/>
  <c r="P20" i="73"/>
  <c r="C15" i="65"/>
  <c r="P9" i="77"/>
  <c r="E29" i="60"/>
  <c r="E5" i="76"/>
  <c r="H15" i="76"/>
  <c r="F15" i="60"/>
  <c r="C21" i="76"/>
  <c r="D25" i="76"/>
  <c r="D29" i="60"/>
  <c r="J28" i="72"/>
  <c r="U8" i="76"/>
  <c r="N11" i="65"/>
  <c r="H17" i="76"/>
  <c r="E20" i="73"/>
  <c r="S30" i="73"/>
  <c r="P26" i="72"/>
  <c r="U17" i="73"/>
  <c r="T23" i="73"/>
  <c r="N19" i="72"/>
  <c r="H19" i="76"/>
  <c r="E30" i="65"/>
  <c r="C7" i="77"/>
  <c r="I10" i="73"/>
  <c r="H21" i="76"/>
  <c r="T30" i="76"/>
  <c r="D22" i="60"/>
  <c r="D21" i="73"/>
  <c r="C28" i="73"/>
  <c r="I18" i="77"/>
  <c r="T12" i="72"/>
  <c r="N15" i="65"/>
  <c r="H18" i="60"/>
  <c r="I15" i="76"/>
  <c r="U19" i="65"/>
  <c r="T18" i="73"/>
  <c r="J12" i="72"/>
  <c r="E20" i="60"/>
  <c r="E29" i="73"/>
  <c r="P28" i="77"/>
  <c r="D10" i="76"/>
  <c r="E30" i="76"/>
  <c r="J8" i="65"/>
  <c r="I11" i="77"/>
  <c r="O16" i="77"/>
  <c r="J24" i="60"/>
  <c r="I8" i="65"/>
  <c r="I19" i="72"/>
  <c r="F16" i="60"/>
  <c r="U14" i="76"/>
  <c r="O14" i="76"/>
  <c r="T21" i="73"/>
  <c r="N14" i="60"/>
  <c r="E10" i="72"/>
  <c r="E27" i="72"/>
  <c r="G24" i="60"/>
  <c r="D29" i="65"/>
  <c r="H25" i="77"/>
  <c r="P8" i="65"/>
  <c r="J17" i="72"/>
  <c r="C5" i="65"/>
  <c r="D5" i="66"/>
  <c r="G5" i="68"/>
  <c r="X22" i="65" l="1"/>
  <c r="X15" i="65"/>
  <c r="P21" i="60"/>
  <c r="X17" i="72"/>
  <c r="X19" i="65"/>
  <c r="X15" i="73"/>
  <c r="P23" i="60"/>
  <c r="P26" i="60"/>
  <c r="X11" i="72"/>
  <c r="X9" i="73"/>
  <c r="X30" i="72"/>
  <c r="X27" i="73"/>
  <c r="P28" i="60"/>
  <c r="X9" i="72"/>
  <c r="X24" i="72"/>
  <c r="X14" i="72"/>
  <c r="X29" i="65"/>
  <c r="X15" i="72"/>
  <c r="X26" i="65"/>
  <c r="X23" i="65"/>
  <c r="P25" i="60"/>
  <c r="X10" i="72"/>
  <c r="P5" i="60"/>
  <c r="P13" i="60"/>
  <c r="X18" i="73"/>
  <c r="P18" i="60"/>
  <c r="P20" i="60"/>
  <c r="X30" i="65"/>
  <c r="X29" i="72"/>
  <c r="P6" i="60"/>
  <c r="P24" i="60"/>
  <c r="X24" i="73"/>
  <c r="X27" i="65"/>
  <c r="X10" i="65"/>
  <c r="X28" i="65"/>
  <c r="X25" i="72"/>
  <c r="X6" i="65"/>
  <c r="X26" i="72"/>
  <c r="X17" i="73"/>
  <c r="P17" i="60"/>
  <c r="X16" i="73"/>
  <c r="AA8" i="72" a="1"/>
  <c r="AA8" i="72" s="1"/>
  <c r="X8" i="73"/>
  <c r="X5" i="73"/>
  <c r="P15" i="60"/>
  <c r="P14" i="60"/>
  <c r="X8" i="72"/>
  <c r="X10" i="73"/>
  <c r="X26" i="73"/>
  <c r="S12" i="60" a="1"/>
  <c r="S12" i="60" s="1"/>
  <c r="X20" i="65"/>
  <c r="X6" i="73"/>
  <c r="AD6" i="72" a="1"/>
  <c r="AD6" i="72" s="1"/>
  <c r="P16" i="60"/>
  <c r="X5" i="72"/>
  <c r="P19" i="60"/>
  <c r="X22" i="73"/>
  <c r="X21" i="73"/>
  <c r="X23" i="73"/>
  <c r="S9" i="60" a="1"/>
  <c r="S9" i="60" s="1"/>
  <c r="D37" i="60" s="1" a="1"/>
  <c r="D37" i="60" s="1"/>
  <c r="N37" i="60" s="1"/>
  <c r="AA10" i="72" a="1"/>
  <c r="AA10" i="72" s="1"/>
  <c r="X18" i="65"/>
  <c r="X12" i="65"/>
  <c r="X12" i="73"/>
  <c r="AD12" i="72" a="1"/>
  <c r="AD12" i="72" s="1"/>
  <c r="V10" i="60" a="1"/>
  <c r="V10" i="60" s="1"/>
  <c r="X12" i="72"/>
  <c r="AD9" i="72" a="1"/>
  <c r="AD9" i="72" s="1"/>
  <c r="J37" i="72" s="1" a="1"/>
  <c r="J37" i="72" s="1"/>
  <c r="AD8" i="65" a="1"/>
  <c r="AD8" i="65" s="1"/>
  <c r="X11" i="65"/>
  <c r="X17" i="65"/>
  <c r="AD11" i="73" a="1"/>
  <c r="AD11" i="73" s="1"/>
  <c r="AA12" i="65" a="1"/>
  <c r="AA12" i="65" s="1"/>
  <c r="P29" i="60"/>
  <c r="AA10" i="65" a="1"/>
  <c r="AA10" i="65" s="1"/>
  <c r="AD7" i="65" a="1"/>
  <c r="AD7" i="65" s="1"/>
  <c r="AD12" i="65" a="1"/>
  <c r="AD12" i="65" s="1"/>
  <c r="V9" i="60" a="1"/>
  <c r="V9" i="60" s="1"/>
  <c r="H37" i="60" s="1" a="1"/>
  <c r="H37" i="60" s="1"/>
  <c r="AD8" i="72" a="1"/>
  <c r="AD8" i="72" s="1"/>
  <c r="V11" i="60" a="1"/>
  <c r="V11" i="60" s="1"/>
  <c r="AD10" i="72" a="1"/>
  <c r="AD10" i="72" s="1"/>
  <c r="AA12" i="72" a="1"/>
  <c r="AA12" i="72" s="1"/>
  <c r="X28" i="72"/>
  <c r="AD10" i="65" a="1"/>
  <c r="AD10" i="65" s="1"/>
  <c r="AD12" i="73" a="1"/>
  <c r="AD12" i="73" s="1"/>
  <c r="AD6" i="73" a="1"/>
  <c r="AD6" i="73" s="1"/>
  <c r="AA8" i="65" a="1"/>
  <c r="AA8" i="65" s="1"/>
  <c r="X25" i="73"/>
  <c r="V12" i="60" a="1"/>
  <c r="V12" i="60" s="1"/>
  <c r="S6" i="60" a="1"/>
  <c r="S6" i="60" s="1"/>
  <c r="AA10" i="73" a="1"/>
  <c r="AA10" i="73" s="1"/>
  <c r="AA11" i="72" a="1"/>
  <c r="AA11" i="72" s="1"/>
  <c r="AD10" i="73" a="1"/>
  <c r="AD10" i="73" s="1"/>
  <c r="AA6" i="65" a="1"/>
  <c r="AA6" i="65" s="1"/>
  <c r="AA11" i="73" a="1"/>
  <c r="AA11" i="73" s="1"/>
  <c r="AA8" i="73" a="1"/>
  <c r="AA8" i="73" s="1"/>
  <c r="X27" i="72"/>
  <c r="X9" i="65"/>
  <c r="AA9" i="65" a="1"/>
  <c r="AA9" i="65" s="1"/>
  <c r="E37" i="65" s="1" a="1"/>
  <c r="E37" i="65" s="1"/>
  <c r="AA9" i="72" a="1"/>
  <c r="AA9" i="72" s="1"/>
  <c r="S10" i="60" a="1"/>
  <c r="S10" i="60" s="1"/>
  <c r="P11" i="60"/>
  <c r="X7" i="72"/>
  <c r="AA6" i="72" a="1"/>
  <c r="AA6" i="72" s="1"/>
  <c r="AA12" i="73" a="1"/>
  <c r="AA12" i="73" s="1"/>
  <c r="P12" i="60"/>
  <c r="P8" i="60"/>
  <c r="X23" i="72"/>
  <c r="X11" i="73"/>
  <c r="X6" i="72"/>
  <c r="X7" i="65"/>
  <c r="X20" i="72"/>
  <c r="X30" i="73"/>
  <c r="AD9" i="73" a="1"/>
  <c r="AD9" i="73" s="1"/>
  <c r="AA6" i="73" a="1"/>
  <c r="AA6" i="73" s="1"/>
  <c r="AD11" i="72" a="1"/>
  <c r="AD11" i="72" s="1"/>
  <c r="AD9" i="65" a="1"/>
  <c r="AD9" i="65" s="1"/>
  <c r="H37" i="65" s="1" a="1"/>
  <c r="H37" i="65" s="1"/>
  <c r="AD8" i="73" a="1"/>
  <c r="AD8" i="73" s="1"/>
  <c r="AA11" i="65" a="1"/>
  <c r="AA11" i="65" s="1"/>
  <c r="S11" i="60" a="1"/>
  <c r="S11" i="60" s="1"/>
  <c r="AD7" i="72" a="1"/>
  <c r="AD7" i="72" s="1"/>
  <c r="X8" i="65"/>
  <c r="X14" i="65"/>
  <c r="X25" i="65"/>
  <c r="AA7" i="65" a="1"/>
  <c r="AA7" i="65" s="1"/>
  <c r="V7" i="60" a="1"/>
  <c r="V7" i="60" s="1"/>
  <c r="V6" i="60" a="1"/>
  <c r="V6" i="60" s="1"/>
  <c r="S7" i="60" a="1"/>
  <c r="S7" i="60" s="1"/>
  <c r="S8" i="60" a="1"/>
  <c r="S8" i="60" s="1"/>
  <c r="X18" i="72"/>
  <c r="X20" i="73"/>
  <c r="X16" i="65"/>
  <c r="X24" i="65"/>
  <c r="X7" i="73"/>
  <c r="X28" i="73"/>
  <c r="P10" i="60"/>
  <c r="P30" i="60"/>
  <c r="X19" i="73"/>
  <c r="AD6" i="65" a="1"/>
  <c r="AD6" i="65" s="1"/>
  <c r="X21" i="65"/>
  <c r="P9" i="60"/>
  <c r="X29" i="73"/>
  <c r="AA9" i="73" a="1"/>
  <c r="AA9" i="73" s="1"/>
  <c r="AD11" i="65" a="1"/>
  <c r="AD11" i="65" s="1"/>
  <c r="X16" i="72"/>
  <c r="X13" i="65"/>
  <c r="X13" i="72"/>
  <c r="X19" i="72"/>
  <c r="P27" i="60"/>
  <c r="X13" i="73"/>
  <c r="X5" i="65"/>
  <c r="V8" i="60" a="1"/>
  <c r="V8" i="60" s="1"/>
  <c r="AA7" i="73" a="1"/>
  <c r="AA7" i="73" s="1"/>
  <c r="AA7" i="72" a="1"/>
  <c r="AA7" i="72" s="1"/>
  <c r="AD7" i="73" a="1"/>
  <c r="AD7" i="73" s="1"/>
  <c r="X22" i="72"/>
  <c r="X21" i="72"/>
  <c r="P22" i="60"/>
  <c r="X14" i="73"/>
  <c r="X16" i="76"/>
  <c r="I27" i="70"/>
  <c r="K27" i="70" s="1"/>
  <c r="I5" i="70"/>
  <c r="K5" i="70" s="1"/>
  <c r="C27" i="69"/>
  <c r="C26" i="69"/>
  <c r="C56" i="69"/>
  <c r="J38" i="65" l="1" a="1"/>
  <c r="J38" i="65" s="1"/>
  <c r="E38" i="60" a="1"/>
  <c r="E38" i="60" s="1"/>
  <c r="O38" i="60" s="1"/>
  <c r="I39" i="73" a="1"/>
  <c r="I39" i="73" s="1"/>
  <c r="D38" i="65" a="1"/>
  <c r="D38" i="65" s="1"/>
  <c r="H47" i="73" a="1"/>
  <c r="H47" i="73" s="1"/>
  <c r="D36" i="72" a="1"/>
  <c r="D36" i="72" s="1"/>
  <c r="I36" i="65" a="1"/>
  <c r="I36" i="65" s="1"/>
  <c r="J36" i="60" a="1"/>
  <c r="J36" i="60" s="1"/>
  <c r="J36" i="72" a="1"/>
  <c r="J36" i="72" s="1"/>
  <c r="I37" i="72" a="1"/>
  <c r="I37" i="72" s="1"/>
  <c r="C47" i="65" a="1"/>
  <c r="C47" i="65" s="1"/>
  <c r="C39" i="65" a="1"/>
  <c r="C39" i="65" s="1"/>
  <c r="C45" i="73" a="1"/>
  <c r="C45" i="73" s="1"/>
  <c r="C36" i="60" a="1"/>
  <c r="C36" i="60" s="1"/>
  <c r="H38" i="73" a="1"/>
  <c r="H38" i="73" s="1"/>
  <c r="C38" i="73" a="1"/>
  <c r="C38" i="73" s="1"/>
  <c r="D39" i="60" a="1"/>
  <c r="D39" i="60" s="1"/>
  <c r="I38" i="72" a="1"/>
  <c r="I38" i="72" s="1"/>
  <c r="C45" i="72" a="1"/>
  <c r="C45" i="72" s="1"/>
  <c r="D38" i="72" a="1"/>
  <c r="D38" i="72" s="1"/>
  <c r="J38" i="60" a="1"/>
  <c r="J38" i="60" s="1"/>
  <c r="E36" i="73" a="1"/>
  <c r="E36" i="73" s="1"/>
  <c r="E38" i="65" a="1"/>
  <c r="E38" i="65" s="1"/>
  <c r="C37" i="60" a="1"/>
  <c r="C37" i="60" s="1"/>
  <c r="M37" i="60" s="1"/>
  <c r="C45" i="65" a="1"/>
  <c r="C45" i="65" s="1"/>
  <c r="E36" i="65" a="1"/>
  <c r="E36" i="65" s="1"/>
  <c r="D38" i="60" a="1"/>
  <c r="D38" i="60" s="1"/>
  <c r="N38" i="60" s="1"/>
  <c r="C37" i="65" a="1"/>
  <c r="C37" i="65" s="1"/>
  <c r="M37" i="65" s="1"/>
  <c r="E37" i="60" a="1"/>
  <c r="E37" i="60" s="1"/>
  <c r="O37" i="60" s="1"/>
  <c r="H39" i="73" a="1"/>
  <c r="H39" i="73" s="1"/>
  <c r="H46" i="72" a="1"/>
  <c r="H46" i="72" s="1"/>
  <c r="I37" i="60" a="1"/>
  <c r="I37" i="60" s="1"/>
  <c r="H39" i="65" a="1"/>
  <c r="H39" i="65" s="1"/>
  <c r="C38" i="60" a="1"/>
  <c r="C38" i="60" s="1"/>
  <c r="M38" i="60" s="1"/>
  <c r="I36" i="73" a="1"/>
  <c r="I36" i="73" s="1"/>
  <c r="J36" i="73" a="1"/>
  <c r="J36" i="73" s="1"/>
  <c r="E38" i="72" a="1"/>
  <c r="E38" i="72" s="1"/>
  <c r="H38" i="72" a="1"/>
  <c r="H38" i="72" s="1"/>
  <c r="E39" i="72" a="1"/>
  <c r="E39" i="72" s="1"/>
  <c r="H39" i="72" a="1"/>
  <c r="H39" i="72" s="1"/>
  <c r="H36" i="60" a="1"/>
  <c r="H36" i="60" s="1"/>
  <c r="C39" i="60" a="1"/>
  <c r="C39" i="60" s="1"/>
  <c r="J39" i="72" a="1"/>
  <c r="J39" i="72" s="1"/>
  <c r="I38" i="73" a="1"/>
  <c r="I38" i="73" s="1"/>
  <c r="H36" i="73" a="1"/>
  <c r="H36" i="73" s="1"/>
  <c r="H36" i="72" a="1"/>
  <c r="H36" i="72" s="1"/>
  <c r="H38" i="65" a="1"/>
  <c r="H38" i="65" s="1"/>
  <c r="H37" i="72" a="1"/>
  <c r="H37" i="72" s="1"/>
  <c r="J39" i="73" a="1"/>
  <c r="J39" i="73" s="1"/>
  <c r="J37" i="65" a="1"/>
  <c r="J37" i="65" s="1"/>
  <c r="O37" i="65" s="1"/>
  <c r="C36" i="65" a="1"/>
  <c r="C36" i="65" s="1"/>
  <c r="J39" i="60" a="1"/>
  <c r="J39" i="60" s="1"/>
  <c r="C36" i="73" a="1"/>
  <c r="C36" i="73" s="1"/>
  <c r="C47" i="73" a="1"/>
  <c r="C47" i="73" s="1"/>
  <c r="I36" i="72" a="1"/>
  <c r="I36" i="72" s="1"/>
  <c r="E39" i="60" a="1"/>
  <c r="E39" i="60" s="1"/>
  <c r="I39" i="65" a="1"/>
  <c r="I39" i="65" s="1"/>
  <c r="I39" i="72" a="1"/>
  <c r="I39" i="72" s="1"/>
  <c r="J37" i="73" a="1"/>
  <c r="J37" i="73" s="1"/>
  <c r="I37" i="73" a="1"/>
  <c r="I37" i="73" s="1"/>
  <c r="H46" i="73" a="1"/>
  <c r="H46" i="73" s="1"/>
  <c r="C38" i="72" a="1"/>
  <c r="C38" i="72" s="1"/>
  <c r="M38" i="72" s="1"/>
  <c r="H36" i="65" a="1"/>
  <c r="H36" i="65" s="1"/>
  <c r="H46" i="65" a="1"/>
  <c r="H46" i="65" s="1"/>
  <c r="H38" i="60" a="1"/>
  <c r="H38" i="60" s="1"/>
  <c r="H47" i="65" a="1"/>
  <c r="H47" i="65" s="1"/>
  <c r="E38" i="73" a="1"/>
  <c r="E38" i="73" s="1"/>
  <c r="D38" i="73" a="1"/>
  <c r="D38" i="73" s="1"/>
  <c r="C47" i="72" a="1"/>
  <c r="C47" i="72" s="1"/>
  <c r="H39" i="60" a="1"/>
  <c r="H39" i="60" s="1"/>
  <c r="E39" i="73" a="1"/>
  <c r="E39" i="73" s="1"/>
  <c r="C46" i="65" a="1"/>
  <c r="C46" i="65" s="1"/>
  <c r="D37" i="65" a="1"/>
  <c r="D37" i="65" s="1"/>
  <c r="C38" i="65" a="1"/>
  <c r="C38" i="65" s="1"/>
  <c r="I39" i="60" a="1"/>
  <c r="I39" i="60" s="1"/>
  <c r="J36" i="65" a="1"/>
  <c r="J36" i="65" s="1"/>
  <c r="C39" i="72" a="1"/>
  <c r="C39" i="72" s="1"/>
  <c r="H45" i="65" a="1"/>
  <c r="H45" i="65" s="1"/>
  <c r="E37" i="72" a="1"/>
  <c r="E37" i="72" s="1"/>
  <c r="O37" i="72" s="1"/>
  <c r="C37" i="72" a="1"/>
  <c r="C37" i="72" s="1"/>
  <c r="D37" i="72" a="1"/>
  <c r="D37" i="72" s="1"/>
  <c r="C46" i="72" a="1"/>
  <c r="C46" i="72" s="1"/>
  <c r="I36" i="60" a="1"/>
  <c r="I36" i="60" s="1"/>
  <c r="D39" i="65" a="1"/>
  <c r="D39" i="65" s="1"/>
  <c r="D36" i="65" a="1"/>
  <c r="D36" i="65" s="1"/>
  <c r="C36" i="72" a="1"/>
  <c r="C36" i="72" s="1"/>
  <c r="D36" i="73" a="1"/>
  <c r="D36" i="73" s="1"/>
  <c r="D36" i="60" a="1"/>
  <c r="D36" i="60" s="1"/>
  <c r="E36" i="60" a="1"/>
  <c r="E36" i="60" s="1"/>
  <c r="D39" i="73" a="1"/>
  <c r="D39" i="73" s="1"/>
  <c r="N39" i="73" s="1"/>
  <c r="J37" i="60" a="1"/>
  <c r="J37" i="60" s="1"/>
  <c r="H37" i="73" a="1"/>
  <c r="H37" i="73" s="1"/>
  <c r="I37" i="65" a="1"/>
  <c r="I37" i="65" s="1"/>
  <c r="H45" i="73" a="1"/>
  <c r="H45" i="73" s="1"/>
  <c r="I38" i="60" a="1"/>
  <c r="I38" i="60" s="1"/>
  <c r="I38" i="65" a="1"/>
  <c r="I38" i="65" s="1"/>
  <c r="N38" i="65" s="1"/>
  <c r="C46" i="73" a="1"/>
  <c r="C46" i="73" s="1"/>
  <c r="D37" i="73" a="1"/>
  <c r="D37" i="73" s="1"/>
  <c r="C37" i="73" a="1"/>
  <c r="C37" i="73" s="1"/>
  <c r="E37" i="73" a="1"/>
  <c r="E37" i="73" s="1"/>
  <c r="J39" i="65" a="1"/>
  <c r="J39" i="65" s="1"/>
  <c r="C39" i="73" a="1"/>
  <c r="C39" i="73" s="1"/>
  <c r="E39" i="65" a="1"/>
  <c r="E39" i="65" s="1"/>
  <c r="D39" i="72" a="1"/>
  <c r="D39" i="72" s="1"/>
  <c r="H45" i="72" a="1"/>
  <c r="H45" i="72" s="1"/>
  <c r="E36" i="72" a="1"/>
  <c r="E36" i="72" s="1"/>
  <c r="O36" i="72" s="1"/>
  <c r="J38" i="73" a="1"/>
  <c r="J38" i="73" s="1"/>
  <c r="H47" i="72" a="1"/>
  <c r="H47" i="72" s="1"/>
  <c r="J38" i="72" a="1"/>
  <c r="J38" i="72" s="1"/>
  <c r="X28" i="77"/>
  <c r="I6" i="70"/>
  <c r="K6" i="70" s="1"/>
  <c r="X23" i="76"/>
  <c r="X13" i="77"/>
  <c r="X6" i="77"/>
  <c r="I29" i="70"/>
  <c r="K29" i="70" s="1"/>
  <c r="I24" i="70"/>
  <c r="K24" i="70" s="1"/>
  <c r="X18" i="76"/>
  <c r="X7" i="76"/>
  <c r="I28" i="70"/>
  <c r="K28" i="70" s="1"/>
  <c r="X27" i="77"/>
  <c r="X10" i="77"/>
  <c r="I17" i="70"/>
  <c r="K17" i="70" s="1"/>
  <c r="I14" i="70"/>
  <c r="K14" i="70" s="1"/>
  <c r="X11" i="77"/>
  <c r="X12" i="76"/>
  <c r="X28" i="76"/>
  <c r="X22" i="76"/>
  <c r="X21" i="77"/>
  <c r="I11" i="70"/>
  <c r="K11" i="70" s="1"/>
  <c r="X24" i="76"/>
  <c r="X19" i="76"/>
  <c r="X30" i="76"/>
  <c r="X11" i="76"/>
  <c r="I20" i="70"/>
  <c r="K20" i="70" s="1"/>
  <c r="X14" i="76"/>
  <c r="X25" i="76"/>
  <c r="X29" i="76"/>
  <c r="AD12" i="77" a="1"/>
  <c r="AD12" i="77" s="1"/>
  <c r="X30" i="77"/>
  <c r="I26" i="70"/>
  <c r="K26" i="70" s="1"/>
  <c r="I18" i="70"/>
  <c r="K18" i="70" s="1"/>
  <c r="X9" i="77"/>
  <c r="X10" i="76"/>
  <c r="X17" i="76"/>
  <c r="AA10" i="76" a="1"/>
  <c r="AA10" i="76" s="1"/>
  <c r="AA12" i="76" a="1"/>
  <c r="AA12" i="76" s="1"/>
  <c r="AA7" i="76" a="1"/>
  <c r="AA7" i="76" s="1"/>
  <c r="AA8" i="76" a="1"/>
  <c r="AA8" i="76" s="1"/>
  <c r="X5" i="76"/>
  <c r="AA6" i="76" a="1"/>
  <c r="AA6" i="76" s="1"/>
  <c r="AA9" i="76" a="1"/>
  <c r="AA9" i="76" s="1"/>
  <c r="AA11" i="76" a="1"/>
  <c r="AA11" i="76" s="1"/>
  <c r="X9" i="76"/>
  <c r="I30" i="70"/>
  <c r="K30" i="70" s="1"/>
  <c r="X17" i="77"/>
  <c r="X29" i="77"/>
  <c r="X14" i="77"/>
  <c r="I9" i="70"/>
  <c r="K9" i="70" s="1"/>
  <c r="X27" i="76"/>
  <c r="X15" i="76"/>
  <c r="X26" i="76"/>
  <c r="X13" i="76"/>
  <c r="X21" i="76"/>
  <c r="AD8" i="76" a="1"/>
  <c r="AD8" i="76" s="1"/>
  <c r="AD11" i="76" a="1"/>
  <c r="AD11" i="76" s="1"/>
  <c r="AD7" i="76" a="1"/>
  <c r="AD7" i="76" s="1"/>
  <c r="AD9" i="76" a="1"/>
  <c r="AD9" i="76" s="1"/>
  <c r="AD12" i="76" a="1"/>
  <c r="AD12" i="76" s="1"/>
  <c r="AD6" i="76" a="1"/>
  <c r="AD6" i="76" s="1"/>
  <c r="AD10" i="76" a="1"/>
  <c r="AD10" i="76" s="1"/>
  <c r="X20" i="76"/>
  <c r="X8" i="76"/>
  <c r="X6" i="76"/>
  <c r="AD11" i="77" a="1"/>
  <c r="AD11" i="77" s="1"/>
  <c r="X12" i="77"/>
  <c r="X16" i="77"/>
  <c r="AD9" i="77" a="1"/>
  <c r="AD9" i="77" s="1"/>
  <c r="AD7" i="77" a="1"/>
  <c r="AD7" i="77" s="1"/>
  <c r="AD10" i="77" a="1"/>
  <c r="AD10" i="77" s="1"/>
  <c r="I12" i="70"/>
  <c r="K12" i="70" s="1"/>
  <c r="X26" i="77"/>
  <c r="X18" i="77"/>
  <c r="X19" i="77"/>
  <c r="I16" i="70"/>
  <c r="K16" i="70" s="1"/>
  <c r="I8" i="70"/>
  <c r="K8" i="70" s="1"/>
  <c r="I21" i="70"/>
  <c r="K21" i="70" s="1"/>
  <c r="I19" i="70"/>
  <c r="K19" i="70" s="1"/>
  <c r="X22" i="77"/>
  <c r="X8" i="77"/>
  <c r="AD8" i="77" a="1"/>
  <c r="AD8" i="77" s="1"/>
  <c r="X25" i="77"/>
  <c r="X23" i="77"/>
  <c r="I22" i="70"/>
  <c r="K22" i="70" s="1"/>
  <c r="AD6" i="77" a="1"/>
  <c r="AD6" i="77" s="1"/>
  <c r="I25" i="70"/>
  <c r="K25" i="70" s="1"/>
  <c r="AA8" i="77" a="1"/>
  <c r="AA8" i="77" s="1"/>
  <c r="AA6" i="77" a="1"/>
  <c r="AA6" i="77" s="1"/>
  <c r="AA11" i="77" a="1"/>
  <c r="AA11" i="77" s="1"/>
  <c r="AA10" i="77" a="1"/>
  <c r="AA10" i="77" s="1"/>
  <c r="AA12" i="77" a="1"/>
  <c r="AA12" i="77" s="1"/>
  <c r="AA7" i="77" a="1"/>
  <c r="AA7" i="77" s="1"/>
  <c r="X5" i="77"/>
  <c r="AA9" i="77" a="1"/>
  <c r="AA9" i="77" s="1"/>
  <c r="X20" i="77"/>
  <c r="I23" i="70"/>
  <c r="K23" i="70" s="1"/>
  <c r="C25" i="69"/>
  <c r="C28" i="69" s="1"/>
  <c r="C14" i="69"/>
  <c r="X7" i="77"/>
  <c r="X15" i="77"/>
  <c r="I13" i="70"/>
  <c r="K13" i="70" s="1"/>
  <c r="I10" i="70"/>
  <c r="K10" i="70" s="1"/>
  <c r="C49" i="69"/>
  <c r="I7" i="70"/>
  <c r="K7" i="70" s="1"/>
  <c r="X24" i="77"/>
  <c r="I15" i="70"/>
  <c r="K15" i="70" s="1"/>
  <c r="G4" i="68"/>
  <c r="N36" i="72" l="1"/>
  <c r="M39" i="73"/>
  <c r="O38" i="65"/>
  <c r="N39" i="60"/>
  <c r="N37" i="72"/>
  <c r="M47" i="73"/>
  <c r="M46" i="72"/>
  <c r="N36" i="65"/>
  <c r="M47" i="65"/>
  <c r="M38" i="73"/>
  <c r="N38" i="72"/>
  <c r="M36" i="60"/>
  <c r="M39" i="65"/>
  <c r="O36" i="60"/>
  <c r="N37" i="73"/>
  <c r="O39" i="73"/>
  <c r="N36" i="73"/>
  <c r="O38" i="72"/>
  <c r="M36" i="72"/>
  <c r="C48" i="73"/>
  <c r="E48" i="73" s="1"/>
  <c r="M47" i="72"/>
  <c r="M39" i="60"/>
  <c r="O36" i="73"/>
  <c r="M45" i="65"/>
  <c r="M37" i="72"/>
  <c r="O39" i="60"/>
  <c r="M45" i="73"/>
  <c r="O36" i="65"/>
  <c r="H48" i="73"/>
  <c r="M38" i="65"/>
  <c r="M36" i="65"/>
  <c r="O39" i="72"/>
  <c r="O37" i="73"/>
  <c r="N39" i="65"/>
  <c r="C48" i="65"/>
  <c r="E46" i="65" s="1"/>
  <c r="N39" i="72"/>
  <c r="N36" i="60"/>
  <c r="M46" i="73"/>
  <c r="N37" i="65"/>
  <c r="H48" i="65"/>
  <c r="N38" i="73"/>
  <c r="M39" i="72"/>
  <c r="M46" i="65"/>
  <c r="M36" i="73"/>
  <c r="M45" i="72"/>
  <c r="H48" i="72"/>
  <c r="J45" i="72" s="1"/>
  <c r="M37" i="73"/>
  <c r="O39" i="65"/>
  <c r="C48" i="72"/>
  <c r="O38" i="73"/>
  <c r="N35" i="70"/>
  <c r="L35" i="70"/>
  <c r="H37" i="76" a="1"/>
  <c r="H37" i="76" s="1"/>
  <c r="J37" i="76" a="1"/>
  <c r="J37" i="76" s="1"/>
  <c r="I37" i="76" a="1"/>
  <c r="I37" i="76" s="1"/>
  <c r="H46" i="76" a="1"/>
  <c r="H46" i="76" s="1"/>
  <c r="C45" i="76" a="1"/>
  <c r="C45" i="76" s="1"/>
  <c r="D36" i="76" a="1"/>
  <c r="D36" i="76" s="1"/>
  <c r="E39" i="76" a="1"/>
  <c r="E39" i="76" s="1"/>
  <c r="C39" i="76" a="1"/>
  <c r="C39" i="76" s="1"/>
  <c r="C36" i="76" a="1"/>
  <c r="C36" i="76" s="1"/>
  <c r="E36" i="76" a="1"/>
  <c r="E36" i="76" s="1"/>
  <c r="D39" i="76" a="1"/>
  <c r="D39" i="76" s="1"/>
  <c r="E38" i="76" a="1"/>
  <c r="E38" i="76" s="1"/>
  <c r="C38" i="76" a="1"/>
  <c r="C38" i="76" s="1"/>
  <c r="C47" i="76" a="1"/>
  <c r="C47" i="76" s="1"/>
  <c r="D38" i="76" a="1"/>
  <c r="D38" i="76" s="1"/>
  <c r="I38" i="76" a="1"/>
  <c r="I38" i="76" s="1"/>
  <c r="H47" i="76" a="1"/>
  <c r="H47" i="76" s="1"/>
  <c r="H38" i="76" a="1"/>
  <c r="H38" i="76" s="1"/>
  <c r="J38" i="76" a="1"/>
  <c r="J38" i="76" s="1"/>
  <c r="H36" i="76" a="1"/>
  <c r="H36" i="76" s="1"/>
  <c r="J39" i="76" a="1"/>
  <c r="J39" i="76" s="1"/>
  <c r="J36" i="76" a="1"/>
  <c r="J36" i="76" s="1"/>
  <c r="I39" i="76" a="1"/>
  <c r="I39" i="76" s="1"/>
  <c r="H39" i="76" a="1"/>
  <c r="H39" i="76" s="1"/>
  <c r="I36" i="76" a="1"/>
  <c r="I36" i="76" s="1"/>
  <c r="H45" i="76" a="1"/>
  <c r="H45" i="76" s="1"/>
  <c r="D37" i="76" a="1"/>
  <c r="D37" i="76" s="1"/>
  <c r="N37" i="76" s="1"/>
  <c r="C37" i="76" a="1"/>
  <c r="C37" i="76" s="1"/>
  <c r="E37" i="76" a="1"/>
  <c r="E37" i="76" s="1"/>
  <c r="C46" i="76" a="1"/>
  <c r="C46" i="76" s="1"/>
  <c r="M35" i="70"/>
  <c r="C39" i="77" a="1"/>
  <c r="C39" i="77" s="1"/>
  <c r="E36" i="77" a="1"/>
  <c r="E36" i="77" s="1"/>
  <c r="E39" i="77" a="1"/>
  <c r="E39" i="77" s="1"/>
  <c r="C36" i="77" a="1"/>
  <c r="C36" i="77" s="1"/>
  <c r="D39" i="77" a="1"/>
  <c r="D39" i="77" s="1"/>
  <c r="D36" i="77" a="1"/>
  <c r="D36" i="77" s="1"/>
  <c r="C45" i="77" a="1"/>
  <c r="C45" i="77" s="1"/>
  <c r="E37" i="77" a="1"/>
  <c r="E37" i="77" s="1"/>
  <c r="C46" i="77" a="1"/>
  <c r="C46" i="77" s="1"/>
  <c r="D37" i="77" a="1"/>
  <c r="D37" i="77" s="1"/>
  <c r="C37" i="77" a="1"/>
  <c r="C37" i="77" s="1"/>
  <c r="J38" i="77" a="1"/>
  <c r="J38" i="77" s="1"/>
  <c r="I38" i="77" a="1"/>
  <c r="I38" i="77" s="1"/>
  <c r="H38" i="77" a="1"/>
  <c r="H38" i="77" s="1"/>
  <c r="H47" i="77" a="1"/>
  <c r="H47" i="77" s="1"/>
  <c r="I39" i="77" a="1"/>
  <c r="I39" i="77" s="1"/>
  <c r="H36" i="77" a="1"/>
  <c r="H36" i="77" s="1"/>
  <c r="H45" i="77" a="1"/>
  <c r="H45" i="77" s="1"/>
  <c r="I36" i="77" a="1"/>
  <c r="I36" i="77" s="1"/>
  <c r="J39" i="77" a="1"/>
  <c r="J39" i="77" s="1"/>
  <c r="H39" i="77" a="1"/>
  <c r="H39" i="77" s="1"/>
  <c r="J36" i="77" a="1"/>
  <c r="J36" i="77" s="1"/>
  <c r="J37" i="77" a="1"/>
  <c r="J37" i="77" s="1"/>
  <c r="H46" i="77" a="1"/>
  <c r="H46" i="77" s="1"/>
  <c r="H37" i="77" a="1"/>
  <c r="H37" i="77" s="1"/>
  <c r="I37" i="77" a="1"/>
  <c r="I37" i="77" s="1"/>
  <c r="O35" i="70"/>
  <c r="D38" i="77" a="1"/>
  <c r="D38" i="77" s="1"/>
  <c r="E38" i="77" a="1"/>
  <c r="E38" i="77" s="1"/>
  <c r="C38" i="77" a="1"/>
  <c r="C38" i="77" s="1"/>
  <c r="C47" i="77" a="1"/>
  <c r="C47" i="77" s="1"/>
  <c r="G3" i="68"/>
  <c r="O37" i="76" l="1"/>
  <c r="M37" i="76"/>
  <c r="E47" i="73"/>
  <c r="E46" i="73"/>
  <c r="E45" i="73"/>
  <c r="M48" i="72"/>
  <c r="O45" i="72" s="1"/>
  <c r="M48" i="65"/>
  <c r="O46" i="65" s="1"/>
  <c r="M48" i="73"/>
  <c r="O46" i="73" s="1"/>
  <c r="J48" i="73"/>
  <c r="J46" i="73"/>
  <c r="E47" i="65"/>
  <c r="E45" i="65"/>
  <c r="E48" i="65"/>
  <c r="J47" i="73"/>
  <c r="J45" i="73"/>
  <c r="J45" i="65"/>
  <c r="J46" i="65"/>
  <c r="J47" i="65"/>
  <c r="J48" i="65"/>
  <c r="E48" i="72"/>
  <c r="E46" i="72"/>
  <c r="E45" i="72"/>
  <c r="E47" i="72"/>
  <c r="J48" i="72"/>
  <c r="J46" i="72"/>
  <c r="J47" i="72"/>
  <c r="M39" i="76"/>
  <c r="N39" i="76"/>
  <c r="M38" i="77"/>
  <c r="O38" i="77"/>
  <c r="N38" i="77"/>
  <c r="O36" i="76"/>
  <c r="M36" i="76"/>
  <c r="M46" i="76"/>
  <c r="O39" i="76"/>
  <c r="N37" i="77"/>
  <c r="N36" i="76"/>
  <c r="C48" i="76"/>
  <c r="E48" i="76" s="1"/>
  <c r="M45" i="76"/>
  <c r="N38" i="76"/>
  <c r="H48" i="76"/>
  <c r="J48" i="76" s="1"/>
  <c r="M47" i="76"/>
  <c r="M38" i="76"/>
  <c r="O38" i="76"/>
  <c r="M37" i="77"/>
  <c r="M46" i="77"/>
  <c r="O37" i="77"/>
  <c r="M47" i="77"/>
  <c r="C48" i="77"/>
  <c r="E48" i="77" s="1"/>
  <c r="M45" i="77"/>
  <c r="H48" i="77"/>
  <c r="J48" i="77" s="1"/>
  <c r="N36" i="77"/>
  <c r="N39" i="77"/>
  <c r="M36" i="77"/>
  <c r="O39" i="77"/>
  <c r="O36" i="77"/>
  <c r="M39" i="77"/>
  <c r="O46" i="72" l="1"/>
  <c r="O47" i="72"/>
  <c r="O48" i="72"/>
  <c r="O47" i="73"/>
  <c r="O48" i="73"/>
  <c r="O48" i="65"/>
  <c r="O45" i="65"/>
  <c r="O47" i="65"/>
  <c r="O45" i="73"/>
  <c r="J47" i="76"/>
  <c r="E46" i="76"/>
  <c r="J45" i="76"/>
  <c r="E47" i="76"/>
  <c r="J46" i="76"/>
  <c r="E45" i="76"/>
  <c r="J45" i="77"/>
  <c r="M48" i="76"/>
  <c r="O48" i="76" s="1"/>
  <c r="E45" i="77"/>
  <c r="M48" i="77"/>
  <c r="O48" i="77" s="1"/>
  <c r="E47" i="77"/>
  <c r="J47" i="77"/>
  <c r="E46" i="77"/>
  <c r="J46" i="77"/>
  <c r="O47" i="77" l="1"/>
  <c r="O45" i="76"/>
  <c r="O46" i="76"/>
  <c r="O46" i="77"/>
  <c r="O47" i="76"/>
  <c r="O45" i="77"/>
  <c r="M33" i="70" l="1"/>
  <c r="M32" i="70"/>
  <c r="M31" i="70"/>
  <c r="M34" i="70"/>
  <c r="N32" i="70"/>
  <c r="N34" i="70"/>
  <c r="N33" i="70"/>
  <c r="N31" i="70"/>
  <c r="O31" i="70"/>
  <c r="O34" i="70"/>
  <c r="O32" i="70"/>
  <c r="O33" i="70"/>
  <c r="L34" i="70"/>
  <c r="L33" i="70"/>
  <c r="L31" i="70"/>
  <c r="L32" i="70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<sst xmlns="http://schemas.openxmlformats.org/spreadsheetml/2006/main" count="3318" uniqueCount="227">
  <si>
    <t>ID</t>
  </si>
  <si>
    <t>T01</t>
  </si>
  <si>
    <t>Bit Fields</t>
  </si>
  <si>
    <t>T02</t>
  </si>
  <si>
    <t>Bit Sets</t>
  </si>
  <si>
    <t>T03</t>
  </si>
  <si>
    <t>Boolean Return</t>
  </si>
  <si>
    <t>T04</t>
  </si>
  <si>
    <t>Cascaded Function Calls</t>
  </si>
  <si>
    <t>T05</t>
  </si>
  <si>
    <t>Row Major Accesing</t>
  </si>
  <si>
    <t>T06</t>
  </si>
  <si>
    <t>Constructor Initialization Lists</t>
  </si>
  <si>
    <t>T07</t>
  </si>
  <si>
    <t>Common Subexpression Elimination</t>
  </si>
  <si>
    <t>T08</t>
  </si>
  <si>
    <t>Mapping Estructures</t>
  </si>
  <si>
    <t>T09</t>
  </si>
  <si>
    <t>Dead Code Elimination</t>
  </si>
  <si>
    <t>T10</t>
  </si>
  <si>
    <t>Exception Handling</t>
  </si>
  <si>
    <t>T11</t>
  </si>
  <si>
    <t>Global Variables Within Loops</t>
  </si>
  <si>
    <t>T12</t>
  </si>
  <si>
    <t>Function Inlining</t>
  </si>
  <si>
    <t>T13</t>
  </si>
  <si>
    <t>Global Variables</t>
  </si>
  <si>
    <t>T14</t>
  </si>
  <si>
    <t>Constants Inside Loop</t>
  </si>
  <si>
    <t>T15</t>
  </si>
  <si>
    <t>Initialization Versus Assignment</t>
  </si>
  <si>
    <t>T16</t>
  </si>
  <si>
    <t>Division By A Power Of Two Denominator</t>
  </si>
  <si>
    <t>T17</t>
  </si>
  <si>
    <t>Multiplication By A Power Of Two Factor</t>
  </si>
  <si>
    <t>T18</t>
  </si>
  <si>
    <t>Integer Versus Character</t>
  </si>
  <si>
    <t>T19</t>
  </si>
  <si>
    <t>Loop Count Down</t>
  </si>
  <si>
    <t>T20</t>
  </si>
  <si>
    <t>Loop Unrolling</t>
  </si>
  <si>
    <t>T21</t>
  </si>
  <si>
    <t>Passing Structures By Reference Instead Of Value</t>
  </si>
  <si>
    <t>T22</t>
  </si>
  <si>
    <t>Pointer Aliasing</t>
  </si>
  <si>
    <t>T23</t>
  </si>
  <si>
    <t>Chains Of Pointers</t>
  </si>
  <si>
    <t>T24</t>
  </si>
  <si>
    <t>Preincrement Versus Postincrement</t>
  </si>
  <si>
    <t>T25</t>
  </si>
  <si>
    <t>Linear Search</t>
  </si>
  <si>
    <t>T26</t>
  </si>
  <si>
    <t>Invariant If Statements Within Loops</t>
  </si>
  <si>
    <t>T27</t>
  </si>
  <si>
    <t>Complex numbers</t>
  </si>
  <si>
    <t>T28</t>
  </si>
  <si>
    <t>Loop Fission</t>
  </si>
  <si>
    <t>T29</t>
  </si>
  <si>
    <t>Range Check</t>
  </si>
  <si>
    <t>T30</t>
  </si>
  <si>
    <t>Struct Variables order</t>
  </si>
  <si>
    <t>T31</t>
  </si>
  <si>
    <t>Buffer IO</t>
  </si>
  <si>
    <t>T32</t>
  </si>
  <si>
    <t>Lookup Table</t>
  </si>
  <si>
    <t>T33</t>
  </si>
  <si>
    <t>Tail Function Calls</t>
  </si>
  <si>
    <t>T34</t>
  </si>
  <si>
    <t>Direct Initialization vs Loop Assignation</t>
  </si>
  <si>
    <t>T35</t>
  </si>
  <si>
    <t>Macros vs Functions</t>
  </si>
  <si>
    <t>T36</t>
  </si>
  <si>
    <t>Loop Exit Using Break</t>
  </si>
  <si>
    <t>T37</t>
  </si>
  <si>
    <t>Matrix Access Through Pointers</t>
  </si>
  <si>
    <t>T38</t>
  </si>
  <si>
    <t>Loop Unswitching</t>
  </si>
  <si>
    <t>T39</t>
  </si>
  <si>
    <t>Do While Vs For Loop</t>
  </si>
  <si>
    <t>T40</t>
  </si>
  <si>
    <t>Loop Jamming</t>
  </si>
  <si>
    <t>T41</t>
  </si>
  <si>
    <t>Pointer Deference</t>
  </si>
  <si>
    <t>T42</t>
  </si>
  <si>
    <t>Register Variables In Loop</t>
  </si>
  <si>
    <t>T43</t>
  </si>
  <si>
    <t>Nested Switches</t>
  </si>
  <si>
    <t>T44</t>
  </si>
  <si>
    <t>Lazy Evaluation</t>
  </si>
  <si>
    <t>T45</t>
  </si>
  <si>
    <t>CrossLinking Switches</t>
  </si>
  <si>
    <t>T49</t>
  </si>
  <si>
    <t>Sentinels</t>
  </si>
  <si>
    <t>T50</t>
  </si>
  <si>
    <t>Wasted Iterations</t>
  </si>
  <si>
    <t>T51</t>
  </si>
  <si>
    <t>Coarsening Recursion</t>
  </si>
  <si>
    <t>Technique</t>
  </si>
  <si>
    <t>Test</t>
  </si>
  <si>
    <t>Optimization</t>
  </si>
  <si>
    <t>Time (s)</t>
  </si>
  <si>
    <t>Power</t>
  </si>
  <si>
    <t>Consumption (with baseline)</t>
  </si>
  <si>
    <t>Consumption (without baseline)</t>
  </si>
  <si>
    <t>Impact of Optimization (O3-O0)/O0%</t>
  </si>
  <si>
    <t>HDD (w)</t>
  </si>
  <si>
    <t>CPU (w)</t>
  </si>
  <si>
    <t>DUT (w)</t>
  </si>
  <si>
    <t>HDD (J)</t>
  </si>
  <si>
    <t>CPU (J)</t>
  </si>
  <si>
    <t>DUT (J)</t>
  </si>
  <si>
    <t>Test1</t>
  </si>
  <si>
    <t>O0</t>
  </si>
  <si>
    <t>O3</t>
  </si>
  <si>
    <t>Test2</t>
  </si>
  <si>
    <t>Tecnica</t>
  </si>
  <si>
    <t>Impact of Technique ((Test2-Test1)/Test1%)</t>
  </si>
  <si>
    <t>Optimizacion</t>
  </si>
  <si>
    <t>Nuitka</t>
  </si>
  <si>
    <t>Reduces</t>
  </si>
  <si>
    <t>Increases</t>
  </si>
  <si>
    <t>Total</t>
  </si>
  <si>
    <t>C</t>
  </si>
  <si>
    <t>Python</t>
  </si>
  <si>
    <t>Programming language</t>
  </si>
  <si>
    <t>x</t>
  </si>
  <si>
    <t>Does not have a built-in switch construct.</t>
  </si>
  <si>
    <t>Does not have built-in support for pointers.</t>
  </si>
  <si>
    <t>Does not have a built-in do-while loop construct.</t>
  </si>
  <si>
    <t>Does not have register keyword.</t>
  </si>
  <si>
    <t>Does not exist the concept of pre-increment or post-increment.</t>
  </si>
  <si>
    <t>Does not have macros.</t>
  </si>
  <si>
    <t>Does not support direct initialization.</t>
  </si>
  <si>
    <t>Does not have Complex__ variable type.</t>
  </si>
  <si>
    <t>Does not have a mechanism like pass-by-value or pass-by-reference. Instead, it uses pass-by-assignment.</t>
  </si>
  <si>
    <t>Does not have a native struct data type.</t>
  </si>
  <si>
    <t>Does not have constants.</t>
  </si>
  <si>
    <t>Does not distinguish between initialization and assignment.</t>
  </si>
  <si>
    <t>Does not support constructor initialization lists.</t>
  </si>
  <si>
    <t>Does not have Bit Fields.</t>
  </si>
  <si>
    <t>Does not support returning multiple boolean values as a single unsigned int.</t>
  </si>
  <si>
    <t>Does not have built-in support for Bit Sets.</t>
  </si>
  <si>
    <t>Name</t>
  </si>
  <si>
    <t>Optimization level O0</t>
  </si>
  <si>
    <t>Optimization level O3</t>
  </si>
  <si>
    <t>Standard</t>
  </si>
  <si>
    <t>Efficient</t>
  </si>
  <si>
    <t>Impact (%)</t>
  </si>
  <si>
    <t>Techniques</t>
  </si>
  <si>
    <t>Impact</t>
  </si>
  <si>
    <t>T4</t>
  </si>
  <si>
    <t>T5</t>
  </si>
  <si>
    <t>T7</t>
  </si>
  <si>
    <t>T9</t>
  </si>
  <si>
    <t>T8</t>
  </si>
  <si>
    <t>&lt;= -75</t>
  </si>
  <si>
    <t>&gt; -75 &amp; &lt;= -25</t>
  </si>
  <si>
    <t>&gt; -3 &amp; &lt; 3</t>
  </si>
  <si>
    <t xml:space="preserve">&gt;= 3 &amp; &lt; 25 </t>
  </si>
  <si>
    <t>&gt;= 25 &amp; &lt; 75</t>
  </si>
  <si>
    <t>&gt;= 75</t>
  </si>
  <si>
    <t>&gt; -25 &amp; &lt;= -3</t>
  </si>
  <si>
    <t>Interpreter</t>
  </si>
  <si>
    <t>No notable difference</t>
  </si>
  <si>
    <t>Impact (%)4</t>
  </si>
  <si>
    <t>Code REPS</t>
  </si>
  <si>
    <t>Extrapolate</t>
  </si>
  <si>
    <t>Time (s) Extrapolate</t>
  </si>
  <si>
    <t>Consumption (without baseline) Extrapolate</t>
  </si>
  <si>
    <t>JIT</t>
  </si>
  <si>
    <t>Xint</t>
  </si>
  <si>
    <t>Effect size</t>
  </si>
  <si>
    <t>Average impact (%)</t>
  </si>
  <si>
    <t>Average</t>
  </si>
  <si>
    <t>Min</t>
  </si>
  <si>
    <t>Max</t>
  </si>
  <si>
    <t>Reduction</t>
  </si>
  <si>
    <t>No impact</t>
  </si>
  <si>
    <t>Increase</t>
  </si>
  <si>
    <t>small</t>
  </si>
  <si>
    <t>large</t>
  </si>
  <si>
    <t>Java</t>
  </si>
  <si>
    <t>No JIT</t>
  </si>
  <si>
    <t>Language</t>
  </si>
  <si>
    <t>Configuration</t>
  </si>
  <si>
    <t>Impact time</t>
  </si>
  <si>
    <t>Impact energy</t>
  </si>
  <si>
    <t>Cpython</t>
  </si>
  <si>
    <t>All</t>
  </si>
  <si>
    <t>Impact of using the efficient program variant compared to the standard variant in C</t>
  </si>
  <si>
    <t>Impact of using the efficient program variant compared to the standard variant in Python</t>
  </si>
  <si>
    <t>Impact of using the efficient program variant compared to the standard variant in Java</t>
  </si>
  <si>
    <t>Impact of using the efficient program variant compared to the standard variant</t>
  </si>
  <si>
    <t>Impact (%)2</t>
  </si>
  <si>
    <t>Impact (%)3</t>
  </si>
  <si>
    <t>Impact (%)5</t>
  </si>
  <si>
    <t>Impact (%)6</t>
  </si>
  <si>
    <t>Average impact (%) C</t>
  </si>
  <si>
    <t>Average impact (%) Python</t>
  </si>
  <si>
    <t>Average impact (%) Java</t>
  </si>
  <si>
    <t>Global impact (%)</t>
  </si>
  <si>
    <t>(1) data/memory structure</t>
  </si>
  <si>
    <t>(2) algorithm implementation</t>
  </si>
  <si>
    <t>(4) loops</t>
  </si>
  <si>
    <t>(3) arithmetic/logic operations</t>
  </si>
  <si>
    <t>Energy consumption (J)</t>
  </si>
  <si>
    <t>JIT enabled</t>
  </si>
  <si>
    <t>JIT disabled</t>
  </si>
  <si>
    <t>p-value</t>
  </si>
  <si>
    <t>medium</t>
  </si>
  <si>
    <t>null hypothesis cannot be rejected</t>
  </si>
  <si>
    <t>Test1+Test2</t>
  </si>
  <si>
    <t>JIT enabled + JIT disabled</t>
  </si>
  <si>
    <t>%</t>
  </si>
  <si>
    <t>Nº</t>
  </si>
  <si>
    <t>Test1 + Test2</t>
  </si>
  <si>
    <t>Optimization level O0 + Optimization level O3</t>
  </si>
  <si>
    <t>CPython</t>
  </si>
  <si>
    <t>Impact of using the efficient program variant compared to the standard variant in C (O0)</t>
  </si>
  <si>
    <t>Impact of using the efficient program variant compared to the standard variant in C (O3)</t>
  </si>
  <si>
    <t>Impact of using the efficient program variant compared to the standard variant in Python (CPython)</t>
  </si>
  <si>
    <t>Impact of using the efficient program variant compared to the standard variant in Python (Nuitka)</t>
  </si>
  <si>
    <t>Impact of using the efficient program variant compared to the standard variant in Java (JIT enabled)</t>
  </si>
  <si>
    <t>Impact of using the efficient program variant compared to the standard variant in Java (JIT disabled)</t>
  </si>
  <si>
    <t>Java does not support true pass by reference.</t>
  </si>
  <si>
    <t>Cannot be operated directly.</t>
  </si>
  <si>
    <t>Cpython + Nuitka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</si>
</sst>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double">
        <color theme="4"/>
      </top>
      <bottom style="thin">
        <color theme="4" tint="0.39997558519241921"/>
      </bottom>
      <diagonal/>
    </border>
    <border>
      <left/>
      <right/>
      <top style="double">
        <color theme="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/>
      <bottom style="thin">
        <color theme="4" tint="0.39997558519241921"/>
      </bottom>
      <diagonal/>
    </border>
    <border>
      <left/>
      <right style="thin">
        <color indexed="64"/>
      </right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theme="4" tint="0.3999755851924192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2">
    <xf numFmtId="0" fontId="0" fillId="0" borderId="0" xfId="0"/>
    <xf numFmtId="2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9" xfId="0" applyBorder="1"/>
    <xf numFmtId="0" fontId="0" fillId="4" borderId="12" xfId="0" applyFill="1" applyBorder="1"/>
    <xf numFmtId="0" fontId="0" fillId="4" borderId="1" xfId="0" applyFill="1" applyBorder="1"/>
    <xf numFmtId="0" fontId="0" fillId="3" borderId="10" xfId="0" applyFill="1" applyBorder="1"/>
    <xf numFmtId="0" fontId="0" fillId="3" borderId="9" xfId="0" applyFill="1" applyBorder="1"/>
    <xf numFmtId="0" fontId="0" fillId="3" borderId="12" xfId="0" applyFill="1" applyBorder="1"/>
    <xf numFmtId="0" fontId="0" fillId="3" borderId="1" xfId="0" applyFill="1" applyBorder="1"/>
    <xf numFmtId="0" fontId="3" fillId="2" borderId="1" xfId="0" applyFont="1" applyFill="1" applyBorder="1"/>
    <xf numFmtId="0" fontId="4" fillId="0" borderId="4" xfId="0" applyFont="1" applyBorder="1"/>
    <xf numFmtId="0" fontId="3" fillId="2" borderId="1" xfId="0" applyFont="1" applyFill="1" applyBorder="1" applyAlignment="1">
      <alignment horizontal="center" vertical="center"/>
    </xf>
    <xf numFmtId="2" fontId="4" fillId="0" borderId="0" xfId="0" applyNumberFormat="1" applyFont="1"/>
    <xf numFmtId="2" fontId="4" fillId="0" borderId="3" xfId="0" applyNumberFormat="1" applyFont="1" applyBorder="1"/>
    <xf numFmtId="2" fontId="4" fillId="0" borderId="4" xfId="0" applyNumberFormat="1" applyFont="1" applyBorder="1"/>
    <xf numFmtId="2" fontId="4" fillId="0" borderId="11" xfId="0" applyNumberFormat="1" applyFont="1" applyBorder="1"/>
    <xf numFmtId="2" fontId="4" fillId="0" borderId="5" xfId="0" applyNumberFormat="1" applyFont="1" applyBorder="1"/>
    <xf numFmtId="2" fontId="4" fillId="0" borderId="6" xfId="0" applyNumberFormat="1" applyFont="1" applyBorder="1"/>
    <xf numFmtId="0" fontId="0" fillId="0" borderId="4" xfId="0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0" borderId="4" xfId="0" applyBorder="1"/>
    <xf numFmtId="0" fontId="0" fillId="6" borderId="1" xfId="0" applyFill="1" applyBorder="1" applyAlignment="1">
      <alignment horizontal="center" vertical="center"/>
    </xf>
    <xf numFmtId="0" fontId="0" fillId="0" borderId="8" xfId="0" applyBorder="1"/>
    <xf numFmtId="0" fontId="0" fillId="0" borderId="6" xfId="0" applyBorder="1"/>
    <xf numFmtId="2" fontId="0" fillId="0" borderId="1" xfId="0" applyNumberFormat="1" applyBorder="1"/>
    <xf numFmtId="0" fontId="3" fillId="2" borderId="7" xfId="0" applyFont="1" applyFill="1" applyBorder="1" applyAlignment="1">
      <alignment horizontal="center" vertical="center"/>
    </xf>
    <xf numFmtId="2" fontId="4" fillId="0" borderId="7" xfId="0" applyNumberFormat="1" applyFont="1" applyBorder="1"/>
    <xf numFmtId="2" fontId="4" fillId="0" borderId="16" xfId="0" applyNumberFormat="1" applyFont="1" applyBorder="1"/>
    <xf numFmtId="2" fontId="4" fillId="0" borderId="17" xfId="0" applyNumberFormat="1" applyFont="1" applyBorder="1"/>
    <xf numFmtId="2" fontId="4" fillId="0" borderId="2" xfId="0" applyNumberFormat="1" applyFont="1" applyBorder="1"/>
    <xf numFmtId="1" fontId="4" fillId="0" borderId="1" xfId="0" applyNumberFormat="1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0" fontId="3" fillId="2" borderId="7" xfId="0" applyFont="1" applyFill="1" applyBorder="1"/>
    <xf numFmtId="0" fontId="0" fillId="0" borderId="13" xfId="0" applyBorder="1"/>
    <xf numFmtId="0" fontId="3" fillId="0" borderId="0" xfId="0" applyFont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12" borderId="7" xfId="0" applyFill="1" applyBorder="1" applyAlignment="1">
      <alignment horizontal="center" vertical="center"/>
    </xf>
    <xf numFmtId="0" fontId="0" fillId="10" borderId="8" xfId="0" applyFill="1" applyBorder="1" applyAlignment="1">
      <alignment horizontal="center" vertical="center"/>
    </xf>
    <xf numFmtId="0" fontId="0" fillId="11" borderId="8" xfId="0" applyFill="1" applyBorder="1" applyAlignment="1">
      <alignment horizontal="center" vertical="center"/>
    </xf>
    <xf numFmtId="0" fontId="0" fillId="9" borderId="8" xfId="0" applyFill="1" applyBorder="1" applyAlignment="1">
      <alignment horizontal="center" vertical="center"/>
    </xf>
    <xf numFmtId="0" fontId="0" fillId="8" borderId="8" xfId="0" applyFill="1" applyBorder="1" applyAlignment="1">
      <alignment horizontal="center" vertical="center"/>
    </xf>
    <xf numFmtId="0" fontId="0" fillId="13" borderId="8" xfId="0" applyFill="1" applyBorder="1" applyAlignment="1">
      <alignment horizontal="center" vertical="center"/>
    </xf>
    <xf numFmtId="0" fontId="0" fillId="7" borderId="9" xfId="0" applyFill="1" applyBorder="1" applyAlignment="1">
      <alignment horizontal="center"/>
    </xf>
    <xf numFmtId="0" fontId="3" fillId="2" borderId="9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0" fontId="0" fillId="0" borderId="0" xfId="0" applyNumberFormat="1" applyAlignment="1">
      <alignment horizontal="center" vertical="center" wrapText="1"/>
    </xf>
    <xf numFmtId="0" fontId="3" fillId="0" borderId="0" xfId="0" applyFont="1"/>
    <xf numFmtId="10" fontId="0" fillId="0" borderId="0" xfId="0" applyNumberFormat="1" applyAlignment="1">
      <alignment horizontal="center"/>
    </xf>
    <xf numFmtId="10" fontId="0" fillId="0" borderId="1" xfId="0" applyNumberFormat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2" fontId="0" fillId="0" borderId="8" xfId="0" applyNumberFormat="1" applyBorder="1" applyAlignment="1">
      <alignment horizontal="center"/>
    </xf>
    <xf numFmtId="2" fontId="3" fillId="0" borderId="21" xfId="0" applyNumberFormat="1" applyFont="1" applyBorder="1"/>
    <xf numFmtId="2" fontId="3" fillId="0" borderId="20" xfId="0" applyNumberFormat="1" applyFont="1" applyBorder="1" applyAlignment="1">
      <alignment horizontal="center"/>
    </xf>
    <xf numFmtId="0" fontId="3" fillId="14" borderId="7" xfId="0" applyFont="1" applyFill="1" applyBorder="1" applyAlignment="1">
      <alignment horizontal="center"/>
    </xf>
    <xf numFmtId="2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2" fontId="0" fillId="6" borderId="3" xfId="0" applyNumberFormat="1" applyFill="1" applyBorder="1" applyAlignment="1">
      <alignment horizontal="center" vertical="center"/>
    </xf>
    <xf numFmtId="2" fontId="0" fillId="6" borderId="5" xfId="0" applyNumberFormat="1" applyFill="1" applyBorder="1" applyAlignment="1">
      <alignment horizontal="center" vertical="center"/>
    </xf>
    <xf numFmtId="0" fontId="0" fillId="6" borderId="7" xfId="0" applyFill="1" applyBorder="1"/>
    <xf numFmtId="0" fontId="0" fillId="6" borderId="8" xfId="0" applyFill="1" applyBorder="1"/>
    <xf numFmtId="0" fontId="0" fillId="6" borderId="9" xfId="0" applyFill="1" applyBorder="1"/>
    <xf numFmtId="0" fontId="3" fillId="2" borderId="15" xfId="0" applyFont="1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9" xfId="0" applyBorder="1" applyAlignment="1">
      <alignment vertical="center"/>
    </xf>
    <xf numFmtId="10" fontId="0" fillId="0" borderId="0" xfId="0" applyNumberFormat="1"/>
    <xf numFmtId="0" fontId="8" fillId="2" borderId="2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/>
    </xf>
    <xf numFmtId="0" fontId="5" fillId="2" borderId="14" xfId="0" applyFont="1" applyFill="1" applyBorder="1" applyAlignment="1">
      <alignment horizontal="center"/>
    </xf>
    <xf numFmtId="0" fontId="5" fillId="2" borderId="15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0" fontId="0" fillId="0" borderId="3" xfId="1" applyNumberFormat="1" applyFont="1" applyBorder="1" applyAlignment="1">
      <alignment horizontal="center" vertical="center"/>
    </xf>
    <xf numFmtId="10" fontId="0" fillId="0" borderId="0" xfId="1" applyNumberFormat="1" applyFont="1" applyBorder="1" applyAlignment="1">
      <alignment horizontal="center" vertical="center"/>
    </xf>
    <xf numFmtId="10" fontId="0" fillId="0" borderId="4" xfId="1" applyNumberFormat="1" applyFont="1" applyBorder="1" applyAlignment="1">
      <alignment horizontal="center" vertical="center"/>
    </xf>
    <xf numFmtId="10" fontId="0" fillId="0" borderId="5" xfId="1" applyNumberFormat="1" applyFont="1" applyBorder="1" applyAlignment="1">
      <alignment horizontal="center" vertical="center"/>
    </xf>
    <xf numFmtId="10" fontId="0" fillId="0" borderId="11" xfId="1" applyNumberFormat="1" applyFont="1" applyBorder="1" applyAlignment="1">
      <alignment horizontal="center" vertical="center"/>
    </xf>
    <xf numFmtId="10" fontId="0" fillId="0" borderId="6" xfId="1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7" fillId="6" borderId="13" xfId="0" applyFont="1" applyFill="1" applyBorder="1" applyAlignment="1">
      <alignment horizontal="center"/>
    </xf>
    <xf numFmtId="0" fontId="7" fillId="6" borderId="15" xfId="0" applyFont="1" applyFill="1" applyBorder="1" applyAlignment="1">
      <alignment horizontal="center"/>
    </xf>
    <xf numFmtId="0" fontId="7" fillId="6" borderId="14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5" fillId="2" borderId="11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6" fillId="6" borderId="13" xfId="0" applyFont="1" applyFill="1" applyBorder="1" applyAlignment="1">
      <alignment horizontal="center"/>
    </xf>
    <xf numFmtId="0" fontId="6" fillId="6" borderId="15" xfId="0" applyFont="1" applyFill="1" applyBorder="1" applyAlignment="1">
      <alignment horizontal="center"/>
    </xf>
    <xf numFmtId="0" fontId="6" fillId="6" borderId="14" xfId="0" applyFont="1" applyFill="1" applyBorder="1" applyAlignment="1">
      <alignment horizontal="center"/>
    </xf>
    <xf numFmtId="1" fontId="3" fillId="2" borderId="7" xfId="0" applyNumberFormat="1" applyFont="1" applyFill="1" applyBorder="1" applyAlignment="1">
      <alignment horizontal="center" vertical="center"/>
    </xf>
    <xf numFmtId="1" fontId="3" fillId="2" borderId="8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" fontId="3" fillId="2" borderId="9" xfId="0" applyNumberFormat="1" applyFont="1" applyFill="1" applyBorder="1" applyAlignment="1">
      <alignment horizontal="center" vertical="center"/>
    </xf>
    <xf numFmtId="10" fontId="0" fillId="0" borderId="16" xfId="1" applyNumberFormat="1" applyFont="1" applyBorder="1" applyAlignment="1">
      <alignment horizontal="center" vertical="center"/>
    </xf>
    <xf numFmtId="10" fontId="0" fillId="0" borderId="17" xfId="1" applyNumberFormat="1" applyFont="1" applyBorder="1" applyAlignment="1">
      <alignment horizontal="center" vertical="center"/>
    </xf>
    <xf numFmtId="10" fontId="0" fillId="0" borderId="2" xfId="1" applyNumberFormat="1" applyFont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15" borderId="23" xfId="0" applyFont="1" applyFill="1" applyBorder="1"/>
    <xf numFmtId="0" fontId="0" fillId="0" borderId="23" xfId="0" applyFont="1" applyBorder="1"/>
    <xf numFmtId="0" fontId="0" fillId="15" borderId="25" xfId="0" applyFont="1" applyFill="1" applyBorder="1" applyAlignment="1">
      <alignment vertical="center"/>
    </xf>
    <xf numFmtId="0" fontId="0" fillId="0" borderId="26" xfId="0" applyFont="1" applyBorder="1" applyAlignment="1">
      <alignment vertical="center"/>
    </xf>
    <xf numFmtId="0" fontId="0" fillId="15" borderId="26" xfId="0" applyFont="1" applyFill="1" applyBorder="1" applyAlignment="1">
      <alignment vertical="center"/>
    </xf>
    <xf numFmtId="0" fontId="0" fillId="15" borderId="24" xfId="0" applyFont="1" applyFill="1" applyBorder="1"/>
    <xf numFmtId="0" fontId="0" fillId="0" borderId="24" xfId="0" applyFont="1" applyBorder="1"/>
    <xf numFmtId="0" fontId="0" fillId="0" borderId="24" xfId="0" applyFont="1" applyBorder="1" applyAlignment="1">
      <alignment vertical="center"/>
    </xf>
    <xf numFmtId="0" fontId="0" fillId="15" borderId="24" xfId="0" applyFont="1" applyFill="1" applyBorder="1" applyAlignment="1">
      <alignment vertical="center"/>
    </xf>
    <xf numFmtId="0" fontId="8" fillId="2" borderId="27" xfId="0" applyFont="1" applyFill="1" applyBorder="1" applyAlignment="1">
      <alignment horizontal="center" vertical="center"/>
    </xf>
    <xf numFmtId="0" fontId="8" fillId="2" borderId="18" xfId="0" applyFont="1" applyFill="1" applyBorder="1" applyAlignment="1">
      <alignment horizontal="center" vertical="center"/>
    </xf>
    <xf numFmtId="0" fontId="8" fillId="2" borderId="19" xfId="0" applyFont="1" applyFill="1" applyBorder="1" applyAlignment="1">
      <alignment horizontal="center" vertical="center"/>
    </xf>
    <xf numFmtId="0" fontId="0" fillId="0" borderId="28" xfId="0" applyFont="1" applyBorder="1" applyAlignment="1">
      <alignment vertical="center"/>
    </xf>
    <xf numFmtId="0" fontId="0" fillId="0" borderId="29" xfId="0" applyFont="1" applyBorder="1"/>
    <xf numFmtId="0" fontId="0" fillId="0" borderId="30" xfId="0" applyFont="1" applyBorder="1" applyAlignment="1">
      <alignment vertical="center"/>
    </xf>
  </cellXfs>
  <cellStyles count="2">
    <cellStyle name="Normal" xfId="0" builtinId="0"/>
    <cellStyle name="Porcentaje" xfId="1" builtinId="5"/>
  </cellStyles>
  <dxfs count="273">
    <dxf>
      <fill>
        <patternFill>
          <bgColor rgb="FFFF7C80"/>
        </patternFill>
      </fill>
    </dxf>
    <dxf>
      <fill>
        <patternFill>
          <bgColor rgb="FFFF9999"/>
        </patternFill>
      </fill>
    </dxf>
    <dxf>
      <fill>
        <patternFill>
          <bgColor rgb="FFFFCCCC"/>
        </patternFill>
      </fill>
    </dxf>
    <dxf>
      <fill>
        <patternFill>
          <bgColor theme="9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9999"/>
        </patternFill>
      </fill>
    </dxf>
    <dxf>
      <fill>
        <patternFill>
          <bgColor rgb="FFFFCCCC"/>
        </patternFill>
      </fill>
    </dxf>
    <dxf>
      <fill>
        <patternFill>
          <bgColor theme="9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9999"/>
        </patternFill>
      </fill>
    </dxf>
    <dxf>
      <fill>
        <patternFill>
          <bgColor rgb="FFFFCCCC"/>
        </patternFill>
      </fill>
    </dxf>
    <dxf>
      <fill>
        <patternFill>
          <bgColor theme="9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9999"/>
        </patternFill>
      </fill>
    </dxf>
    <dxf>
      <fill>
        <patternFill>
          <bgColor rgb="FFFFCCCC"/>
        </patternFill>
      </fill>
    </dxf>
    <dxf>
      <fill>
        <patternFill>
          <bgColor theme="9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9999"/>
        </patternFill>
      </fill>
    </dxf>
    <dxf>
      <fill>
        <patternFill>
          <bgColor rgb="FFFFCCCC"/>
        </patternFill>
      </fill>
    </dxf>
    <dxf>
      <fill>
        <patternFill>
          <bgColor theme="9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9999"/>
        </patternFill>
      </fill>
    </dxf>
    <dxf>
      <fill>
        <patternFill>
          <bgColor rgb="FFFFCCCC"/>
        </patternFill>
      </fill>
    </dxf>
    <dxf>
      <fill>
        <patternFill>
          <bgColor theme="9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9999"/>
        </patternFill>
      </fill>
    </dxf>
    <dxf>
      <fill>
        <patternFill>
          <bgColor rgb="FFFFCCCC"/>
        </patternFill>
      </fill>
    </dxf>
    <dxf>
      <fill>
        <patternFill>
          <bgColor theme="9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9999"/>
        </patternFill>
      </fill>
    </dxf>
    <dxf>
      <fill>
        <patternFill>
          <bgColor rgb="FFFFCCCC"/>
        </patternFill>
      </fill>
    </dxf>
    <dxf>
      <fill>
        <patternFill>
          <bgColor theme="9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9999"/>
        </patternFill>
      </fill>
    </dxf>
    <dxf>
      <fill>
        <patternFill>
          <bgColor rgb="FFFFCCCC"/>
        </patternFill>
      </fill>
    </dxf>
    <dxf>
      <fill>
        <patternFill>
          <bgColor theme="9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9999"/>
        </patternFill>
      </fill>
    </dxf>
    <dxf>
      <fill>
        <patternFill>
          <bgColor rgb="FFFFCCCC"/>
        </patternFill>
      </fill>
    </dxf>
    <dxf>
      <fill>
        <patternFill>
          <bgColor theme="9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9999"/>
        </patternFill>
      </fill>
    </dxf>
    <dxf>
      <fill>
        <patternFill>
          <bgColor rgb="FFFFCCCC"/>
        </patternFill>
      </fill>
    </dxf>
    <dxf>
      <fill>
        <patternFill>
          <bgColor theme="9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9999"/>
        </patternFill>
      </fill>
    </dxf>
    <dxf>
      <fill>
        <patternFill>
          <bgColor rgb="FFFFCCCC"/>
        </patternFill>
      </fill>
    </dxf>
    <dxf>
      <fill>
        <patternFill>
          <bgColor theme="9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9999"/>
        </patternFill>
      </fill>
    </dxf>
    <dxf>
      <fill>
        <patternFill>
          <bgColor rgb="FFFFCCCC"/>
        </patternFill>
      </fill>
    </dxf>
    <dxf>
      <fill>
        <patternFill>
          <bgColor theme="9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9999"/>
        </patternFill>
      </fill>
    </dxf>
    <dxf>
      <fill>
        <patternFill>
          <bgColor rgb="FFFFCCCC"/>
        </patternFill>
      </fill>
    </dxf>
    <dxf>
      <fill>
        <patternFill>
          <bgColor theme="9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9999"/>
        </patternFill>
      </fill>
    </dxf>
    <dxf>
      <fill>
        <patternFill>
          <bgColor rgb="FFFFCCCC"/>
        </patternFill>
      </fill>
    </dxf>
    <dxf>
      <fill>
        <patternFill>
          <bgColor theme="9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9999"/>
        </patternFill>
      </fill>
    </dxf>
    <dxf>
      <fill>
        <patternFill>
          <bgColor rgb="FFFFCCCC"/>
        </patternFill>
      </fill>
    </dxf>
    <dxf>
      <fill>
        <patternFill>
          <bgColor theme="9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9999"/>
        </patternFill>
      </fill>
    </dxf>
    <dxf>
      <fill>
        <patternFill>
          <bgColor rgb="FFFFCCCC"/>
        </patternFill>
      </fill>
    </dxf>
    <dxf>
      <fill>
        <patternFill>
          <bgColor theme="9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9999"/>
        </patternFill>
      </fill>
    </dxf>
    <dxf>
      <fill>
        <patternFill>
          <bgColor rgb="FFFFCCCC"/>
        </patternFill>
      </fill>
    </dxf>
    <dxf>
      <fill>
        <patternFill>
          <bgColor theme="9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9999"/>
        </patternFill>
      </fill>
    </dxf>
    <dxf>
      <fill>
        <patternFill>
          <bgColor rgb="FFFFCCCC"/>
        </patternFill>
      </fill>
    </dxf>
    <dxf>
      <fill>
        <patternFill>
          <bgColor theme="9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9999"/>
        </patternFill>
      </fill>
    </dxf>
    <dxf>
      <fill>
        <patternFill>
          <bgColor rgb="FFFFCCCC"/>
        </patternFill>
      </fill>
    </dxf>
    <dxf>
      <fill>
        <patternFill>
          <bgColor theme="9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9999"/>
        </patternFill>
      </fill>
    </dxf>
    <dxf>
      <fill>
        <patternFill>
          <bgColor rgb="FFFFCCCC"/>
        </patternFill>
      </fill>
    </dxf>
    <dxf>
      <fill>
        <patternFill>
          <bgColor theme="9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9999"/>
        </patternFill>
      </fill>
    </dxf>
    <dxf>
      <fill>
        <patternFill>
          <bgColor rgb="FFFFCCCC"/>
        </patternFill>
      </fill>
    </dxf>
    <dxf>
      <fill>
        <patternFill>
          <bgColor theme="9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9999"/>
        </patternFill>
      </fill>
    </dxf>
    <dxf>
      <fill>
        <patternFill>
          <bgColor rgb="FFFFCCCC"/>
        </patternFill>
      </fill>
    </dxf>
    <dxf>
      <fill>
        <patternFill>
          <bgColor theme="9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9999"/>
        </patternFill>
      </fill>
    </dxf>
    <dxf>
      <fill>
        <patternFill>
          <bgColor rgb="FFFFCCCC"/>
        </patternFill>
      </fill>
    </dxf>
    <dxf>
      <fill>
        <patternFill>
          <bgColor theme="9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9999"/>
        </patternFill>
      </fill>
    </dxf>
    <dxf>
      <fill>
        <patternFill>
          <bgColor rgb="FFFFCCCC"/>
        </patternFill>
      </fill>
    </dxf>
    <dxf>
      <fill>
        <patternFill>
          <bgColor theme="9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9999"/>
        </patternFill>
      </fill>
    </dxf>
    <dxf>
      <fill>
        <patternFill>
          <bgColor rgb="FFFFCCCC"/>
        </patternFill>
      </fill>
    </dxf>
    <dxf>
      <fill>
        <patternFill>
          <bgColor theme="9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9999"/>
        </patternFill>
      </fill>
    </dxf>
    <dxf>
      <fill>
        <patternFill>
          <bgColor rgb="FFFFCCCC"/>
        </patternFill>
      </fill>
    </dxf>
    <dxf>
      <fill>
        <patternFill>
          <bgColor theme="9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9999"/>
        </patternFill>
      </fill>
    </dxf>
    <dxf>
      <fill>
        <patternFill>
          <bgColor rgb="FFFFCCCC"/>
        </patternFill>
      </fill>
    </dxf>
    <dxf>
      <fill>
        <patternFill>
          <bgColor theme="9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9999"/>
        </patternFill>
      </fill>
    </dxf>
    <dxf>
      <fill>
        <patternFill>
          <bgColor rgb="FFFFCCCC"/>
        </patternFill>
      </fill>
    </dxf>
    <dxf>
      <fill>
        <patternFill>
          <bgColor theme="9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9999"/>
        </patternFill>
      </fill>
    </dxf>
    <dxf>
      <fill>
        <patternFill>
          <bgColor rgb="FFFFCCCC"/>
        </patternFill>
      </fill>
    </dxf>
    <dxf>
      <fill>
        <patternFill>
          <bgColor theme="9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9999"/>
        </patternFill>
      </fill>
    </dxf>
    <dxf>
      <fill>
        <patternFill>
          <bgColor rgb="FFFFCCCC"/>
        </patternFill>
      </fill>
    </dxf>
    <dxf>
      <fill>
        <patternFill>
          <bgColor theme="9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9999"/>
        </patternFill>
      </fill>
    </dxf>
    <dxf>
      <fill>
        <patternFill>
          <bgColor rgb="FFFFCCCC"/>
        </patternFill>
      </fill>
    </dxf>
    <dxf>
      <fill>
        <patternFill>
          <bgColor theme="9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9999"/>
        </patternFill>
      </fill>
    </dxf>
    <dxf>
      <fill>
        <patternFill>
          <bgColor rgb="FFFFCCCC"/>
        </patternFill>
      </fill>
    </dxf>
    <dxf>
      <fill>
        <patternFill>
          <bgColor theme="9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numFmt numFmtId="2" formatCode="0.00"/>
      <alignment horizontal="general" textRotation="0" wrapText="0" indent="0" justifyLastLine="0" shrinkToFit="0" readingOrder="0"/>
    </dxf>
    <dxf>
      <numFmt numFmtId="2" formatCode="0.00"/>
      <alignment horizontal="general" textRotation="0" wrapText="0" indent="0" justifyLastLine="0" shrinkToFit="0" readingOrder="0"/>
    </dxf>
    <dxf>
      <numFmt numFmtId="2" formatCode="0.00"/>
      <alignment horizontal="general" textRotation="0" wrapText="0" indent="0" justifyLastLine="0" shrinkToFit="0" readingOrder="0"/>
    </dxf>
    <dxf>
      <numFmt numFmtId="2" formatCode="0.00"/>
      <alignment horizontal="general" textRotation="0" wrapText="0" indent="0" justifyLastLine="0" shrinkToFit="0" readingOrder="0"/>
    </dxf>
    <dxf>
      <numFmt numFmtId="2" formatCode="0.00"/>
      <alignment horizontal="general" textRotation="0" wrapText="0" indent="0" justifyLastLine="0" shrinkToFit="0" readingOrder="0"/>
    </dxf>
    <dxf>
      <numFmt numFmtId="2" formatCode="0.00"/>
      <alignment horizontal="general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theme="4" tint="0.39997558519241921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2" formatCode="0.00"/>
    </dxf>
    <dxf>
      <numFmt numFmtId="2" formatCode="0.00"/>
      <alignment horizontal="general" textRotation="0" wrapText="0" indent="0" justifyLastLine="0" shrinkToFit="0" readingOrder="0"/>
    </dxf>
    <dxf>
      <numFmt numFmtId="2" formatCode="0.00"/>
    </dxf>
    <dxf>
      <numFmt numFmtId="2" formatCode="0.00"/>
      <alignment horizontal="general" textRotation="0" wrapText="0" indent="0" justifyLastLine="0" shrinkToFit="0" readingOrder="0"/>
    </dxf>
    <dxf>
      <numFmt numFmtId="2" formatCode="0.00"/>
    </dxf>
    <dxf>
      <numFmt numFmtId="2" formatCode="0.00"/>
      <alignment horizontal="general" textRotation="0" wrapText="0" indent="0" justifyLastLine="0" shrinkToFit="0" readingOrder="0"/>
    </dxf>
    <dxf>
      <numFmt numFmtId="2" formatCode="0.00"/>
    </dxf>
    <dxf>
      <numFmt numFmtId="2" formatCode="0.00"/>
      <alignment horizontal="general" textRotation="0" wrapText="0" indent="0" justifyLastLine="0" shrinkToFit="0" readingOrder="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alignment horizontal="general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border outline="0">
        <left style="thin">
          <color indexed="64"/>
        </left>
        <top style="thin">
          <color indexed="64"/>
        </top>
      </border>
    </dxf>
    <dxf>
      <alignment horizontal="general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5050"/>
      <color rgb="FFFF7C80"/>
      <color rgb="FFFF9999"/>
      <color rgb="FFFFCCCC"/>
      <color rgb="FFFFFF66"/>
      <color rgb="FFEAB5AA"/>
      <color rgb="FFCCFFCC"/>
      <color rgb="FF99FF99"/>
      <color rgb="FF66FF66"/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06/relationships/rdRichValueStructure" Target="richData/rdrichvaluestructure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06/relationships/rdRichValue" Target="richData/rdrichvalue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Impact of using the efficient program variant compared to the standard variant on energy consumption in 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O0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'Java Optimization results'!$I$5:$I$30</c:f>
              <c:strCache>
                <c:ptCount val="26"/>
                <c:pt idx="0">
                  <c:v>T4</c:v>
                </c:pt>
                <c:pt idx="1">
                  <c:v>T5</c:v>
                </c:pt>
                <c:pt idx="2">
                  <c:v>T7</c:v>
                </c:pt>
                <c:pt idx="3">
                  <c:v>T8</c:v>
                </c:pt>
                <c:pt idx="4">
                  <c:v>T9</c:v>
                </c:pt>
                <c:pt idx="5">
                  <c:v>T10</c:v>
                </c:pt>
                <c:pt idx="6">
                  <c:v>T11</c:v>
                </c:pt>
                <c:pt idx="7">
                  <c:v>T12</c:v>
                </c:pt>
                <c:pt idx="8">
                  <c:v>T13</c:v>
                </c:pt>
                <c:pt idx="9">
                  <c:v>T16</c:v>
                </c:pt>
                <c:pt idx="10">
                  <c:v>T17</c:v>
                </c:pt>
                <c:pt idx="11">
                  <c:v>T19</c:v>
                </c:pt>
                <c:pt idx="12">
                  <c:v>T20</c:v>
                </c:pt>
                <c:pt idx="13">
                  <c:v>T25</c:v>
                </c:pt>
                <c:pt idx="14">
                  <c:v>T26</c:v>
                </c:pt>
                <c:pt idx="15">
                  <c:v>T28</c:v>
                </c:pt>
                <c:pt idx="16">
                  <c:v>T29</c:v>
                </c:pt>
                <c:pt idx="17">
                  <c:v>T31</c:v>
                </c:pt>
                <c:pt idx="18">
                  <c:v>T32</c:v>
                </c:pt>
                <c:pt idx="19">
                  <c:v>T33</c:v>
                </c:pt>
                <c:pt idx="20">
                  <c:v>T36</c:v>
                </c:pt>
                <c:pt idx="21">
                  <c:v>T40</c:v>
                </c:pt>
                <c:pt idx="22">
                  <c:v>T44</c:v>
                </c:pt>
                <c:pt idx="23">
                  <c:v>T49</c:v>
                </c:pt>
                <c:pt idx="24">
                  <c:v>T50</c:v>
                </c:pt>
                <c:pt idx="25">
                  <c:v>T51</c:v>
                </c:pt>
              </c:strCache>
            </c:strRef>
          </c:cat>
          <c:val>
            <c:numRef>
              <c:f>'C Technique results'!$J$5:$J$30</c:f>
              <c:numCache>
                <c:formatCode>0.00</c:formatCode>
                <c:ptCount val="26"/>
                <c:pt idx="0">
                  <c:v>-32.024902558615494</c:v>
                </c:pt>
                <c:pt idx="1">
                  <c:v>-2.2062393605254265</c:v>
                </c:pt>
                <c:pt idx="2">
                  <c:v>-56.175182481751825</c:v>
                </c:pt>
                <c:pt idx="3">
                  <c:v>53.467904623274102</c:v>
                </c:pt>
                <c:pt idx="4">
                  <c:v>-10.072847791776804</c:v>
                </c:pt>
                <c:pt idx="5">
                  <c:v>-99.557974719376517</c:v>
                </c:pt>
                <c:pt idx="6">
                  <c:v>-0.15261440445574287</c:v>
                </c:pt>
                <c:pt idx="7">
                  <c:v>-14.105504587155968</c:v>
                </c:pt>
                <c:pt idx="8">
                  <c:v>-0.62340280694996386</c:v>
                </c:pt>
                <c:pt idx="9">
                  <c:v>-8.2830025884383076</c:v>
                </c:pt>
                <c:pt idx="10">
                  <c:v>-1.8383924754168386</c:v>
                </c:pt>
                <c:pt idx="11">
                  <c:v>3.0779176122687697</c:v>
                </c:pt>
                <c:pt idx="12">
                  <c:v>-67.18113428228078</c:v>
                </c:pt>
                <c:pt idx="13">
                  <c:v>-17.782095564383646</c:v>
                </c:pt>
                <c:pt idx="14">
                  <c:v>-1.16610503141709</c:v>
                </c:pt>
                <c:pt idx="15">
                  <c:v>40.578452731440443</c:v>
                </c:pt>
                <c:pt idx="16">
                  <c:v>1.2525050100200537</c:v>
                </c:pt>
                <c:pt idx="17">
                  <c:v>49.151693988415659</c:v>
                </c:pt>
                <c:pt idx="18">
                  <c:v>-1.4979523164982138</c:v>
                </c:pt>
                <c:pt idx="19">
                  <c:v>-1.4520443255636148</c:v>
                </c:pt>
                <c:pt idx="20">
                  <c:v>4.1365779422296525</c:v>
                </c:pt>
                <c:pt idx="21">
                  <c:v>-18.286923388007192</c:v>
                </c:pt>
                <c:pt idx="22">
                  <c:v>-2.288732394366189</c:v>
                </c:pt>
                <c:pt idx="23">
                  <c:v>-12.895477460933444</c:v>
                </c:pt>
                <c:pt idx="24">
                  <c:v>-59.48136047688174</c:v>
                </c:pt>
                <c:pt idx="25">
                  <c:v>-27.514884721882254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91-4A5F-B8A3-3CF25EBC9B06}"/>
            </c:ext>
          </c:extLst>
        </c:ser>
        <c:ser>
          <c:idx val="1"/>
          <c:order val="1"/>
          <c:tx>
            <c:v>O3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'Java Optimization results'!$I$5:$I$30</c:f>
              <c:strCache>
                <c:ptCount val="26"/>
                <c:pt idx="0">
                  <c:v>T4</c:v>
                </c:pt>
                <c:pt idx="1">
                  <c:v>T5</c:v>
                </c:pt>
                <c:pt idx="2">
                  <c:v>T7</c:v>
                </c:pt>
                <c:pt idx="3">
                  <c:v>T8</c:v>
                </c:pt>
                <c:pt idx="4">
                  <c:v>T9</c:v>
                </c:pt>
                <c:pt idx="5">
                  <c:v>T10</c:v>
                </c:pt>
                <c:pt idx="6">
                  <c:v>T11</c:v>
                </c:pt>
                <c:pt idx="7">
                  <c:v>T12</c:v>
                </c:pt>
                <c:pt idx="8">
                  <c:v>T13</c:v>
                </c:pt>
                <c:pt idx="9">
                  <c:v>T16</c:v>
                </c:pt>
                <c:pt idx="10">
                  <c:v>T17</c:v>
                </c:pt>
                <c:pt idx="11">
                  <c:v>T19</c:v>
                </c:pt>
                <c:pt idx="12">
                  <c:v>T20</c:v>
                </c:pt>
                <c:pt idx="13">
                  <c:v>T25</c:v>
                </c:pt>
                <c:pt idx="14">
                  <c:v>T26</c:v>
                </c:pt>
                <c:pt idx="15">
                  <c:v>T28</c:v>
                </c:pt>
                <c:pt idx="16">
                  <c:v>T29</c:v>
                </c:pt>
                <c:pt idx="17">
                  <c:v>T31</c:v>
                </c:pt>
                <c:pt idx="18">
                  <c:v>T32</c:v>
                </c:pt>
                <c:pt idx="19">
                  <c:v>T33</c:v>
                </c:pt>
                <c:pt idx="20">
                  <c:v>T36</c:v>
                </c:pt>
                <c:pt idx="21">
                  <c:v>T40</c:v>
                </c:pt>
                <c:pt idx="22">
                  <c:v>T44</c:v>
                </c:pt>
                <c:pt idx="23">
                  <c:v>T49</c:v>
                </c:pt>
                <c:pt idx="24">
                  <c:v>T50</c:v>
                </c:pt>
                <c:pt idx="25">
                  <c:v>T51</c:v>
                </c:pt>
              </c:strCache>
            </c:strRef>
          </c:cat>
          <c:val>
            <c:numRef>
              <c:f>'C Technique results'!$U$5:$U$30</c:f>
              <c:numCache>
                <c:formatCode>0.00</c:formatCode>
                <c:ptCount val="26"/>
                <c:pt idx="0">
                  <c:v>-77.057849664373308</c:v>
                </c:pt>
                <c:pt idx="1">
                  <c:v>6.5358211860604047</c:v>
                </c:pt>
                <c:pt idx="2">
                  <c:v>-55.764525993883794</c:v>
                </c:pt>
                <c:pt idx="3">
                  <c:v>-65.33349053036865</c:v>
                </c:pt>
                <c:pt idx="4">
                  <c:v>0.84935502812872476</c:v>
                </c:pt>
                <c:pt idx="5">
                  <c:v>-99.810559215391663</c:v>
                </c:pt>
                <c:pt idx="6">
                  <c:v>-20.762423417290677</c:v>
                </c:pt>
                <c:pt idx="7">
                  <c:v>-56.419832822077986</c:v>
                </c:pt>
                <c:pt idx="8">
                  <c:v>-8.4732176153704089</c:v>
                </c:pt>
                <c:pt idx="9">
                  <c:v>-7.1555555555555621</c:v>
                </c:pt>
                <c:pt idx="10">
                  <c:v>-0.70144673388864398</c:v>
                </c:pt>
                <c:pt idx="11">
                  <c:v>12.986224263072124</c:v>
                </c:pt>
                <c:pt idx="12">
                  <c:v>49.845851276660682</c:v>
                </c:pt>
                <c:pt idx="13">
                  <c:v>-24.089378676033945</c:v>
                </c:pt>
                <c:pt idx="14">
                  <c:v>-89.059672070430466</c:v>
                </c:pt>
                <c:pt idx="15">
                  <c:v>14.912588739376679</c:v>
                </c:pt>
                <c:pt idx="16">
                  <c:v>0.62979060590132641</c:v>
                </c:pt>
                <c:pt idx="17">
                  <c:v>41.687641773226041</c:v>
                </c:pt>
                <c:pt idx="18">
                  <c:v>-2.4056408129406894</c:v>
                </c:pt>
                <c:pt idx="19">
                  <c:v>6.8235294117646994</c:v>
                </c:pt>
                <c:pt idx="20">
                  <c:v>2.4753748082737248</c:v>
                </c:pt>
                <c:pt idx="21">
                  <c:v>-80.662329316487018</c:v>
                </c:pt>
                <c:pt idx="22">
                  <c:v>-4.8045026102216219</c:v>
                </c:pt>
                <c:pt idx="23">
                  <c:v>357.76361824173148</c:v>
                </c:pt>
                <c:pt idx="24">
                  <c:v>-16.272173210118783</c:v>
                </c:pt>
                <c:pt idx="25">
                  <c:v>-28.978230252851422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91-4A5F-B8A3-3CF25EBC9B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566005407"/>
        <c:axId val="1566003967"/>
      </c:barChart>
      <c:catAx>
        <c:axId val="15660054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sz="1100"/>
                  <a:t>Techniques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66003967"/>
        <c:crosses val="autoZero"/>
        <c:auto val="1"/>
        <c:lblAlgn val="ctr"/>
        <c:lblOffset val="100"/>
        <c:noMultiLvlLbl val="0"/>
      </c:catAx>
      <c:valAx>
        <c:axId val="1566003967"/>
        <c:scaling>
          <c:orientation val="minMax"/>
          <c:max val="500"/>
          <c:min val="-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sz="1100"/>
                  <a:t>Impact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66005407"/>
        <c:crosses val="autoZero"/>
        <c:crossBetween val="between"/>
        <c:majorUnit val="100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Impact of using compiler optimization level -O3 compared to -O0 on energy consumption in 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Standard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'Java Optimization results'!$I$5:$I$30</c:f>
              <c:strCache>
                <c:ptCount val="26"/>
                <c:pt idx="0">
                  <c:v>T4</c:v>
                </c:pt>
                <c:pt idx="1">
                  <c:v>T5</c:v>
                </c:pt>
                <c:pt idx="2">
                  <c:v>T7</c:v>
                </c:pt>
                <c:pt idx="3">
                  <c:v>T8</c:v>
                </c:pt>
                <c:pt idx="4">
                  <c:v>T9</c:v>
                </c:pt>
                <c:pt idx="5">
                  <c:v>T10</c:v>
                </c:pt>
                <c:pt idx="6">
                  <c:v>T11</c:v>
                </c:pt>
                <c:pt idx="7">
                  <c:v>T12</c:v>
                </c:pt>
                <c:pt idx="8">
                  <c:v>T13</c:v>
                </c:pt>
                <c:pt idx="9">
                  <c:v>T16</c:v>
                </c:pt>
                <c:pt idx="10">
                  <c:v>T17</c:v>
                </c:pt>
                <c:pt idx="11">
                  <c:v>T19</c:v>
                </c:pt>
                <c:pt idx="12">
                  <c:v>T20</c:v>
                </c:pt>
                <c:pt idx="13">
                  <c:v>T25</c:v>
                </c:pt>
                <c:pt idx="14">
                  <c:v>T26</c:v>
                </c:pt>
                <c:pt idx="15">
                  <c:v>T28</c:v>
                </c:pt>
                <c:pt idx="16">
                  <c:v>T29</c:v>
                </c:pt>
                <c:pt idx="17">
                  <c:v>T31</c:v>
                </c:pt>
                <c:pt idx="18">
                  <c:v>T32</c:v>
                </c:pt>
                <c:pt idx="19">
                  <c:v>T33</c:v>
                </c:pt>
                <c:pt idx="20">
                  <c:v>T36</c:v>
                </c:pt>
                <c:pt idx="21">
                  <c:v>T40</c:v>
                </c:pt>
                <c:pt idx="22">
                  <c:v>T44</c:v>
                </c:pt>
                <c:pt idx="23">
                  <c:v>T49</c:v>
                </c:pt>
                <c:pt idx="24">
                  <c:v>T50</c:v>
                </c:pt>
                <c:pt idx="25">
                  <c:v>T51</c:v>
                </c:pt>
              </c:strCache>
            </c:strRef>
          </c:cat>
          <c:val>
            <c:numRef>
              <c:f>'C Optimization results'!$J$5:$J$30</c:f>
              <c:numCache>
                <c:formatCode>0.00</c:formatCode>
                <c:ptCount val="26"/>
                <c:pt idx="0">
                  <c:v>-42.826365686102093</c:v>
                </c:pt>
                <c:pt idx="1">
                  <c:v>-95.443422169224903</c:v>
                </c:pt>
                <c:pt idx="2">
                  <c:v>-4.5255474452554738</c:v>
                </c:pt>
                <c:pt idx="3">
                  <c:v>352.33469434115182</c:v>
                </c:pt>
                <c:pt idx="4">
                  <c:v>-7.9829292673127883</c:v>
                </c:pt>
                <c:pt idx="5">
                  <c:v>1.2963642748387096</c:v>
                </c:pt>
                <c:pt idx="6">
                  <c:v>-61.482192899197862</c:v>
                </c:pt>
                <c:pt idx="7">
                  <c:v>-7.9128440366972512</c:v>
                </c:pt>
                <c:pt idx="8">
                  <c:v>-28.112883348859025</c:v>
                </c:pt>
                <c:pt idx="9">
                  <c:v>-2.9335634167385582</c:v>
                </c:pt>
                <c:pt idx="10">
                  <c:v>-2.4796921761436517</c:v>
                </c:pt>
                <c:pt idx="11">
                  <c:v>-92.245103084797748</c:v>
                </c:pt>
                <c:pt idx="12">
                  <c:v>-93.029195806133885</c:v>
                </c:pt>
                <c:pt idx="13">
                  <c:v>-78.108212596449135</c:v>
                </c:pt>
                <c:pt idx="14">
                  <c:v>-74.177601587023332</c:v>
                </c:pt>
                <c:pt idx="15">
                  <c:v>-78.056513488259498</c:v>
                </c:pt>
                <c:pt idx="16">
                  <c:v>-51.20594579799522</c:v>
                </c:pt>
                <c:pt idx="17">
                  <c:v>-20.296358020480625</c:v>
                </c:pt>
                <c:pt idx="18">
                  <c:v>-21.669915529564662</c:v>
                </c:pt>
                <c:pt idx="19">
                  <c:v>-18.800152846771105</c:v>
                </c:pt>
                <c:pt idx="20">
                  <c:v>-95.325430691493594</c:v>
                </c:pt>
                <c:pt idx="21">
                  <c:v>-52.778793375043279</c:v>
                </c:pt>
                <c:pt idx="22">
                  <c:v>-52.376760563380273</c:v>
                </c:pt>
                <c:pt idx="23">
                  <c:v>-94.889782058833731</c:v>
                </c:pt>
                <c:pt idx="24">
                  <c:v>-95.999618693719896</c:v>
                </c:pt>
                <c:pt idx="25">
                  <c:v>-63.108941159736212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12-4E07-9D2C-FC7FCC976475}"/>
            </c:ext>
          </c:extLst>
        </c:ser>
        <c:ser>
          <c:idx val="1"/>
          <c:order val="1"/>
          <c:tx>
            <c:v>Efficient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'Java Optimization results'!$I$5:$I$30</c:f>
              <c:strCache>
                <c:ptCount val="26"/>
                <c:pt idx="0">
                  <c:v>T4</c:v>
                </c:pt>
                <c:pt idx="1">
                  <c:v>T5</c:v>
                </c:pt>
                <c:pt idx="2">
                  <c:v>T7</c:v>
                </c:pt>
                <c:pt idx="3">
                  <c:v>T8</c:v>
                </c:pt>
                <c:pt idx="4">
                  <c:v>T9</c:v>
                </c:pt>
                <c:pt idx="5">
                  <c:v>T10</c:v>
                </c:pt>
                <c:pt idx="6">
                  <c:v>T11</c:v>
                </c:pt>
                <c:pt idx="7">
                  <c:v>T12</c:v>
                </c:pt>
                <c:pt idx="8">
                  <c:v>T13</c:v>
                </c:pt>
                <c:pt idx="9">
                  <c:v>T16</c:v>
                </c:pt>
                <c:pt idx="10">
                  <c:v>T17</c:v>
                </c:pt>
                <c:pt idx="11">
                  <c:v>T19</c:v>
                </c:pt>
                <c:pt idx="12">
                  <c:v>T20</c:v>
                </c:pt>
                <c:pt idx="13">
                  <c:v>T25</c:v>
                </c:pt>
                <c:pt idx="14">
                  <c:v>T26</c:v>
                </c:pt>
                <c:pt idx="15">
                  <c:v>T28</c:v>
                </c:pt>
                <c:pt idx="16">
                  <c:v>T29</c:v>
                </c:pt>
                <c:pt idx="17">
                  <c:v>T31</c:v>
                </c:pt>
                <c:pt idx="18">
                  <c:v>T32</c:v>
                </c:pt>
                <c:pt idx="19">
                  <c:v>T33</c:v>
                </c:pt>
                <c:pt idx="20">
                  <c:v>T36</c:v>
                </c:pt>
                <c:pt idx="21">
                  <c:v>T40</c:v>
                </c:pt>
                <c:pt idx="22">
                  <c:v>T44</c:v>
                </c:pt>
                <c:pt idx="23">
                  <c:v>T49</c:v>
                </c:pt>
                <c:pt idx="24">
                  <c:v>T50</c:v>
                </c:pt>
                <c:pt idx="25">
                  <c:v>T51</c:v>
                </c:pt>
              </c:strCache>
            </c:strRef>
          </c:cat>
          <c:val>
            <c:numRef>
              <c:f>'C Optimization results'!$U$5:$U$30</c:f>
              <c:numCache>
                <c:formatCode>0.00</c:formatCode>
                <c:ptCount val="26"/>
                <c:pt idx="0">
                  <c:v>-80.703431653118727</c:v>
                </c:pt>
                <c:pt idx="1">
                  <c:v>-95.036096803870379</c:v>
                </c:pt>
                <c:pt idx="2">
                  <c:v>-3.6309127248501007</c:v>
                </c:pt>
                <c:pt idx="3">
                  <c:v>2.1768362793054687</c:v>
                </c:pt>
                <c:pt idx="4">
                  <c:v>3.1931069437404953</c:v>
                </c:pt>
                <c:pt idx="5">
                  <c:v>-56.586956521739125</c:v>
                </c:pt>
                <c:pt idx="6">
                  <c:v>-69.432773109243684</c:v>
                </c:pt>
                <c:pt idx="7">
                  <c:v>-53.277871503509509</c:v>
                </c:pt>
                <c:pt idx="8">
                  <c:v>-33.79128821239604</c:v>
                </c:pt>
                <c:pt idx="9">
                  <c:v>-1.7403574788334899</c:v>
                </c:pt>
                <c:pt idx="10">
                  <c:v>-1.35017421602788</c:v>
                </c:pt>
                <c:pt idx="11">
                  <c:v>-91.499667995875782</c:v>
                </c:pt>
                <c:pt idx="12">
                  <c:v>-68.172389091777035</c:v>
                </c:pt>
                <c:pt idx="13">
                  <c:v>-79.787624178659684</c:v>
                </c:pt>
                <c:pt idx="14">
                  <c:v>-97.141613141364473</c:v>
                </c:pt>
                <c:pt idx="15">
                  <c:v>-82.06280698046308</c:v>
                </c:pt>
                <c:pt idx="16">
                  <c:v>-51.506034772425359</c:v>
                </c:pt>
                <c:pt idx="17">
                  <c:v>-24.284996228787648</c:v>
                </c:pt>
                <c:pt idx="18">
                  <c:v>-22.391720997280739</c:v>
                </c:pt>
                <c:pt idx="19">
                  <c:v>-11.981388134936026</c:v>
                </c:pt>
                <c:pt idx="20">
                  <c:v>-95.400000159192942</c:v>
                </c:pt>
                <c:pt idx="21">
                  <c:v>-88.824944784204646</c:v>
                </c:pt>
                <c:pt idx="22">
                  <c:v>-53.602915236153059</c:v>
                </c:pt>
                <c:pt idx="23">
                  <c:v>-73.144082688669599</c:v>
                </c:pt>
                <c:pt idx="24">
                  <c:v>-91.733601200637708</c:v>
                </c:pt>
                <c:pt idx="25">
                  <c:v>-63.85370601082996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12-4E07-9D2C-FC7FCC9764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566005407"/>
        <c:axId val="1566003967"/>
      </c:barChart>
      <c:catAx>
        <c:axId val="15660054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sz="1100"/>
                  <a:t>Techniques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66003967"/>
        <c:crosses val="autoZero"/>
        <c:auto val="1"/>
        <c:lblAlgn val="ctr"/>
        <c:lblOffset val="100"/>
        <c:noMultiLvlLbl val="0"/>
      </c:catAx>
      <c:valAx>
        <c:axId val="1566003967"/>
        <c:scaling>
          <c:orientation val="minMax"/>
          <c:max val="80"/>
          <c:min val="-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sz="1100"/>
                  <a:t>Impact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6600540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Impact of using the efficient program variant compared to the standard variant on energy consumption in Python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Standard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'Java Optimization results'!$I$5:$I$30</c:f>
              <c:strCache>
                <c:ptCount val="26"/>
                <c:pt idx="0">
                  <c:v>T4</c:v>
                </c:pt>
                <c:pt idx="1">
                  <c:v>T5</c:v>
                </c:pt>
                <c:pt idx="2">
                  <c:v>T7</c:v>
                </c:pt>
                <c:pt idx="3">
                  <c:v>T8</c:v>
                </c:pt>
                <c:pt idx="4">
                  <c:v>T9</c:v>
                </c:pt>
                <c:pt idx="5">
                  <c:v>T10</c:v>
                </c:pt>
                <c:pt idx="6">
                  <c:v>T11</c:v>
                </c:pt>
                <c:pt idx="7">
                  <c:v>T12</c:v>
                </c:pt>
                <c:pt idx="8">
                  <c:v>T13</c:v>
                </c:pt>
                <c:pt idx="9">
                  <c:v>T16</c:v>
                </c:pt>
                <c:pt idx="10">
                  <c:v>T17</c:v>
                </c:pt>
                <c:pt idx="11">
                  <c:v>T19</c:v>
                </c:pt>
                <c:pt idx="12">
                  <c:v>T20</c:v>
                </c:pt>
                <c:pt idx="13">
                  <c:v>T25</c:v>
                </c:pt>
                <c:pt idx="14">
                  <c:v>T26</c:v>
                </c:pt>
                <c:pt idx="15">
                  <c:v>T28</c:v>
                </c:pt>
                <c:pt idx="16">
                  <c:v>T29</c:v>
                </c:pt>
                <c:pt idx="17">
                  <c:v>T31</c:v>
                </c:pt>
                <c:pt idx="18">
                  <c:v>T32</c:v>
                </c:pt>
                <c:pt idx="19">
                  <c:v>T33</c:v>
                </c:pt>
                <c:pt idx="20">
                  <c:v>T36</c:v>
                </c:pt>
                <c:pt idx="21">
                  <c:v>T40</c:v>
                </c:pt>
                <c:pt idx="22">
                  <c:v>T44</c:v>
                </c:pt>
                <c:pt idx="23">
                  <c:v>T49</c:v>
                </c:pt>
                <c:pt idx="24">
                  <c:v>T50</c:v>
                </c:pt>
                <c:pt idx="25">
                  <c:v>T51</c:v>
                </c:pt>
              </c:strCache>
            </c:strRef>
          </c:cat>
          <c:val>
            <c:numRef>
              <c:f>'Python Technique results'!$J$5:$J$30</c:f>
              <c:numCache>
                <c:formatCode>0.00</c:formatCode>
                <c:ptCount val="26"/>
                <c:pt idx="0">
                  <c:v>-43.754396004988813</c:v>
                </c:pt>
                <c:pt idx="1">
                  <c:v>-7.265195172201075</c:v>
                </c:pt>
                <c:pt idx="2">
                  <c:v>-30.624251285951985</c:v>
                </c:pt>
                <c:pt idx="3">
                  <c:v>-70.376581617575056</c:v>
                </c:pt>
                <c:pt idx="4">
                  <c:v>-33.105358385118791</c:v>
                </c:pt>
                <c:pt idx="5">
                  <c:v>-49.809920516200862</c:v>
                </c:pt>
                <c:pt idx="6">
                  <c:v>-24.297536072308816</c:v>
                </c:pt>
                <c:pt idx="7">
                  <c:v>-20.611366633678625</c:v>
                </c:pt>
                <c:pt idx="8">
                  <c:v>-18.055062978364759</c:v>
                </c:pt>
                <c:pt idx="9">
                  <c:v>1.3920549239102509</c:v>
                </c:pt>
                <c:pt idx="10">
                  <c:v>3.9763631354300268</c:v>
                </c:pt>
                <c:pt idx="11">
                  <c:v>3.9103596133052441</c:v>
                </c:pt>
                <c:pt idx="12">
                  <c:v>-8.5382364498427812</c:v>
                </c:pt>
                <c:pt idx="13">
                  <c:v>-3.3376793575922048</c:v>
                </c:pt>
                <c:pt idx="14">
                  <c:v>-25.202628684492627</c:v>
                </c:pt>
                <c:pt idx="15">
                  <c:v>23.592671262227945</c:v>
                </c:pt>
                <c:pt idx="16">
                  <c:v>6.1167023485203549</c:v>
                </c:pt>
                <c:pt idx="17">
                  <c:v>117.24449714758838</c:v>
                </c:pt>
                <c:pt idx="18">
                  <c:v>16.722519218273582</c:v>
                </c:pt>
                <c:pt idx="19">
                  <c:v>-2.3177650496855025</c:v>
                </c:pt>
                <c:pt idx="20">
                  <c:v>-12.215891559285184</c:v>
                </c:pt>
                <c:pt idx="21">
                  <c:v>-35.986862321496702</c:v>
                </c:pt>
                <c:pt idx="22">
                  <c:v>-1.1228030939537197</c:v>
                </c:pt>
                <c:pt idx="23">
                  <c:v>-1.0590608616674324</c:v>
                </c:pt>
                <c:pt idx="24">
                  <c:v>-22.726500679949162</c:v>
                </c:pt>
                <c:pt idx="25">
                  <c:v>-41.88964862919584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C8-44D4-91E3-A23AFD1D98BB}"/>
            </c:ext>
          </c:extLst>
        </c:ser>
        <c:ser>
          <c:idx val="1"/>
          <c:order val="1"/>
          <c:tx>
            <c:v>Efficient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'Java Optimization results'!$I$5:$I$30</c:f>
              <c:strCache>
                <c:ptCount val="26"/>
                <c:pt idx="0">
                  <c:v>T4</c:v>
                </c:pt>
                <c:pt idx="1">
                  <c:v>T5</c:v>
                </c:pt>
                <c:pt idx="2">
                  <c:v>T7</c:v>
                </c:pt>
                <c:pt idx="3">
                  <c:v>T8</c:v>
                </c:pt>
                <c:pt idx="4">
                  <c:v>T9</c:v>
                </c:pt>
                <c:pt idx="5">
                  <c:v>T10</c:v>
                </c:pt>
                <c:pt idx="6">
                  <c:v>T11</c:v>
                </c:pt>
                <c:pt idx="7">
                  <c:v>T12</c:v>
                </c:pt>
                <c:pt idx="8">
                  <c:v>T13</c:v>
                </c:pt>
                <c:pt idx="9">
                  <c:v>T16</c:v>
                </c:pt>
                <c:pt idx="10">
                  <c:v>T17</c:v>
                </c:pt>
                <c:pt idx="11">
                  <c:v>T19</c:v>
                </c:pt>
                <c:pt idx="12">
                  <c:v>T20</c:v>
                </c:pt>
                <c:pt idx="13">
                  <c:v>T25</c:v>
                </c:pt>
                <c:pt idx="14">
                  <c:v>T26</c:v>
                </c:pt>
                <c:pt idx="15">
                  <c:v>T28</c:v>
                </c:pt>
                <c:pt idx="16">
                  <c:v>T29</c:v>
                </c:pt>
                <c:pt idx="17">
                  <c:v>T31</c:v>
                </c:pt>
                <c:pt idx="18">
                  <c:v>T32</c:v>
                </c:pt>
                <c:pt idx="19">
                  <c:v>T33</c:v>
                </c:pt>
                <c:pt idx="20">
                  <c:v>T36</c:v>
                </c:pt>
                <c:pt idx="21">
                  <c:v>T40</c:v>
                </c:pt>
                <c:pt idx="22">
                  <c:v>T44</c:v>
                </c:pt>
                <c:pt idx="23">
                  <c:v>T49</c:v>
                </c:pt>
                <c:pt idx="24">
                  <c:v>T50</c:v>
                </c:pt>
                <c:pt idx="25">
                  <c:v>T51</c:v>
                </c:pt>
              </c:strCache>
            </c:strRef>
          </c:cat>
          <c:val>
            <c:numRef>
              <c:f>'Python Technique results'!$U$5:$U$30</c:f>
              <c:numCache>
                <c:formatCode>0.00</c:formatCode>
                <c:ptCount val="26"/>
                <c:pt idx="0">
                  <c:v>-68.758184691688669</c:v>
                </c:pt>
                <c:pt idx="1">
                  <c:v>-8.092433355759221</c:v>
                </c:pt>
                <c:pt idx="2">
                  <c:v>-41.146776533557208</c:v>
                </c:pt>
                <c:pt idx="3">
                  <c:v>-53.09399582597527</c:v>
                </c:pt>
                <c:pt idx="4">
                  <c:v>-28.273530705108595</c:v>
                </c:pt>
                <c:pt idx="5">
                  <c:v>-68.720426990279577</c:v>
                </c:pt>
                <c:pt idx="6">
                  <c:v>-21.111568001890575</c:v>
                </c:pt>
                <c:pt idx="7">
                  <c:v>-15.991069700348914</c:v>
                </c:pt>
                <c:pt idx="8">
                  <c:v>-2.8524666258177529</c:v>
                </c:pt>
                <c:pt idx="9">
                  <c:v>7.9006641979619525</c:v>
                </c:pt>
                <c:pt idx="10">
                  <c:v>13.769458491353253</c:v>
                </c:pt>
                <c:pt idx="11">
                  <c:v>5.407469447875509</c:v>
                </c:pt>
                <c:pt idx="12">
                  <c:v>7.9880277268757185</c:v>
                </c:pt>
                <c:pt idx="13">
                  <c:v>-5.3669901583458683</c:v>
                </c:pt>
                <c:pt idx="14">
                  <c:v>-16.670107657059162</c:v>
                </c:pt>
                <c:pt idx="15">
                  <c:v>21.919466610418961</c:v>
                </c:pt>
                <c:pt idx="16">
                  <c:v>17.824158010898159</c:v>
                </c:pt>
                <c:pt idx="17">
                  <c:v>8.1219619678943236</c:v>
                </c:pt>
                <c:pt idx="18">
                  <c:v>27.869292402172803</c:v>
                </c:pt>
                <c:pt idx="19">
                  <c:v>-2.5197467828091216</c:v>
                </c:pt>
                <c:pt idx="20">
                  <c:v>-8.8872698418423219</c:v>
                </c:pt>
                <c:pt idx="21">
                  <c:v>-0.99892451555096906</c:v>
                </c:pt>
                <c:pt idx="22">
                  <c:v>-3.3292297128940711</c:v>
                </c:pt>
                <c:pt idx="23">
                  <c:v>17.09189147066806</c:v>
                </c:pt>
                <c:pt idx="24">
                  <c:v>-28.077015759357142</c:v>
                </c:pt>
                <c:pt idx="25">
                  <c:v>-39.445352187596434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C8-44D4-91E3-A23AFD1D98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566005407"/>
        <c:axId val="1566003967"/>
      </c:barChart>
      <c:catAx>
        <c:axId val="15660054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sz="1100"/>
                  <a:t>Techniques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66003967"/>
        <c:crosses val="autoZero"/>
        <c:auto val="1"/>
        <c:lblAlgn val="ctr"/>
        <c:lblOffset val="100"/>
        <c:noMultiLvlLbl val="0"/>
      </c:catAx>
      <c:valAx>
        <c:axId val="1566003967"/>
        <c:scaling>
          <c:orientation val="minMax"/>
          <c:max val="80"/>
          <c:min val="-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sz="1100"/>
                  <a:t>Impact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6600540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Impact of using Nuitka compared to the CPython interpreter on energy consumption in Python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CPython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'Java Optimization results'!$I$5:$I$30</c:f>
              <c:strCache>
                <c:ptCount val="26"/>
                <c:pt idx="0">
                  <c:v>T4</c:v>
                </c:pt>
                <c:pt idx="1">
                  <c:v>T5</c:v>
                </c:pt>
                <c:pt idx="2">
                  <c:v>T7</c:v>
                </c:pt>
                <c:pt idx="3">
                  <c:v>T8</c:v>
                </c:pt>
                <c:pt idx="4">
                  <c:v>T9</c:v>
                </c:pt>
                <c:pt idx="5">
                  <c:v>T10</c:v>
                </c:pt>
                <c:pt idx="6">
                  <c:v>T11</c:v>
                </c:pt>
                <c:pt idx="7">
                  <c:v>T12</c:v>
                </c:pt>
                <c:pt idx="8">
                  <c:v>T13</c:v>
                </c:pt>
                <c:pt idx="9">
                  <c:v>T16</c:v>
                </c:pt>
                <c:pt idx="10">
                  <c:v>T17</c:v>
                </c:pt>
                <c:pt idx="11">
                  <c:v>T19</c:v>
                </c:pt>
                <c:pt idx="12">
                  <c:v>T20</c:v>
                </c:pt>
                <c:pt idx="13">
                  <c:v>T25</c:v>
                </c:pt>
                <c:pt idx="14">
                  <c:v>T26</c:v>
                </c:pt>
                <c:pt idx="15">
                  <c:v>T28</c:v>
                </c:pt>
                <c:pt idx="16">
                  <c:v>T29</c:v>
                </c:pt>
                <c:pt idx="17">
                  <c:v>T31</c:v>
                </c:pt>
                <c:pt idx="18">
                  <c:v>T32</c:v>
                </c:pt>
                <c:pt idx="19">
                  <c:v>T33</c:v>
                </c:pt>
                <c:pt idx="20">
                  <c:v>T36</c:v>
                </c:pt>
                <c:pt idx="21">
                  <c:v>T40</c:v>
                </c:pt>
                <c:pt idx="22">
                  <c:v>T44</c:v>
                </c:pt>
                <c:pt idx="23">
                  <c:v>T49</c:v>
                </c:pt>
                <c:pt idx="24">
                  <c:v>T50</c:v>
                </c:pt>
                <c:pt idx="25">
                  <c:v>T51</c:v>
                </c:pt>
              </c:strCache>
            </c:strRef>
          </c:cat>
          <c:val>
            <c:numRef>
              <c:f>'Python Optimization results'!$J$5:$J$30</c:f>
              <c:numCache>
                <c:formatCode>0.00</c:formatCode>
                <c:ptCount val="26"/>
                <c:pt idx="0">
                  <c:v>59.320138956486666</c:v>
                </c:pt>
                <c:pt idx="1">
                  <c:v>21.47180077024105</c:v>
                </c:pt>
                <c:pt idx="2">
                  <c:v>-15.317958647768606</c:v>
                </c:pt>
                <c:pt idx="3">
                  <c:v>-25.570508109433742</c:v>
                </c:pt>
                <c:pt idx="4">
                  <c:v>-53.430395542169485</c:v>
                </c:pt>
                <c:pt idx="5">
                  <c:v>-45.744973272379589</c:v>
                </c:pt>
                <c:pt idx="6">
                  <c:v>-11.260457523226503</c:v>
                </c:pt>
                <c:pt idx="7">
                  <c:v>-49.255211194322563</c:v>
                </c:pt>
                <c:pt idx="8">
                  <c:v>-57.9831581765755</c:v>
                </c:pt>
                <c:pt idx="9">
                  <c:v>-47.827996816170796</c:v>
                </c:pt>
                <c:pt idx="10">
                  <c:v>-45.906939372514934</c:v>
                </c:pt>
                <c:pt idx="11">
                  <c:v>-3.1130183022233662</c:v>
                </c:pt>
                <c:pt idx="12">
                  <c:v>-7.3186056415295759</c:v>
                </c:pt>
                <c:pt idx="13">
                  <c:v>-10.183891465314495</c:v>
                </c:pt>
                <c:pt idx="14">
                  <c:v>-13.191952876749324</c:v>
                </c:pt>
                <c:pt idx="15">
                  <c:v>-2.7622895076544092</c:v>
                </c:pt>
                <c:pt idx="16">
                  <c:v>-47.784253537781709</c:v>
                </c:pt>
                <c:pt idx="17">
                  <c:v>177.81151668817864</c:v>
                </c:pt>
                <c:pt idx="18">
                  <c:v>-12.63229749851685</c:v>
                </c:pt>
                <c:pt idx="19">
                  <c:v>-47.635314448797047</c:v>
                </c:pt>
                <c:pt idx="20">
                  <c:v>-27.642477958681223</c:v>
                </c:pt>
                <c:pt idx="21">
                  <c:v>-22.958665542790147</c:v>
                </c:pt>
                <c:pt idx="22">
                  <c:v>-63.395960377003199</c:v>
                </c:pt>
                <c:pt idx="23">
                  <c:v>-10.873681547446887</c:v>
                </c:pt>
                <c:pt idx="24">
                  <c:v>-14.659701187115203</c:v>
                </c:pt>
                <c:pt idx="25">
                  <c:v>35.124206634823011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F0-4BAD-A1C6-37FEF1DB1295}"/>
            </c:ext>
          </c:extLst>
        </c:ser>
        <c:ser>
          <c:idx val="1"/>
          <c:order val="1"/>
          <c:tx>
            <c:v>Nuitka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'Java Optimization results'!$I$5:$I$30</c:f>
              <c:strCache>
                <c:ptCount val="26"/>
                <c:pt idx="0">
                  <c:v>T4</c:v>
                </c:pt>
                <c:pt idx="1">
                  <c:v>T5</c:v>
                </c:pt>
                <c:pt idx="2">
                  <c:v>T7</c:v>
                </c:pt>
                <c:pt idx="3">
                  <c:v>T8</c:v>
                </c:pt>
                <c:pt idx="4">
                  <c:v>T9</c:v>
                </c:pt>
                <c:pt idx="5">
                  <c:v>T10</c:v>
                </c:pt>
                <c:pt idx="6">
                  <c:v>T11</c:v>
                </c:pt>
                <c:pt idx="7">
                  <c:v>T12</c:v>
                </c:pt>
                <c:pt idx="8">
                  <c:v>T13</c:v>
                </c:pt>
                <c:pt idx="9">
                  <c:v>T16</c:v>
                </c:pt>
                <c:pt idx="10">
                  <c:v>T17</c:v>
                </c:pt>
                <c:pt idx="11">
                  <c:v>T19</c:v>
                </c:pt>
                <c:pt idx="12">
                  <c:v>T20</c:v>
                </c:pt>
                <c:pt idx="13">
                  <c:v>T25</c:v>
                </c:pt>
                <c:pt idx="14">
                  <c:v>T26</c:v>
                </c:pt>
                <c:pt idx="15">
                  <c:v>T28</c:v>
                </c:pt>
                <c:pt idx="16">
                  <c:v>T29</c:v>
                </c:pt>
                <c:pt idx="17">
                  <c:v>T31</c:v>
                </c:pt>
                <c:pt idx="18">
                  <c:v>T32</c:v>
                </c:pt>
                <c:pt idx="19">
                  <c:v>T33</c:v>
                </c:pt>
                <c:pt idx="20">
                  <c:v>T36</c:v>
                </c:pt>
                <c:pt idx="21">
                  <c:v>T40</c:v>
                </c:pt>
                <c:pt idx="22">
                  <c:v>T44</c:v>
                </c:pt>
                <c:pt idx="23">
                  <c:v>T49</c:v>
                </c:pt>
                <c:pt idx="24">
                  <c:v>T50</c:v>
                </c:pt>
                <c:pt idx="25">
                  <c:v>T51</c:v>
                </c:pt>
              </c:strCache>
            </c:strRef>
          </c:cat>
          <c:val>
            <c:numRef>
              <c:f>'Python Optimization results'!$U$5:$U$30</c:f>
              <c:numCache>
                <c:formatCode>0.00</c:formatCode>
                <c:ptCount val="26"/>
                <c:pt idx="0">
                  <c:v>-11.505077683679305</c:v>
                </c:pt>
                <c:pt idx="1">
                  <c:v>20.388215033372287</c:v>
                </c:pt>
                <c:pt idx="2">
                  <c:v>-28.162056688719488</c:v>
                </c:pt>
                <c:pt idx="3">
                  <c:v>17.852369777847919</c:v>
                </c:pt>
                <c:pt idx="4">
                  <c:v>-50.066653717197738</c:v>
                </c:pt>
                <c:pt idx="5">
                  <c:v>-66.18706152440474</c:v>
                </c:pt>
                <c:pt idx="6">
                  <c:v>-7.5258188569795132</c:v>
                </c:pt>
                <c:pt idx="7">
                  <c:v>-46.301942166255415</c:v>
                </c:pt>
                <c:pt idx="8">
                  <c:v>-50.188105675873842</c:v>
                </c:pt>
                <c:pt idx="9">
                  <c:v>-44.478945610699583</c:v>
                </c:pt>
                <c:pt idx="10">
                  <c:v>-40.812142008534153</c:v>
                </c:pt>
                <c:pt idx="11">
                  <c:v>-1.7170992265761909</c:v>
                </c:pt>
                <c:pt idx="12">
                  <c:v>9.4280341342795246</c:v>
                </c:pt>
                <c:pt idx="13">
                  <c:v>-12.069474161030753</c:v>
                </c:pt>
                <c:pt idx="14">
                  <c:v>-3.2893122571316171</c:v>
                </c:pt>
                <c:pt idx="15">
                  <c:v>-4.0786991933213574</c:v>
                </c:pt>
                <c:pt idx="16">
                  <c:v>-42.023487107473336</c:v>
                </c:pt>
                <c:pt idx="17">
                  <c:v>38.265993551016557</c:v>
                </c:pt>
                <c:pt idx="18">
                  <c:v>-4.2888521213547692</c:v>
                </c:pt>
                <c:pt idx="19">
                  <c:v>-47.743591147702283</c:v>
                </c:pt>
                <c:pt idx="20">
                  <c:v>-24.898805743228429</c:v>
                </c:pt>
                <c:pt idx="21">
                  <c:v>19.15015018209694</c:v>
                </c:pt>
                <c:pt idx="22">
                  <c:v>-64.212772846532161</c:v>
                </c:pt>
                <c:pt idx="23">
                  <c:v>5.4767551057472668</c:v>
                </c:pt>
                <c:pt idx="24">
                  <c:v>-20.568771692494028</c:v>
                </c:pt>
                <c:pt idx="25">
                  <c:v>40.807937840368304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F0-4BAD-A1C6-37FEF1DB12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566005407"/>
        <c:axId val="1566003967"/>
      </c:barChart>
      <c:catAx>
        <c:axId val="15660054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sz="1100"/>
                  <a:t>Techniques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66003967"/>
        <c:crosses val="autoZero"/>
        <c:auto val="1"/>
        <c:lblAlgn val="ctr"/>
        <c:lblOffset val="100"/>
        <c:noMultiLvlLbl val="0"/>
      </c:catAx>
      <c:valAx>
        <c:axId val="1566003967"/>
        <c:scaling>
          <c:orientation val="minMax"/>
          <c:max val="80"/>
          <c:min val="-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sz="1100"/>
                  <a:t>Impact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6600540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Impact of using the efficient program variant compared to the standard variant on energy consumption in Java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JIT enabled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'Java Optimization results'!$I$5:$I$30</c:f>
              <c:strCache>
                <c:ptCount val="26"/>
                <c:pt idx="0">
                  <c:v>T4</c:v>
                </c:pt>
                <c:pt idx="1">
                  <c:v>T5</c:v>
                </c:pt>
                <c:pt idx="2">
                  <c:v>T7</c:v>
                </c:pt>
                <c:pt idx="3">
                  <c:v>T8</c:v>
                </c:pt>
                <c:pt idx="4">
                  <c:v>T9</c:v>
                </c:pt>
                <c:pt idx="5">
                  <c:v>T10</c:v>
                </c:pt>
                <c:pt idx="6">
                  <c:v>T11</c:v>
                </c:pt>
                <c:pt idx="7">
                  <c:v>T12</c:v>
                </c:pt>
                <c:pt idx="8">
                  <c:v>T13</c:v>
                </c:pt>
                <c:pt idx="9">
                  <c:v>T16</c:v>
                </c:pt>
                <c:pt idx="10">
                  <c:v>T17</c:v>
                </c:pt>
                <c:pt idx="11">
                  <c:v>T19</c:v>
                </c:pt>
                <c:pt idx="12">
                  <c:v>T20</c:v>
                </c:pt>
                <c:pt idx="13">
                  <c:v>T25</c:v>
                </c:pt>
                <c:pt idx="14">
                  <c:v>T26</c:v>
                </c:pt>
                <c:pt idx="15">
                  <c:v>T28</c:v>
                </c:pt>
                <c:pt idx="16">
                  <c:v>T29</c:v>
                </c:pt>
                <c:pt idx="17">
                  <c:v>T31</c:v>
                </c:pt>
                <c:pt idx="18">
                  <c:v>T32</c:v>
                </c:pt>
                <c:pt idx="19">
                  <c:v>T33</c:v>
                </c:pt>
                <c:pt idx="20">
                  <c:v>T36</c:v>
                </c:pt>
                <c:pt idx="21">
                  <c:v>T40</c:v>
                </c:pt>
                <c:pt idx="22">
                  <c:v>T44</c:v>
                </c:pt>
                <c:pt idx="23">
                  <c:v>T49</c:v>
                </c:pt>
                <c:pt idx="24">
                  <c:v>T50</c:v>
                </c:pt>
                <c:pt idx="25">
                  <c:v>T51</c:v>
                </c:pt>
              </c:strCache>
            </c:strRef>
          </c:cat>
          <c:val>
            <c:numRef>
              <c:f>'Java Technique results'!$J$5:$J$30</c:f>
              <c:numCache>
                <c:formatCode>0.00</c:formatCode>
                <c:ptCount val="26"/>
                <c:pt idx="0">
                  <c:v>-2.3607428272206743</c:v>
                </c:pt>
                <c:pt idx="1">
                  <c:v>-69.404336592297938</c:v>
                </c:pt>
                <c:pt idx="2">
                  <c:v>-0.72908672294703492</c:v>
                </c:pt>
                <c:pt idx="3">
                  <c:v>-92.232571776993808</c:v>
                </c:pt>
                <c:pt idx="4">
                  <c:v>0.84728249638355779</c:v>
                </c:pt>
                <c:pt idx="5">
                  <c:v>-99.955927879231425</c:v>
                </c:pt>
                <c:pt idx="6">
                  <c:v>4.1647277803629761</c:v>
                </c:pt>
                <c:pt idx="7">
                  <c:v>-0.38927335640138699</c:v>
                </c:pt>
                <c:pt idx="8">
                  <c:v>-74.251644592064864</c:v>
                </c:pt>
                <c:pt idx="9">
                  <c:v>-0.81733534678580178</c:v>
                </c:pt>
                <c:pt idx="10">
                  <c:v>-1.8488181605429403</c:v>
                </c:pt>
                <c:pt idx="11">
                  <c:v>-11.167962428009776</c:v>
                </c:pt>
                <c:pt idx="12">
                  <c:v>81.603730401593253</c:v>
                </c:pt>
                <c:pt idx="13">
                  <c:v>2.3071545094383734</c:v>
                </c:pt>
                <c:pt idx="14">
                  <c:v>1.5309632839924121</c:v>
                </c:pt>
                <c:pt idx="15">
                  <c:v>32.001797853812029</c:v>
                </c:pt>
                <c:pt idx="16">
                  <c:v>0.39447731755424137</c:v>
                </c:pt>
                <c:pt idx="17">
                  <c:v>41.77680381400495</c:v>
                </c:pt>
                <c:pt idx="18">
                  <c:v>145.91636375736206</c:v>
                </c:pt>
                <c:pt idx="19">
                  <c:v>2.4292662360151112</c:v>
                </c:pt>
                <c:pt idx="20">
                  <c:v>-6.3339540566600281</c:v>
                </c:pt>
                <c:pt idx="21">
                  <c:v>-0.11915443728265429</c:v>
                </c:pt>
                <c:pt idx="22">
                  <c:v>-1.7370064986010687</c:v>
                </c:pt>
                <c:pt idx="23">
                  <c:v>-0.90382670288577605</c:v>
                </c:pt>
                <c:pt idx="24">
                  <c:v>-20.725031988492304</c:v>
                </c:pt>
                <c:pt idx="25">
                  <c:v>-18.366680566659536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F0-42CE-9398-9D810BF1D444}"/>
            </c:ext>
          </c:extLst>
        </c:ser>
        <c:ser>
          <c:idx val="1"/>
          <c:order val="1"/>
          <c:tx>
            <c:v>JIT disabled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'Java Optimization results'!$I$5:$I$30</c:f>
              <c:strCache>
                <c:ptCount val="26"/>
                <c:pt idx="0">
                  <c:v>T4</c:v>
                </c:pt>
                <c:pt idx="1">
                  <c:v>T5</c:v>
                </c:pt>
                <c:pt idx="2">
                  <c:v>T7</c:v>
                </c:pt>
                <c:pt idx="3">
                  <c:v>T8</c:v>
                </c:pt>
                <c:pt idx="4">
                  <c:v>T9</c:v>
                </c:pt>
                <c:pt idx="5">
                  <c:v>T10</c:v>
                </c:pt>
                <c:pt idx="6">
                  <c:v>T11</c:v>
                </c:pt>
                <c:pt idx="7">
                  <c:v>T12</c:v>
                </c:pt>
                <c:pt idx="8">
                  <c:v>T13</c:v>
                </c:pt>
                <c:pt idx="9">
                  <c:v>T16</c:v>
                </c:pt>
                <c:pt idx="10">
                  <c:v>T17</c:v>
                </c:pt>
                <c:pt idx="11">
                  <c:v>T19</c:v>
                </c:pt>
                <c:pt idx="12">
                  <c:v>T20</c:v>
                </c:pt>
                <c:pt idx="13">
                  <c:v>T25</c:v>
                </c:pt>
                <c:pt idx="14">
                  <c:v>T26</c:v>
                </c:pt>
                <c:pt idx="15">
                  <c:v>T28</c:v>
                </c:pt>
                <c:pt idx="16">
                  <c:v>T29</c:v>
                </c:pt>
                <c:pt idx="17">
                  <c:v>T31</c:v>
                </c:pt>
                <c:pt idx="18">
                  <c:v>T32</c:v>
                </c:pt>
                <c:pt idx="19">
                  <c:v>T33</c:v>
                </c:pt>
                <c:pt idx="20">
                  <c:v>T36</c:v>
                </c:pt>
                <c:pt idx="21">
                  <c:v>T40</c:v>
                </c:pt>
                <c:pt idx="22">
                  <c:v>T44</c:v>
                </c:pt>
                <c:pt idx="23">
                  <c:v>T49</c:v>
                </c:pt>
                <c:pt idx="24">
                  <c:v>T50</c:v>
                </c:pt>
                <c:pt idx="25">
                  <c:v>T51</c:v>
                </c:pt>
              </c:strCache>
            </c:strRef>
          </c:cat>
          <c:val>
            <c:numRef>
              <c:f>'Java Technique results'!$U$5:$U$30</c:f>
              <c:numCache>
                <c:formatCode>0.00</c:formatCode>
                <c:ptCount val="26"/>
                <c:pt idx="0">
                  <c:v>-77.380809484124569</c:v>
                </c:pt>
                <c:pt idx="1">
                  <c:v>-7.386909931250325</c:v>
                </c:pt>
                <c:pt idx="2">
                  <c:v>-2.8988116672668345</c:v>
                </c:pt>
                <c:pt idx="3">
                  <c:v>-82.796190484589147</c:v>
                </c:pt>
                <c:pt idx="4">
                  <c:v>-6.2754377152698178</c:v>
                </c:pt>
                <c:pt idx="5">
                  <c:v>-96.329673918942476</c:v>
                </c:pt>
                <c:pt idx="6">
                  <c:v>-34.101500972549651</c:v>
                </c:pt>
                <c:pt idx="7">
                  <c:v>-33.892290205102768</c:v>
                </c:pt>
                <c:pt idx="8">
                  <c:v>-1.1994737424390973</c:v>
                </c:pt>
                <c:pt idx="9">
                  <c:v>-2.9288824540189271</c:v>
                </c:pt>
                <c:pt idx="10">
                  <c:v>4.9966955866964273</c:v>
                </c:pt>
                <c:pt idx="11">
                  <c:v>-5.8125667257532037</c:v>
                </c:pt>
                <c:pt idx="12">
                  <c:v>-27.823172661967515</c:v>
                </c:pt>
                <c:pt idx="13">
                  <c:v>-23.503396363964349</c:v>
                </c:pt>
                <c:pt idx="14">
                  <c:v>-25.193948425600716</c:v>
                </c:pt>
                <c:pt idx="15">
                  <c:v>28.279984723119572</c:v>
                </c:pt>
                <c:pt idx="16">
                  <c:v>-2.0566866029009967</c:v>
                </c:pt>
                <c:pt idx="17">
                  <c:v>60.32365217072384</c:v>
                </c:pt>
                <c:pt idx="18">
                  <c:v>6.5193702078058742</c:v>
                </c:pt>
                <c:pt idx="19">
                  <c:v>1.2641368621257787</c:v>
                </c:pt>
                <c:pt idx="20">
                  <c:v>-14.527281168420981</c:v>
                </c:pt>
                <c:pt idx="21">
                  <c:v>-71.996217478413229</c:v>
                </c:pt>
                <c:pt idx="22">
                  <c:v>-8.124967361271171</c:v>
                </c:pt>
                <c:pt idx="23">
                  <c:v>-20.992088446308848</c:v>
                </c:pt>
                <c:pt idx="24">
                  <c:v>-47.763497602502483</c:v>
                </c:pt>
                <c:pt idx="25">
                  <c:v>-36.293690169793827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F0-42CE-9398-9D810BF1D4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566005407"/>
        <c:axId val="1566003967"/>
      </c:barChart>
      <c:catAx>
        <c:axId val="15660054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sz="1100"/>
                  <a:t>Techniques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66003967"/>
        <c:crosses val="autoZero"/>
        <c:auto val="1"/>
        <c:lblAlgn val="ctr"/>
        <c:lblOffset val="100"/>
        <c:noMultiLvlLbl val="0"/>
      </c:catAx>
      <c:valAx>
        <c:axId val="1566003967"/>
        <c:scaling>
          <c:orientation val="minMax"/>
          <c:max val="80"/>
          <c:min val="-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sz="1100"/>
                  <a:t>Impact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6600540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Impact of using the efficient program variant compared to the standard variant in Java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Standard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'Java Optimization results'!$I$5:$I$30</c:f>
              <c:strCache>
                <c:ptCount val="26"/>
                <c:pt idx="0">
                  <c:v>T4</c:v>
                </c:pt>
                <c:pt idx="1">
                  <c:v>T5</c:v>
                </c:pt>
                <c:pt idx="2">
                  <c:v>T7</c:v>
                </c:pt>
                <c:pt idx="3">
                  <c:v>T8</c:v>
                </c:pt>
                <c:pt idx="4">
                  <c:v>T9</c:v>
                </c:pt>
                <c:pt idx="5">
                  <c:v>T10</c:v>
                </c:pt>
                <c:pt idx="6">
                  <c:v>T11</c:v>
                </c:pt>
                <c:pt idx="7">
                  <c:v>T12</c:v>
                </c:pt>
                <c:pt idx="8">
                  <c:v>T13</c:v>
                </c:pt>
                <c:pt idx="9">
                  <c:v>T16</c:v>
                </c:pt>
                <c:pt idx="10">
                  <c:v>T17</c:v>
                </c:pt>
                <c:pt idx="11">
                  <c:v>T19</c:v>
                </c:pt>
                <c:pt idx="12">
                  <c:v>T20</c:v>
                </c:pt>
                <c:pt idx="13">
                  <c:v>T25</c:v>
                </c:pt>
                <c:pt idx="14">
                  <c:v>T26</c:v>
                </c:pt>
                <c:pt idx="15">
                  <c:v>T28</c:v>
                </c:pt>
                <c:pt idx="16">
                  <c:v>T29</c:v>
                </c:pt>
                <c:pt idx="17">
                  <c:v>T31</c:v>
                </c:pt>
                <c:pt idx="18">
                  <c:v>T32</c:v>
                </c:pt>
                <c:pt idx="19">
                  <c:v>T33</c:v>
                </c:pt>
                <c:pt idx="20">
                  <c:v>T36</c:v>
                </c:pt>
                <c:pt idx="21">
                  <c:v>T40</c:v>
                </c:pt>
                <c:pt idx="22">
                  <c:v>T44</c:v>
                </c:pt>
                <c:pt idx="23">
                  <c:v>T49</c:v>
                </c:pt>
                <c:pt idx="24">
                  <c:v>T50</c:v>
                </c:pt>
                <c:pt idx="25">
                  <c:v>T51</c:v>
                </c:pt>
              </c:strCache>
            </c:strRef>
          </c:cat>
          <c:val>
            <c:numRef>
              <c:f>'Java Optimization results'!$H$5:$H$30</c:f>
              <c:numCache>
                <c:formatCode>0.00</c:formatCode>
                <c:ptCount val="26"/>
                <c:pt idx="0">
                  <c:v>-99.61726072593649</c:v>
                </c:pt>
                <c:pt idx="1">
                  <c:v>-95.222983247215424</c:v>
                </c:pt>
                <c:pt idx="2">
                  <c:v>-99.587606032312351</c:v>
                </c:pt>
                <c:pt idx="3">
                  <c:v>-98.450927289894949</c:v>
                </c:pt>
                <c:pt idx="4">
                  <c:v>-99.480642836640982</c:v>
                </c:pt>
                <c:pt idx="5">
                  <c:v>-51.310855569574663</c:v>
                </c:pt>
                <c:pt idx="6">
                  <c:v>-99.896687339043382</c:v>
                </c:pt>
                <c:pt idx="7">
                  <c:v>-99.841263887956487</c:v>
                </c:pt>
                <c:pt idx="8">
                  <c:v>-99.956076560918049</c:v>
                </c:pt>
                <c:pt idx="9">
                  <c:v>-99.785240930212851</c:v>
                </c:pt>
                <c:pt idx="10">
                  <c:v>-99.781391694280813</c:v>
                </c:pt>
                <c:pt idx="11">
                  <c:v>-97.326150261451076</c:v>
                </c:pt>
                <c:pt idx="12">
                  <c:v>-98.381880822624041</c:v>
                </c:pt>
                <c:pt idx="13">
                  <c:v>-98.850383618205868</c:v>
                </c:pt>
                <c:pt idx="14">
                  <c:v>-99.289119095088978</c:v>
                </c:pt>
                <c:pt idx="15">
                  <c:v>-98.400965947278735</c:v>
                </c:pt>
                <c:pt idx="16">
                  <c:v>-99.664949693889483</c:v>
                </c:pt>
                <c:pt idx="17">
                  <c:v>-83.053593493521788</c:v>
                </c:pt>
                <c:pt idx="18">
                  <c:v>-99.322922456735171</c:v>
                </c:pt>
                <c:pt idx="19">
                  <c:v>-99.886367663156989</c:v>
                </c:pt>
                <c:pt idx="20">
                  <c:v>-97.518314039774424</c:v>
                </c:pt>
                <c:pt idx="21">
                  <c:v>-99.501878661895219</c:v>
                </c:pt>
                <c:pt idx="22">
                  <c:v>-99.668444503952173</c:v>
                </c:pt>
                <c:pt idx="23">
                  <c:v>-97.16292374642255</c:v>
                </c:pt>
                <c:pt idx="24">
                  <c:v>-89.242264094769894</c:v>
                </c:pt>
                <c:pt idx="25">
                  <c:v>-97.592639563243608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0A-43FB-949B-736CE3BC5307}"/>
            </c:ext>
          </c:extLst>
        </c:ser>
        <c:ser>
          <c:idx val="1"/>
          <c:order val="1"/>
          <c:tx>
            <c:v>Efficient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'Java Optimization results'!$I$5:$I$30</c:f>
              <c:strCache>
                <c:ptCount val="26"/>
                <c:pt idx="0">
                  <c:v>T4</c:v>
                </c:pt>
                <c:pt idx="1">
                  <c:v>T5</c:v>
                </c:pt>
                <c:pt idx="2">
                  <c:v>T7</c:v>
                </c:pt>
                <c:pt idx="3">
                  <c:v>T8</c:v>
                </c:pt>
                <c:pt idx="4">
                  <c:v>T9</c:v>
                </c:pt>
                <c:pt idx="5">
                  <c:v>T10</c:v>
                </c:pt>
                <c:pt idx="6">
                  <c:v>T11</c:v>
                </c:pt>
                <c:pt idx="7">
                  <c:v>T12</c:v>
                </c:pt>
                <c:pt idx="8">
                  <c:v>T13</c:v>
                </c:pt>
                <c:pt idx="9">
                  <c:v>T16</c:v>
                </c:pt>
                <c:pt idx="10">
                  <c:v>T17</c:v>
                </c:pt>
                <c:pt idx="11">
                  <c:v>T19</c:v>
                </c:pt>
                <c:pt idx="12">
                  <c:v>T20</c:v>
                </c:pt>
                <c:pt idx="13">
                  <c:v>T25</c:v>
                </c:pt>
                <c:pt idx="14">
                  <c:v>T26</c:v>
                </c:pt>
                <c:pt idx="15">
                  <c:v>T28</c:v>
                </c:pt>
                <c:pt idx="16">
                  <c:v>T29</c:v>
                </c:pt>
                <c:pt idx="17">
                  <c:v>T31</c:v>
                </c:pt>
                <c:pt idx="18">
                  <c:v>T32</c:v>
                </c:pt>
                <c:pt idx="19">
                  <c:v>T33</c:v>
                </c:pt>
                <c:pt idx="20">
                  <c:v>T36</c:v>
                </c:pt>
                <c:pt idx="21">
                  <c:v>T40</c:v>
                </c:pt>
                <c:pt idx="22">
                  <c:v>T44</c:v>
                </c:pt>
                <c:pt idx="23">
                  <c:v>T49</c:v>
                </c:pt>
                <c:pt idx="24">
                  <c:v>T50</c:v>
                </c:pt>
                <c:pt idx="25">
                  <c:v>T51</c:v>
                </c:pt>
              </c:strCache>
            </c:strRef>
          </c:cat>
          <c:val>
            <c:numRef>
              <c:f>'Java Optimization results'!$O$5:$O$30</c:f>
              <c:numCache>
                <c:formatCode>0.00</c:formatCode>
                <c:ptCount val="26"/>
                <c:pt idx="0">
                  <c:v>-98.347846339408946</c:v>
                </c:pt>
                <c:pt idx="1">
                  <c:v>-98.421864592222818</c:v>
                </c:pt>
                <c:pt idx="2">
                  <c:v>-99.578391093814233</c:v>
                </c:pt>
                <c:pt idx="3">
                  <c:v>-99.300601934869107</c:v>
                </c:pt>
                <c:pt idx="4">
                  <c:v>-99.44117361241257</c:v>
                </c:pt>
                <c:pt idx="5">
                  <c:v>-99.415356072984736</c:v>
                </c:pt>
                <c:pt idx="6">
                  <c:v>-99.836695291036492</c:v>
                </c:pt>
                <c:pt idx="7">
                  <c:v>-99.760817315948614</c:v>
                </c:pt>
                <c:pt idx="8">
                  <c:v>-99.988553134653628</c:v>
                </c:pt>
                <c:pt idx="9">
                  <c:v>-99.78056936668267</c:v>
                </c:pt>
                <c:pt idx="10">
                  <c:v>-99.795644391984283</c:v>
                </c:pt>
                <c:pt idx="11">
                  <c:v>-97.478182468938996</c:v>
                </c:pt>
                <c:pt idx="12">
                  <c:v>-95.928658965992113</c:v>
                </c:pt>
                <c:pt idx="13">
                  <c:v>-98.462494081980552</c:v>
                </c:pt>
                <c:pt idx="14">
                  <c:v>-99.035152617512125</c:v>
                </c:pt>
                <c:pt idx="15">
                  <c:v>-98.354572849035961</c:v>
                </c:pt>
                <c:pt idx="16">
                  <c:v>-99.656564606705984</c:v>
                </c:pt>
                <c:pt idx="17">
                  <c:v>-85.014018093457139</c:v>
                </c:pt>
                <c:pt idx="18">
                  <c:v>-98.436862261796819</c:v>
                </c:pt>
                <c:pt idx="19">
                  <c:v>-99.885060227202061</c:v>
                </c:pt>
                <c:pt idx="20">
                  <c:v>-97.280422170430015</c:v>
                </c:pt>
                <c:pt idx="21">
                  <c:v>-98.223354991262809</c:v>
                </c:pt>
                <c:pt idx="22">
                  <c:v>-99.645391847841736</c:v>
                </c:pt>
                <c:pt idx="23">
                  <c:v>-96.441579146278499</c:v>
                </c:pt>
                <c:pt idx="24">
                  <c:v>-83.673884532433377</c:v>
                </c:pt>
                <c:pt idx="25">
                  <c:v>-96.915206295126808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0A-43FB-949B-736CE3BC53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566005407"/>
        <c:axId val="1566003967"/>
      </c:barChart>
      <c:catAx>
        <c:axId val="15660054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sz="1100"/>
                  <a:t>Techniques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66003967"/>
        <c:crosses val="autoZero"/>
        <c:auto val="1"/>
        <c:lblAlgn val="ctr"/>
        <c:lblOffset val="100"/>
        <c:noMultiLvlLbl val="0"/>
      </c:catAx>
      <c:valAx>
        <c:axId val="1566003967"/>
        <c:scaling>
          <c:orientation val="minMax"/>
          <c:min val="-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sz="1100"/>
                  <a:t>Impact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6600540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600" b="0" i="0" u="none" strike="noStrike" baseline="0"/>
              <a:t>Distribution of effects of the efficient program variant compared to the standard variant </a:t>
            </a:r>
            <a:r>
              <a:rPr lang="es-ES" sz="1600"/>
              <a:t>in 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8BC-47A4-A1D8-F32B011CE9AE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8BC-47A4-A1D8-F32B011CE9AE}"/>
              </c:ext>
            </c:extLst>
          </c:dPt>
          <c:dPt>
            <c:idx val="2"/>
            <c:bubble3D val="0"/>
            <c:spPr>
              <a:solidFill>
                <a:srgbClr val="FF5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8BC-47A4-A1D8-F32B011CE9A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Stats1!$B$4:$B$6</c:f>
              <c:strCache>
                <c:ptCount val="3"/>
                <c:pt idx="0">
                  <c:v>Reduces</c:v>
                </c:pt>
                <c:pt idx="1">
                  <c:v>No notable difference</c:v>
                </c:pt>
                <c:pt idx="2">
                  <c:v>Increases</c:v>
                </c:pt>
              </c:strCache>
            </c:strRef>
          </c:cat>
          <c:val>
            <c:numRef>
              <c:f>Stats1!$C$4:$C$6</c:f>
              <c:numCache>
                <c:formatCode>General</c:formatCode>
                <c:ptCount val="3"/>
                <c:pt idx="0">
                  <c:v>26</c:v>
                </c:pt>
                <c:pt idx="1">
                  <c:v>14</c:v>
                </c:pt>
                <c:pt idx="2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8BC-47A4-A1D8-F32B011CE9AE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600" b="0" i="0" u="none" strike="noStrike" baseline="0"/>
              <a:t>Distribution of effects of the efficient program variant compared to the standard variant </a:t>
            </a:r>
            <a:r>
              <a:rPr lang="es-ES" sz="1600"/>
              <a:t>in Python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70AD4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2B1-4AFE-A408-CBC04D175E3E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2B1-4AFE-A408-CBC04D175E3E}"/>
              </c:ext>
            </c:extLst>
          </c:dPt>
          <c:dPt>
            <c:idx val="2"/>
            <c:bubble3D val="0"/>
            <c:spPr>
              <a:solidFill>
                <a:srgbClr val="FF5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2B1-4AFE-A408-CBC04D175E3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Stats1!$B$11:$B$13</c:f>
              <c:strCache>
                <c:ptCount val="3"/>
                <c:pt idx="0">
                  <c:v>Reduces</c:v>
                </c:pt>
                <c:pt idx="1">
                  <c:v>No notable difference</c:v>
                </c:pt>
                <c:pt idx="2">
                  <c:v>Increases</c:v>
                </c:pt>
              </c:strCache>
            </c:strRef>
          </c:cat>
          <c:val>
            <c:numRef>
              <c:f>Stats1!$C$11:$C$13</c:f>
              <c:numCache>
                <c:formatCode>General</c:formatCode>
                <c:ptCount val="3"/>
                <c:pt idx="0">
                  <c:v>30</c:v>
                </c:pt>
                <c:pt idx="1">
                  <c:v>7</c:v>
                </c:pt>
                <c:pt idx="2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2B1-4AFE-A408-CBC04D175E3E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600" b="0" i="0" u="none" strike="noStrike" baseline="0"/>
              <a:t>Distribution of effects of the efficient program variant compared to the standard variant </a:t>
            </a:r>
            <a:r>
              <a:rPr lang="es-ES" sz="1600"/>
              <a:t>in Java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70AD4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34D-4682-AB22-2EDC7C279049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34D-4682-AB22-2EDC7C279049}"/>
              </c:ext>
            </c:extLst>
          </c:dPt>
          <c:dPt>
            <c:idx val="2"/>
            <c:bubble3D val="0"/>
            <c:spPr>
              <a:solidFill>
                <a:srgbClr val="FF5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34D-4682-AB22-2EDC7C27904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Stats1!$B$18:$B$20</c:f>
              <c:strCache>
                <c:ptCount val="3"/>
                <c:pt idx="0">
                  <c:v>Reduces</c:v>
                </c:pt>
                <c:pt idx="1">
                  <c:v>No notable difference</c:v>
                </c:pt>
                <c:pt idx="2">
                  <c:v>Increases</c:v>
                </c:pt>
              </c:strCache>
            </c:strRef>
          </c:cat>
          <c:val>
            <c:numRef>
              <c:f>Stats1!$C$18:$C$20</c:f>
              <c:numCache>
                <c:formatCode>General</c:formatCode>
                <c:ptCount val="3"/>
                <c:pt idx="0">
                  <c:v>25</c:v>
                </c:pt>
                <c:pt idx="1">
                  <c:v>18</c:v>
                </c:pt>
                <c:pt idx="2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34D-4682-AB22-2EDC7C27904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0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Impact of optimization techniques on execution time and energy consumption </a:t>
            </a:r>
          </a:p>
          <a:p>
            <a:pPr>
              <a:defRPr/>
            </a:pPr>
            <a:endParaRPr lang="es-ES"/>
          </a:p>
          <a:p>
            <a:pPr>
              <a:defRPr/>
            </a:pPr>
            <a:endParaRPr lang="es-ES"/>
          </a:p>
          <a:p>
            <a:pPr>
              <a:defRPr/>
            </a:pPr>
            <a:endParaRPr lang="es-ES"/>
          </a:p>
          <a:p>
            <a:pPr>
              <a:defRPr/>
            </a:pPr>
            <a:endParaRPr lang="es-ES"/>
          </a:p>
          <a:p>
            <a:pPr>
              <a:defRPr/>
            </a:pPr>
            <a:endParaRPr lang="es-ES"/>
          </a:p>
          <a:p>
            <a:pPr>
              <a:defRPr/>
            </a:pPr>
            <a:endParaRPr lang="es-ES"/>
          </a:p>
        </c:rich>
      </c:tx>
      <c:layout>
        <c:manualLayout>
          <c:xMode val="edge"/>
          <c:yMode val="edge"/>
          <c:x val="0.25670472605418204"/>
          <c:y val="2.580127993503533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0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Stats2!$D$1</c:f>
              <c:strCache>
                <c:ptCount val="1"/>
                <c:pt idx="0">
                  <c:v>Impact time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Stats2!$A$2:$C$25</c:f>
              <c:multiLvlStrCache>
                <c:ptCount val="24"/>
                <c:lvl>
                  <c:pt idx="0">
                    <c:v>T4</c:v>
                  </c:pt>
                  <c:pt idx="1">
                    <c:v>T4</c:v>
                  </c:pt>
                  <c:pt idx="2">
                    <c:v>T4</c:v>
                  </c:pt>
                  <c:pt idx="3">
                    <c:v>T4</c:v>
                  </c:pt>
                  <c:pt idx="4">
                    <c:v>T4</c:v>
                  </c:pt>
                  <c:pt idx="5">
                    <c:v>T4</c:v>
                  </c:pt>
                  <c:pt idx="6">
                    <c:v>T5</c:v>
                  </c:pt>
                  <c:pt idx="7">
                    <c:v>T5</c:v>
                  </c:pt>
                  <c:pt idx="8">
                    <c:v>T5</c:v>
                  </c:pt>
                  <c:pt idx="9">
                    <c:v>T5</c:v>
                  </c:pt>
                  <c:pt idx="10">
                    <c:v>T5</c:v>
                  </c:pt>
                  <c:pt idx="11">
                    <c:v>T5</c:v>
                  </c:pt>
                  <c:pt idx="12">
                    <c:v>T7</c:v>
                  </c:pt>
                  <c:pt idx="13">
                    <c:v>T7</c:v>
                  </c:pt>
                  <c:pt idx="14">
                    <c:v>T7</c:v>
                  </c:pt>
                  <c:pt idx="15">
                    <c:v>T7</c:v>
                  </c:pt>
                  <c:pt idx="16">
                    <c:v>T7</c:v>
                  </c:pt>
                  <c:pt idx="17">
                    <c:v>T7</c:v>
                  </c:pt>
                  <c:pt idx="18">
                    <c:v>T16</c:v>
                  </c:pt>
                  <c:pt idx="19">
                    <c:v>T16</c:v>
                  </c:pt>
                  <c:pt idx="20">
                    <c:v>T16</c:v>
                  </c:pt>
                  <c:pt idx="21">
                    <c:v>T16</c:v>
                  </c:pt>
                  <c:pt idx="22">
                    <c:v>T16</c:v>
                  </c:pt>
                  <c:pt idx="23">
                    <c:v>T16</c:v>
                  </c:pt>
                </c:lvl>
                <c:lvl>
                  <c:pt idx="0">
                    <c:v>C</c:v>
                  </c:pt>
                  <c:pt idx="1">
                    <c:v>C</c:v>
                  </c:pt>
                  <c:pt idx="2">
                    <c:v>Python</c:v>
                  </c:pt>
                  <c:pt idx="3">
                    <c:v>Python</c:v>
                  </c:pt>
                  <c:pt idx="4">
                    <c:v>Java</c:v>
                  </c:pt>
                  <c:pt idx="5">
                    <c:v>Java</c:v>
                  </c:pt>
                  <c:pt idx="6">
                    <c:v>C</c:v>
                  </c:pt>
                  <c:pt idx="7">
                    <c:v>C</c:v>
                  </c:pt>
                  <c:pt idx="8">
                    <c:v>Python</c:v>
                  </c:pt>
                  <c:pt idx="9">
                    <c:v>Python</c:v>
                  </c:pt>
                  <c:pt idx="10">
                    <c:v>Java</c:v>
                  </c:pt>
                  <c:pt idx="11">
                    <c:v>Java</c:v>
                  </c:pt>
                  <c:pt idx="12">
                    <c:v>C</c:v>
                  </c:pt>
                  <c:pt idx="13">
                    <c:v>C</c:v>
                  </c:pt>
                  <c:pt idx="14">
                    <c:v>Python</c:v>
                  </c:pt>
                  <c:pt idx="15">
                    <c:v>Python</c:v>
                  </c:pt>
                  <c:pt idx="16">
                    <c:v>Java</c:v>
                  </c:pt>
                  <c:pt idx="17">
                    <c:v>Java</c:v>
                  </c:pt>
                  <c:pt idx="18">
                    <c:v>C</c:v>
                  </c:pt>
                  <c:pt idx="19">
                    <c:v>C</c:v>
                  </c:pt>
                  <c:pt idx="20">
                    <c:v>Python</c:v>
                  </c:pt>
                  <c:pt idx="21">
                    <c:v>Python</c:v>
                  </c:pt>
                  <c:pt idx="22">
                    <c:v>Java</c:v>
                  </c:pt>
                  <c:pt idx="23">
                    <c:v>Java</c:v>
                  </c:pt>
                </c:lvl>
                <c:lvl>
                  <c:pt idx="0">
                    <c:v>O0</c:v>
                  </c:pt>
                  <c:pt idx="1">
                    <c:v>O3</c:v>
                  </c:pt>
                  <c:pt idx="2">
                    <c:v>Cpython</c:v>
                  </c:pt>
                  <c:pt idx="3">
                    <c:v>Nuitka</c:v>
                  </c:pt>
                  <c:pt idx="4">
                    <c:v>JIT</c:v>
                  </c:pt>
                  <c:pt idx="5">
                    <c:v>No JIT</c:v>
                  </c:pt>
                  <c:pt idx="6">
                    <c:v>O0</c:v>
                  </c:pt>
                  <c:pt idx="7">
                    <c:v>O3</c:v>
                  </c:pt>
                  <c:pt idx="8">
                    <c:v>Cpython</c:v>
                  </c:pt>
                  <c:pt idx="9">
                    <c:v>Nuitka</c:v>
                  </c:pt>
                  <c:pt idx="10">
                    <c:v>JIT</c:v>
                  </c:pt>
                  <c:pt idx="11">
                    <c:v>No JIT</c:v>
                  </c:pt>
                  <c:pt idx="12">
                    <c:v>O0</c:v>
                  </c:pt>
                  <c:pt idx="13">
                    <c:v>O3</c:v>
                  </c:pt>
                  <c:pt idx="14">
                    <c:v>Cpython</c:v>
                  </c:pt>
                  <c:pt idx="15">
                    <c:v>Nuitka</c:v>
                  </c:pt>
                  <c:pt idx="16">
                    <c:v>JIT</c:v>
                  </c:pt>
                  <c:pt idx="17">
                    <c:v>No JIT</c:v>
                  </c:pt>
                  <c:pt idx="18">
                    <c:v>O0</c:v>
                  </c:pt>
                  <c:pt idx="19">
                    <c:v>O3</c:v>
                  </c:pt>
                  <c:pt idx="20">
                    <c:v>Cpython</c:v>
                  </c:pt>
                  <c:pt idx="21">
                    <c:v>Nuitka</c:v>
                  </c:pt>
                  <c:pt idx="22">
                    <c:v>JIT</c:v>
                  </c:pt>
                  <c:pt idx="23">
                    <c:v>No JIT</c:v>
                  </c:pt>
                </c:lvl>
              </c:multiLvlStrCache>
            </c:multiLvlStrRef>
          </c:cat>
          <c:val>
            <c:numRef>
              <c:f>Stats2!$D$2:$D$25</c:f>
              <c:numCache>
                <c:formatCode>0.00%</c:formatCode>
                <c:ptCount val="24"/>
                <c:pt idx="0">
                  <c:v>-0.22236367494165077</c:v>
                </c:pt>
                <c:pt idx="1">
                  <c:v>-0.65874308042982743</c:v>
                </c:pt>
                <c:pt idx="2">
                  <c:v>-0.43956689214580985</c:v>
                </c:pt>
                <c:pt idx="3">
                  <c:v>0</c:v>
                </c:pt>
                <c:pt idx="4">
                  <c:v>4.9494297396169744E-3</c:v>
                </c:pt>
                <c:pt idx="5">
                  <c:v>-0.79398711826528778</c:v>
                </c:pt>
                <c:pt idx="6">
                  <c:v>-2.2866221984667919E-2</c:v>
                </c:pt>
                <c:pt idx="7">
                  <c:v>-5.0025499559553092E-2</c:v>
                </c:pt>
                <c:pt idx="8">
                  <c:v>-6.2644598683039593E-2</c:v>
                </c:pt>
                <c:pt idx="9">
                  <c:v>-4.9154165336737922E-2</c:v>
                </c:pt>
                <c:pt idx="10">
                  <c:v>-0.68798534028268021</c:v>
                </c:pt>
                <c:pt idx="11">
                  <c:v>-6.8751522419382149E-2</c:v>
                </c:pt>
                <c:pt idx="12">
                  <c:v>-0.5</c:v>
                </c:pt>
                <c:pt idx="13">
                  <c:v>-0.5</c:v>
                </c:pt>
                <c:pt idx="14">
                  <c:v>-0.29491017964071864</c:v>
                </c:pt>
                <c:pt idx="15">
                  <c:v>-0.39119549342791571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-2.0719990739668771E-2</c:v>
                </c:pt>
                <c:pt idx="21">
                  <c:v>8.7879479570874178E-2</c:v>
                </c:pt>
                <c:pt idx="22">
                  <c:v>4.7755491881582333E-4</c:v>
                </c:pt>
                <c:pt idx="23">
                  <c:v>-6.5739016106059487E-3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E5-4AD2-9E2A-DAB9B9424863}"/>
            </c:ext>
          </c:extLst>
        </c:ser>
        <c:ser>
          <c:idx val="1"/>
          <c:order val="1"/>
          <c:tx>
            <c:strRef>
              <c:f>Stats2!$E$1</c:f>
              <c:strCache>
                <c:ptCount val="1"/>
                <c:pt idx="0">
                  <c:v>Impact energy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Stats2!$A$2:$C$25</c:f>
              <c:multiLvlStrCache>
                <c:ptCount val="24"/>
                <c:lvl>
                  <c:pt idx="0">
                    <c:v>T4</c:v>
                  </c:pt>
                  <c:pt idx="1">
                    <c:v>T4</c:v>
                  </c:pt>
                  <c:pt idx="2">
                    <c:v>T4</c:v>
                  </c:pt>
                  <c:pt idx="3">
                    <c:v>T4</c:v>
                  </c:pt>
                  <c:pt idx="4">
                    <c:v>T4</c:v>
                  </c:pt>
                  <c:pt idx="5">
                    <c:v>T4</c:v>
                  </c:pt>
                  <c:pt idx="6">
                    <c:v>T5</c:v>
                  </c:pt>
                  <c:pt idx="7">
                    <c:v>T5</c:v>
                  </c:pt>
                  <c:pt idx="8">
                    <c:v>T5</c:v>
                  </c:pt>
                  <c:pt idx="9">
                    <c:v>T5</c:v>
                  </c:pt>
                  <c:pt idx="10">
                    <c:v>T5</c:v>
                  </c:pt>
                  <c:pt idx="11">
                    <c:v>T5</c:v>
                  </c:pt>
                  <c:pt idx="12">
                    <c:v>T7</c:v>
                  </c:pt>
                  <c:pt idx="13">
                    <c:v>T7</c:v>
                  </c:pt>
                  <c:pt idx="14">
                    <c:v>T7</c:v>
                  </c:pt>
                  <c:pt idx="15">
                    <c:v>T7</c:v>
                  </c:pt>
                  <c:pt idx="16">
                    <c:v>T7</c:v>
                  </c:pt>
                  <c:pt idx="17">
                    <c:v>T7</c:v>
                  </c:pt>
                  <c:pt idx="18">
                    <c:v>T16</c:v>
                  </c:pt>
                  <c:pt idx="19">
                    <c:v>T16</c:v>
                  </c:pt>
                  <c:pt idx="20">
                    <c:v>T16</c:v>
                  </c:pt>
                  <c:pt idx="21">
                    <c:v>T16</c:v>
                  </c:pt>
                  <c:pt idx="22">
                    <c:v>T16</c:v>
                  </c:pt>
                  <c:pt idx="23">
                    <c:v>T16</c:v>
                  </c:pt>
                </c:lvl>
                <c:lvl>
                  <c:pt idx="0">
                    <c:v>C</c:v>
                  </c:pt>
                  <c:pt idx="1">
                    <c:v>C</c:v>
                  </c:pt>
                  <c:pt idx="2">
                    <c:v>Python</c:v>
                  </c:pt>
                  <c:pt idx="3">
                    <c:v>Python</c:v>
                  </c:pt>
                  <c:pt idx="4">
                    <c:v>Java</c:v>
                  </c:pt>
                  <c:pt idx="5">
                    <c:v>Java</c:v>
                  </c:pt>
                  <c:pt idx="6">
                    <c:v>C</c:v>
                  </c:pt>
                  <c:pt idx="7">
                    <c:v>C</c:v>
                  </c:pt>
                  <c:pt idx="8">
                    <c:v>Python</c:v>
                  </c:pt>
                  <c:pt idx="9">
                    <c:v>Python</c:v>
                  </c:pt>
                  <c:pt idx="10">
                    <c:v>Java</c:v>
                  </c:pt>
                  <c:pt idx="11">
                    <c:v>Java</c:v>
                  </c:pt>
                  <c:pt idx="12">
                    <c:v>C</c:v>
                  </c:pt>
                  <c:pt idx="13">
                    <c:v>C</c:v>
                  </c:pt>
                  <c:pt idx="14">
                    <c:v>Python</c:v>
                  </c:pt>
                  <c:pt idx="15">
                    <c:v>Python</c:v>
                  </c:pt>
                  <c:pt idx="16">
                    <c:v>Java</c:v>
                  </c:pt>
                  <c:pt idx="17">
                    <c:v>Java</c:v>
                  </c:pt>
                  <c:pt idx="18">
                    <c:v>C</c:v>
                  </c:pt>
                  <c:pt idx="19">
                    <c:v>C</c:v>
                  </c:pt>
                  <c:pt idx="20">
                    <c:v>Python</c:v>
                  </c:pt>
                  <c:pt idx="21">
                    <c:v>Python</c:v>
                  </c:pt>
                  <c:pt idx="22">
                    <c:v>Java</c:v>
                  </c:pt>
                  <c:pt idx="23">
                    <c:v>Java</c:v>
                  </c:pt>
                </c:lvl>
                <c:lvl>
                  <c:pt idx="0">
                    <c:v>O0</c:v>
                  </c:pt>
                  <c:pt idx="1">
                    <c:v>O3</c:v>
                  </c:pt>
                  <c:pt idx="2">
                    <c:v>Cpython</c:v>
                  </c:pt>
                  <c:pt idx="3">
                    <c:v>Nuitka</c:v>
                  </c:pt>
                  <c:pt idx="4">
                    <c:v>JIT</c:v>
                  </c:pt>
                  <c:pt idx="5">
                    <c:v>No JIT</c:v>
                  </c:pt>
                  <c:pt idx="6">
                    <c:v>O0</c:v>
                  </c:pt>
                  <c:pt idx="7">
                    <c:v>O3</c:v>
                  </c:pt>
                  <c:pt idx="8">
                    <c:v>Cpython</c:v>
                  </c:pt>
                  <c:pt idx="9">
                    <c:v>Nuitka</c:v>
                  </c:pt>
                  <c:pt idx="10">
                    <c:v>JIT</c:v>
                  </c:pt>
                  <c:pt idx="11">
                    <c:v>No JIT</c:v>
                  </c:pt>
                  <c:pt idx="12">
                    <c:v>O0</c:v>
                  </c:pt>
                  <c:pt idx="13">
                    <c:v>O3</c:v>
                  </c:pt>
                  <c:pt idx="14">
                    <c:v>Cpython</c:v>
                  </c:pt>
                  <c:pt idx="15">
                    <c:v>Nuitka</c:v>
                  </c:pt>
                  <c:pt idx="16">
                    <c:v>JIT</c:v>
                  </c:pt>
                  <c:pt idx="17">
                    <c:v>No JIT</c:v>
                  </c:pt>
                  <c:pt idx="18">
                    <c:v>O0</c:v>
                  </c:pt>
                  <c:pt idx="19">
                    <c:v>O3</c:v>
                  </c:pt>
                  <c:pt idx="20">
                    <c:v>Cpython</c:v>
                  </c:pt>
                  <c:pt idx="21">
                    <c:v>Nuitka</c:v>
                  </c:pt>
                  <c:pt idx="22">
                    <c:v>JIT</c:v>
                  </c:pt>
                  <c:pt idx="23">
                    <c:v>No JIT</c:v>
                  </c:pt>
                </c:lvl>
              </c:multiLvlStrCache>
            </c:multiLvlStrRef>
          </c:cat>
          <c:val>
            <c:numRef>
              <c:f>Stats2!$E$2:$E$25</c:f>
              <c:numCache>
                <c:formatCode>0.00%</c:formatCode>
                <c:ptCount val="24"/>
                <c:pt idx="0">
                  <c:v>-0.32024902558615498</c:v>
                </c:pt>
                <c:pt idx="1">
                  <c:v>-0.77057849664373312</c:v>
                </c:pt>
                <c:pt idx="2">
                  <c:v>-0.4375439600498881</c:v>
                </c:pt>
                <c:pt idx="3">
                  <c:v>-0.68758184691688673</c:v>
                </c:pt>
                <c:pt idx="4">
                  <c:v>-2.3607428272206743E-2</c:v>
                </c:pt>
                <c:pt idx="5">
                  <c:v>-0.77380809484124569</c:v>
                </c:pt>
                <c:pt idx="6">
                  <c:v>-2.2062393605254263E-2</c:v>
                </c:pt>
                <c:pt idx="7">
                  <c:v>6.5358211860604046E-2</c:v>
                </c:pt>
                <c:pt idx="8">
                  <c:v>-7.2651951722010749E-2</c:v>
                </c:pt>
                <c:pt idx="9">
                  <c:v>-8.092433355759221E-2</c:v>
                </c:pt>
                <c:pt idx="10">
                  <c:v>-0.69404336592297933</c:v>
                </c:pt>
                <c:pt idx="11">
                  <c:v>-7.3869099312503253E-2</c:v>
                </c:pt>
                <c:pt idx="12">
                  <c:v>-0.56175182481751829</c:v>
                </c:pt>
                <c:pt idx="13">
                  <c:v>-0.55764525993883796</c:v>
                </c:pt>
                <c:pt idx="14">
                  <c:v>-0.30624251285951987</c:v>
                </c:pt>
                <c:pt idx="15">
                  <c:v>-0.41146776533557211</c:v>
                </c:pt>
                <c:pt idx="16">
                  <c:v>-7.2908672294703493E-3</c:v>
                </c:pt>
                <c:pt idx="17">
                  <c:v>-2.8988116672668346E-2</c:v>
                </c:pt>
                <c:pt idx="18">
                  <c:v>-8.2830025884383082E-2</c:v>
                </c:pt>
                <c:pt idx="19">
                  <c:v>-7.1555555555555622E-2</c:v>
                </c:pt>
                <c:pt idx="20">
                  <c:v>1.3920549239102508E-2</c:v>
                </c:pt>
                <c:pt idx="21">
                  <c:v>7.9006641979619527E-2</c:v>
                </c:pt>
                <c:pt idx="22">
                  <c:v>-8.1733534678580175E-3</c:v>
                </c:pt>
                <c:pt idx="23">
                  <c:v>-2.9288824540189273E-2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E5-4AD2-9E2A-DAB9B942486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77651455"/>
        <c:axId val="1177648095"/>
      </c:barChart>
      <c:catAx>
        <c:axId val="1177651455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Techniques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out"/>
        <c:minorTickMark val="none"/>
        <c:tickLblPos val="nextTo"/>
        <c:crossAx val="1177648095"/>
        <c:crosses val="autoZero"/>
        <c:auto val="1"/>
        <c:lblAlgn val="ctr"/>
        <c:lblOffset val="100"/>
        <c:noMultiLvlLbl val="0"/>
      </c:catAx>
      <c:valAx>
        <c:axId val="117764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Impact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77651455"/>
        <c:crossesAt val="1"/>
        <c:crossBetween val="between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Impact of using the efficient program variant compared to the standard variant in Java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JIT enabled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Lit>
              <c:formatCode>General</c:formatCode>
              <c:ptCount val="26"/>
              <c:pt idx="0">
                <c:v>-0.28464426407269316</c:v>
              </c:pt>
              <c:pt idx="1">
                <c:v>-69.145911541866681</c:v>
              </c:pt>
              <c:pt idx="2">
                <c:v>2.783550358566504</c:v>
              </c:pt>
              <c:pt idx="3">
                <c:v>-92.18380447795451</c:v>
              </c:pt>
              <c:pt idx="4">
                <c:v>-0.46869994611388821</c:v>
              </c:pt>
              <c:pt idx="5">
                <c:v>-99.957439796655521</c:v>
              </c:pt>
              <c:pt idx="6">
                <c:v>-88.264396233560717</c:v>
              </c:pt>
              <c:pt idx="7">
                <c:v>1.8678342576708677</c:v>
              </c:pt>
              <c:pt idx="8">
                <c:v>-72.479348897698912</c:v>
              </c:pt>
              <c:pt idx="9">
                <c:v>42.614315734601774</c:v>
              </c:pt>
              <c:pt idx="10">
                <c:v>-0.53034767236298708</c:v>
              </c:pt>
              <c:pt idx="11">
                <c:v>-12.535628374478527</c:v>
              </c:pt>
              <c:pt idx="12">
                <c:v>81.672021433442836</c:v>
              </c:pt>
              <c:pt idx="13">
                <c:v>0.68767908309455061</c:v>
              </c:pt>
              <c:pt idx="14">
                <c:v>0.73660235969079402</c:v>
              </c:pt>
              <c:pt idx="15">
                <c:v>34.439111308623083</c:v>
              </c:pt>
              <c:pt idx="16">
                <c:v>2.2563658396281814</c:v>
              </c:pt>
              <c:pt idx="17">
                <c:v>28.682992999371127</c:v>
              </c:pt>
              <c:pt idx="18">
                <c:v>-29.875347794516511</c:v>
              </c:pt>
              <c:pt idx="19">
                <c:v>1.6569984293284632</c:v>
              </c:pt>
              <c:pt idx="20">
                <c:v>-6.6697427983450313</c:v>
              </c:pt>
              <c:pt idx="21">
                <c:v>-4.9124010662639845</c:v>
              </c:pt>
              <c:pt idx="22">
                <c:v>0.75508913996736726</c:v>
              </c:pt>
              <c:pt idx="23">
                <c:v>-49.193237981754159</c:v>
              </c:pt>
              <c:pt idx="24">
                <c:v>-19.822655662752013</c:v>
              </c:pt>
              <c:pt idx="25">
                <c:v>13.684535250846185</c:v>
              </c:pt>
            </c:numLit>
          </c:val>
          <c:extLst>
            <c:ext xmlns:c15="http://schemas.microsoft.com/office/drawing/2012/chart" uri="{02D57815-91ED-43cb-92C2-25804820EDAC}">
              <c15:filteredCategoryTitle>
                <c15:cat>
                  <c:strLit>
                    <c:ptCount val="26"/>
                    <c:pt idx="0">
                      <c:v>T4</c:v>
                    </c:pt>
                    <c:pt idx="1">
                      <c:v>T5</c:v>
                    </c:pt>
                    <c:pt idx="2">
                      <c:v>T7</c:v>
                    </c:pt>
                    <c:pt idx="3">
                      <c:v>T8</c:v>
                    </c:pt>
                    <c:pt idx="4">
                      <c:v>T9</c:v>
                    </c:pt>
                    <c:pt idx="5">
                      <c:v>T10</c:v>
                    </c:pt>
                    <c:pt idx="6">
                      <c:v>T11</c:v>
                    </c:pt>
                    <c:pt idx="7">
                      <c:v>T12</c:v>
                    </c:pt>
                    <c:pt idx="8">
                      <c:v>T13</c:v>
                    </c:pt>
                    <c:pt idx="9">
                      <c:v>T16</c:v>
                    </c:pt>
                    <c:pt idx="10">
                      <c:v>T17</c:v>
                    </c:pt>
                    <c:pt idx="11">
                      <c:v>T19</c:v>
                    </c:pt>
                    <c:pt idx="12">
                      <c:v>T20</c:v>
                    </c:pt>
                    <c:pt idx="13">
                      <c:v>T25</c:v>
                    </c:pt>
                    <c:pt idx="14">
                      <c:v>T26</c:v>
                    </c:pt>
                    <c:pt idx="15">
                      <c:v>T28</c:v>
                    </c:pt>
                    <c:pt idx="16">
                      <c:v>T29</c:v>
                    </c:pt>
                    <c:pt idx="17">
                      <c:v>T31</c:v>
                    </c:pt>
                    <c:pt idx="18">
                      <c:v>T32</c:v>
                    </c:pt>
                    <c:pt idx="19">
                      <c:v>T33</c:v>
                    </c:pt>
                    <c:pt idx="20">
                      <c:v>T36</c:v>
                    </c:pt>
                    <c:pt idx="21">
                      <c:v>T40</c:v>
                    </c:pt>
                    <c:pt idx="22">
                      <c:v>T44</c:v>
                    </c:pt>
                    <c:pt idx="23">
                      <c:v>T49</c:v>
                    </c:pt>
                    <c:pt idx="24">
                      <c:v>T50</c:v>
                    </c:pt>
                    <c:pt idx="25">
                      <c:v>T51</c:v>
                    </c:pt>
                  </c:strLit>
                </c15:cat>
              </c15:filteredCategoryTitle>
            </c:ext>
            <c:ext xmlns:c16="http://schemas.microsoft.com/office/drawing/2014/chart" uri="{C3380CC4-5D6E-409C-BE32-E72D297353CC}">
              <c16:uniqueId val="{00000000-F20C-40B7-A0DA-2EC03266329B}"/>
            </c:ext>
          </c:extLst>
        </c:ser>
        <c:ser>
          <c:idx val="1"/>
          <c:order val="1"/>
          <c:tx>
            <c:v>JIT disabled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Lit>
              <c:formatCode>General</c:formatCode>
              <c:ptCount val="26"/>
              <c:pt idx="0">
                <c:v>-75.71616155310187</c:v>
              </c:pt>
              <c:pt idx="1">
                <c:v>-4.0930186185937298</c:v>
              </c:pt>
              <c:pt idx="2">
                <c:v>-1.6253105378696941</c:v>
              </c:pt>
              <c:pt idx="3">
                <c:v>-81.554511754084132</c:v>
              </c:pt>
              <c:pt idx="4">
                <c:v>3.3535669696539747E-2</c:v>
              </c:pt>
              <c:pt idx="5">
                <c:v>-96.797710851442375</c:v>
              </c:pt>
              <c:pt idx="6">
                <c:v>-31.31779815298643</c:v>
              </c:pt>
              <c:pt idx="7">
                <c:v>-36.51385242402862</c:v>
              </c:pt>
              <c:pt idx="8">
                <c:v>-5.498335557384852</c:v>
              </c:pt>
              <c:pt idx="9">
                <c:v>11.120746922250675</c:v>
              </c:pt>
              <c:pt idx="10">
                <c:v>-5.5640886214327008</c:v>
              </c:pt>
              <c:pt idx="11">
                <c:v>-10.134525070694224</c:v>
              </c:pt>
              <c:pt idx="12">
                <c:v>-30.562795540324149</c:v>
              </c:pt>
              <c:pt idx="13">
                <c:v>1.7675609485979655</c:v>
              </c:pt>
              <c:pt idx="14">
                <c:v>-25.216339331610826</c:v>
              </c:pt>
              <c:pt idx="15">
                <c:v>30.123770294290441</c:v>
              </c:pt>
              <c:pt idx="16">
                <c:v>0.71393501626176648</c:v>
              </c:pt>
              <c:pt idx="17">
                <c:v>68.072875753885768</c:v>
              </c:pt>
              <c:pt idx="18">
                <c:v>17.767531142220339</c:v>
              </c:pt>
              <c:pt idx="19">
                <c:v>-3.2456179925754358</c:v>
              </c:pt>
              <c:pt idx="20">
                <c:v>-16.525734306915393</c:v>
              </c:pt>
              <c:pt idx="21">
                <c:v>-70.855861309894081</c:v>
              </c:pt>
              <c:pt idx="22">
                <c:v>13.594297051626883</c:v>
              </c:pt>
              <c:pt idx="23">
                <c:v>-61.310900685959936</c:v>
              </c:pt>
              <c:pt idx="24">
                <c:v>-46.919566253939287</c:v>
              </c:pt>
              <c:pt idx="25">
                <c:v>-8.0240542994794932</c:v>
              </c:pt>
            </c:numLit>
          </c:val>
          <c:extLst>
            <c:ext xmlns:c15="http://schemas.microsoft.com/office/drawing/2012/chart" uri="{02D57815-91ED-43cb-92C2-25804820EDAC}">
              <c15:filteredCategoryTitle>
                <c15:cat>
                  <c:strLit>
                    <c:ptCount val="26"/>
                    <c:pt idx="0">
                      <c:v>T4</c:v>
                    </c:pt>
                    <c:pt idx="1">
                      <c:v>T5</c:v>
                    </c:pt>
                    <c:pt idx="2">
                      <c:v>T7</c:v>
                    </c:pt>
                    <c:pt idx="3">
                      <c:v>T8</c:v>
                    </c:pt>
                    <c:pt idx="4">
                      <c:v>T9</c:v>
                    </c:pt>
                    <c:pt idx="5">
                      <c:v>T10</c:v>
                    </c:pt>
                    <c:pt idx="6">
                      <c:v>T11</c:v>
                    </c:pt>
                    <c:pt idx="7">
                      <c:v>T12</c:v>
                    </c:pt>
                    <c:pt idx="8">
                      <c:v>T13</c:v>
                    </c:pt>
                    <c:pt idx="9">
                      <c:v>T16</c:v>
                    </c:pt>
                    <c:pt idx="10">
                      <c:v>T17</c:v>
                    </c:pt>
                    <c:pt idx="11">
                      <c:v>T19</c:v>
                    </c:pt>
                    <c:pt idx="12">
                      <c:v>T20</c:v>
                    </c:pt>
                    <c:pt idx="13">
                      <c:v>T25</c:v>
                    </c:pt>
                    <c:pt idx="14">
                      <c:v>T26</c:v>
                    </c:pt>
                    <c:pt idx="15">
                      <c:v>T28</c:v>
                    </c:pt>
                    <c:pt idx="16">
                      <c:v>T29</c:v>
                    </c:pt>
                    <c:pt idx="17">
                      <c:v>T31</c:v>
                    </c:pt>
                    <c:pt idx="18">
                      <c:v>T32</c:v>
                    </c:pt>
                    <c:pt idx="19">
                      <c:v>T33</c:v>
                    </c:pt>
                    <c:pt idx="20">
                      <c:v>T36</c:v>
                    </c:pt>
                    <c:pt idx="21">
                      <c:v>T40</c:v>
                    </c:pt>
                    <c:pt idx="22">
                      <c:v>T44</c:v>
                    </c:pt>
                    <c:pt idx="23">
                      <c:v>T49</c:v>
                    </c:pt>
                    <c:pt idx="24">
                      <c:v>T50</c:v>
                    </c:pt>
                    <c:pt idx="25">
                      <c:v>T51</c:v>
                    </c:pt>
                  </c:strLit>
                </c15:cat>
              </c15:filteredCategoryTitle>
            </c:ext>
            <c:ext xmlns:c16="http://schemas.microsoft.com/office/drawing/2014/chart" uri="{C3380CC4-5D6E-409C-BE32-E72D297353CC}">
              <c16:uniqueId val="{00000001-F20C-40B7-A0DA-2EC0326632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566005407"/>
        <c:axId val="1566003967"/>
      </c:barChart>
      <c:catAx>
        <c:axId val="15660054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sz="1100"/>
                  <a:t>Techniques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66003967"/>
        <c:crosses val="autoZero"/>
        <c:auto val="1"/>
        <c:lblAlgn val="ctr"/>
        <c:lblOffset val="100"/>
        <c:noMultiLvlLbl val="0"/>
      </c:catAx>
      <c:valAx>
        <c:axId val="1566003967"/>
        <c:scaling>
          <c:orientation val="minMax"/>
          <c:min val="-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sz="1100"/>
                  <a:t>Impact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6600540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400" b="0" i="0" u="none" strike="noStrike" baseline="0"/>
              <a:t>Impact of optimization technique categories on energy consumption across PLs 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Stats3!$L$4</c:f>
              <c:strCache>
                <c:ptCount val="1"/>
                <c:pt idx="0">
                  <c:v>(1) data/memory structure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Stats3!$K$32:$K$35</c:f>
              <c:strCache>
                <c:ptCount val="4"/>
                <c:pt idx="0">
                  <c:v>C</c:v>
                </c:pt>
                <c:pt idx="1">
                  <c:v>Python</c:v>
                </c:pt>
                <c:pt idx="2">
                  <c:v>Java</c:v>
                </c:pt>
                <c:pt idx="3">
                  <c:v>Average</c:v>
                </c:pt>
              </c:strCache>
            </c:strRef>
          </c:cat>
          <c:val>
            <c:numRef>
              <c:f>Stats3!$L$32:$L$35</c:f>
              <c:numCache>
                <c:formatCode>0.00</c:formatCode>
                <c:ptCount val="4"/>
                <c:pt idx="0">
                  <c:v>-19.22711907834962</c:v>
                </c:pt>
                <c:pt idx="1">
                  <c:v>-32.694779867680175</c:v>
                </c:pt>
                <c:pt idx="2">
                  <c:v>-35.505569022310929</c:v>
                </c:pt>
                <c:pt idx="3">
                  <c:v>-29.142489322780243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B9-491E-B10E-719E6CC200D7}"/>
            </c:ext>
          </c:extLst>
        </c:ser>
        <c:ser>
          <c:idx val="1"/>
          <c:order val="1"/>
          <c:tx>
            <c:strRef>
              <c:f>Stats3!$M$4</c:f>
              <c:strCache>
                <c:ptCount val="1"/>
                <c:pt idx="0">
                  <c:v>(2) algorithm implementation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Stats3!$K$32:$K$35</c:f>
              <c:strCache>
                <c:ptCount val="4"/>
                <c:pt idx="0">
                  <c:v>C</c:v>
                </c:pt>
                <c:pt idx="1">
                  <c:v>Python</c:v>
                </c:pt>
                <c:pt idx="2">
                  <c:v>Java</c:v>
                </c:pt>
                <c:pt idx="3">
                  <c:v>Average</c:v>
                </c:pt>
              </c:strCache>
            </c:strRef>
          </c:cat>
          <c:val>
            <c:numRef>
              <c:f>Stats3!$M$32:$M$35</c:f>
              <c:numCache>
                <c:formatCode>0.00</c:formatCode>
                <c:ptCount val="4"/>
                <c:pt idx="0">
                  <c:v>-7.0947734156225621</c:v>
                </c:pt>
                <c:pt idx="1">
                  <c:v>-13.122050624521712</c:v>
                </c:pt>
                <c:pt idx="2">
                  <c:v>-12.072426518524566</c:v>
                </c:pt>
                <c:pt idx="3">
                  <c:v>-10.763083519556279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B9-491E-B10E-719E6CC200D7}"/>
            </c:ext>
          </c:extLst>
        </c:ser>
        <c:ser>
          <c:idx val="2"/>
          <c:order val="2"/>
          <c:tx>
            <c:strRef>
              <c:f>Stats3!$N$4</c:f>
              <c:strCache>
                <c:ptCount val="1"/>
                <c:pt idx="0">
                  <c:v>(3) arithmetic/logic operations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Stats3!$K$32:$K$35</c:f>
              <c:strCache>
                <c:ptCount val="4"/>
                <c:pt idx="0">
                  <c:v>C</c:v>
                </c:pt>
                <c:pt idx="1">
                  <c:v>Python</c:v>
                </c:pt>
                <c:pt idx="2">
                  <c:v>Java</c:v>
                </c:pt>
                <c:pt idx="3">
                  <c:v>Average</c:v>
                </c:pt>
              </c:strCache>
            </c:strRef>
          </c:cat>
          <c:val>
            <c:numRef>
              <c:f>Stats3!$N$32:$N$35</c:f>
              <c:numCache>
                <c:formatCode>0.00</c:formatCode>
                <c:ptCount val="4"/>
                <c:pt idx="0">
                  <c:v>-2.8986670927457232</c:v>
                </c:pt>
                <c:pt idx="1">
                  <c:v>5.8159210376532764</c:v>
                </c:pt>
                <c:pt idx="2">
                  <c:v>-1.5153154399837796</c:v>
                </c:pt>
                <c:pt idx="3">
                  <c:v>0.46731283497459086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6B9-491E-B10E-719E6CC200D7}"/>
            </c:ext>
          </c:extLst>
        </c:ser>
        <c:ser>
          <c:idx val="3"/>
          <c:order val="3"/>
          <c:tx>
            <c:strRef>
              <c:f>Stats3!$O$4</c:f>
              <c:strCache>
                <c:ptCount val="1"/>
                <c:pt idx="0">
                  <c:v>(4) loops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Stats3!$K$32:$K$35</c:f>
              <c:strCache>
                <c:ptCount val="4"/>
                <c:pt idx="0">
                  <c:v>C</c:v>
                </c:pt>
                <c:pt idx="1">
                  <c:v>Python</c:v>
                </c:pt>
                <c:pt idx="2">
                  <c:v>Java</c:v>
                </c:pt>
                <c:pt idx="3">
                  <c:v>Average</c:v>
                </c:pt>
              </c:strCache>
            </c:strRef>
          </c:cat>
          <c:val>
            <c:numRef>
              <c:f>Stats3!$O$32:$O$35</c:f>
              <c:numCache>
                <c:formatCode>0.00</c:formatCode>
                <c:ptCount val="4"/>
                <c:pt idx="0">
                  <c:v>-23.12170887988826</c:v>
                </c:pt>
                <c:pt idx="1">
                  <c:v>-19.189503118651206</c:v>
                </c:pt>
                <c:pt idx="2">
                  <c:v>-15.988461716652012</c:v>
                </c:pt>
                <c:pt idx="3">
                  <c:v>-19.433224571730491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6B9-491E-B10E-719E6CC200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744292863"/>
        <c:axId val="744284223"/>
      </c:barChart>
      <c:catAx>
        <c:axId val="7442928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sz="1100"/>
                  <a:t>Programming</a:t>
                </a:r>
                <a:r>
                  <a:rPr lang="es-ES" sz="1100" baseline="0"/>
                  <a:t> Languages (PLs)</a:t>
                </a:r>
                <a:endParaRPr lang="es-ES" sz="11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44284223"/>
        <c:crosses val="autoZero"/>
        <c:auto val="1"/>
        <c:lblAlgn val="ctr"/>
        <c:lblOffset val="100"/>
        <c:noMultiLvlLbl val="0"/>
      </c:catAx>
      <c:valAx>
        <c:axId val="744284223"/>
        <c:scaling>
          <c:orientation val="minMax"/>
          <c:max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sz="1100"/>
                  <a:t> Average Impact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44292863"/>
        <c:crossesAt val="0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0</xdr:colOff>
      <xdr:row>15</xdr:row>
      <xdr:rowOff>0</xdr:rowOff>
    </xdr:from>
    <xdr:to>
      <xdr:col>30</xdr:col>
      <xdr:colOff>40823</xdr:colOff>
      <xdr:row>36</xdr:row>
      <xdr:rowOff>163286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B94064-B018-4D0C-A29F-0D0FAB458C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0</xdr:colOff>
      <xdr:row>15</xdr:row>
      <xdr:rowOff>0</xdr:rowOff>
    </xdr:from>
    <xdr:to>
      <xdr:col>30</xdr:col>
      <xdr:colOff>40823</xdr:colOff>
      <xdr:row>36</xdr:row>
      <xdr:rowOff>163286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F175FA-3191-4EFF-BC25-6E61069140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0</xdr:colOff>
      <xdr:row>15</xdr:row>
      <xdr:rowOff>0</xdr:rowOff>
    </xdr:from>
    <xdr:to>
      <xdr:col>30</xdr:col>
      <xdr:colOff>40823</xdr:colOff>
      <xdr:row>36</xdr:row>
      <xdr:rowOff>163286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704FAB-5838-4C0F-9699-5F35CC464B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0</xdr:colOff>
      <xdr:row>15</xdr:row>
      <xdr:rowOff>0</xdr:rowOff>
    </xdr:from>
    <xdr:to>
      <xdr:col>30</xdr:col>
      <xdr:colOff>40823</xdr:colOff>
      <xdr:row>36</xdr:row>
      <xdr:rowOff>163286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9B0DD7-AB3B-439B-BE9B-313593CCDF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-1</xdr:colOff>
      <xdr:row>15</xdr:row>
      <xdr:rowOff>0</xdr:rowOff>
    </xdr:from>
    <xdr:to>
      <xdr:col>31</xdr:col>
      <xdr:colOff>623455</xdr:colOff>
      <xdr:row>37</xdr:row>
      <xdr:rowOff>63594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7373D622-A90F-4875-ACAD-03AD319B61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11206</xdr:colOff>
      <xdr:row>14</xdr:row>
      <xdr:rowOff>0</xdr:rowOff>
    </xdr:from>
    <xdr:to>
      <xdr:col>20</xdr:col>
      <xdr:colOff>26536</xdr:colOff>
      <xdr:row>36</xdr:row>
      <xdr:rowOff>61913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41B428EA-CC2E-40F2-B75D-5D3D1EC70C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13606</xdr:colOff>
      <xdr:row>4</xdr:row>
      <xdr:rowOff>11303</xdr:rowOff>
    </xdr:from>
    <xdr:to>
      <xdr:col>25</xdr:col>
      <xdr:colOff>435381</xdr:colOff>
      <xdr:row>26</xdr:row>
      <xdr:rowOff>22110</xdr:rowOff>
    </xdr:to>
    <xdr:grpSp>
      <xdr:nvGrpSpPr>
        <xdr:cNvPr id="3" name="Grupo 2">
          <a:extLst>
            <a:ext uri="{FF2B5EF4-FFF2-40B4-BE49-F238E27FC236}">
              <a16:creationId xmlns:a16="http://schemas.microsoft.com/office/drawing/2014/main" id="{F3E7D235-F41C-918A-45EB-5A52EDF2E17F}"/>
            </a:ext>
          </a:extLst>
        </xdr:cNvPr>
        <xdr:cNvGrpSpPr/>
      </xdr:nvGrpSpPr>
      <xdr:grpSpPr>
        <a:xfrm>
          <a:off x="11715749" y="773303"/>
          <a:ext cx="14137775" cy="4201807"/>
          <a:chOff x="11687837" y="792841"/>
          <a:chExt cx="14049852" cy="4309269"/>
        </a:xfrm>
      </xdr:grpSpPr>
      <xdr:graphicFrame macro="">
        <xdr:nvGraphicFramePr>
          <xdr:cNvPr id="2" name="Gráfico 1">
            <a:extLst>
              <a:ext uri="{FF2B5EF4-FFF2-40B4-BE49-F238E27FC236}">
                <a16:creationId xmlns:a16="http://schemas.microsoft.com/office/drawing/2014/main" id="{7CA7F28F-F273-4E97-82AE-E34EF23D88CF}"/>
              </a:ext>
            </a:extLst>
          </xdr:cNvPr>
          <xdr:cNvGraphicFramePr>
            <a:graphicFrameLocks/>
          </xdr:cNvGraphicFramePr>
        </xdr:nvGraphicFramePr>
        <xdr:xfrm>
          <a:off x="11687837" y="793783"/>
          <a:ext cx="4685567" cy="430798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4" name="Gráfico 3">
            <a:extLst>
              <a:ext uri="{FF2B5EF4-FFF2-40B4-BE49-F238E27FC236}">
                <a16:creationId xmlns:a16="http://schemas.microsoft.com/office/drawing/2014/main" id="{712504CD-F4DD-47A0-9283-3049A83C8139}"/>
              </a:ext>
            </a:extLst>
          </xdr:cNvPr>
          <xdr:cNvGraphicFramePr>
            <a:graphicFrameLocks/>
          </xdr:cNvGraphicFramePr>
        </xdr:nvGraphicFramePr>
        <xdr:xfrm>
          <a:off x="16366602" y="794123"/>
          <a:ext cx="4685567" cy="430798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aphicFrame macro="">
        <xdr:nvGraphicFramePr>
          <xdr:cNvPr id="6" name="Gráfico 5">
            <a:extLst>
              <a:ext uri="{FF2B5EF4-FFF2-40B4-BE49-F238E27FC236}">
                <a16:creationId xmlns:a16="http://schemas.microsoft.com/office/drawing/2014/main" id="{68138A0F-B606-4DA7-8848-2CCA70890EBA}"/>
              </a:ext>
            </a:extLst>
          </xdr:cNvPr>
          <xdr:cNvGraphicFramePr>
            <a:graphicFrameLocks/>
          </xdr:cNvGraphicFramePr>
        </xdr:nvGraphicFramePr>
        <xdr:xfrm>
          <a:off x="21052121" y="792841"/>
          <a:ext cx="4685568" cy="430798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29306</xdr:colOff>
      <xdr:row>1</xdr:row>
      <xdr:rowOff>182216</xdr:rowOff>
    </xdr:from>
    <xdr:to>
      <xdr:col>22</xdr:col>
      <xdr:colOff>57977</xdr:colOff>
      <xdr:row>38</xdr:row>
      <xdr:rowOff>24847</xdr:rowOff>
    </xdr:to>
    <xdr:grpSp>
      <xdr:nvGrpSpPr>
        <xdr:cNvPr id="258" name="Grupo 257">
          <a:extLst>
            <a:ext uri="{FF2B5EF4-FFF2-40B4-BE49-F238E27FC236}">
              <a16:creationId xmlns:a16="http://schemas.microsoft.com/office/drawing/2014/main" id="{B8F61E77-8FDD-3587-763E-1DE1C41E724F}"/>
            </a:ext>
          </a:extLst>
        </xdr:cNvPr>
        <xdr:cNvGrpSpPr/>
      </xdr:nvGrpSpPr>
      <xdr:grpSpPr>
        <a:xfrm>
          <a:off x="6135511" y="556412"/>
          <a:ext cx="11509698" cy="6765265"/>
          <a:chOff x="6152520" y="372716"/>
          <a:chExt cx="11458671" cy="6891131"/>
        </a:xfrm>
      </xdr:grpSpPr>
      <xdr:graphicFrame macro="">
        <xdr:nvGraphicFramePr>
          <xdr:cNvPr id="17" name="Gráfico 16">
            <a:extLst>
              <a:ext uri="{FF2B5EF4-FFF2-40B4-BE49-F238E27FC236}">
                <a16:creationId xmlns:a16="http://schemas.microsoft.com/office/drawing/2014/main" id="{C0188228-B5FB-7C3D-29BD-EE865CEFD7B7}"/>
              </a:ext>
            </a:extLst>
          </xdr:cNvPr>
          <xdr:cNvGraphicFramePr/>
        </xdr:nvGraphicFramePr>
        <xdr:xfrm>
          <a:off x="6152520" y="372716"/>
          <a:ext cx="11458671" cy="689113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pSp>
        <xdr:nvGrpSpPr>
          <xdr:cNvPr id="135" name="Grupo 134">
            <a:extLst>
              <a:ext uri="{FF2B5EF4-FFF2-40B4-BE49-F238E27FC236}">
                <a16:creationId xmlns:a16="http://schemas.microsoft.com/office/drawing/2014/main" id="{CC4CB624-6415-C143-3E51-5183B97783D0}"/>
              </a:ext>
            </a:extLst>
          </xdr:cNvPr>
          <xdr:cNvGrpSpPr/>
        </xdr:nvGrpSpPr>
        <xdr:grpSpPr>
          <a:xfrm>
            <a:off x="6963872" y="917409"/>
            <a:ext cx="2463784" cy="6020002"/>
            <a:chOff x="7098583" y="917409"/>
            <a:chExt cx="2418627" cy="6020002"/>
          </a:xfrm>
        </xdr:grpSpPr>
        <xdr:sp macro="" textlink="">
          <xdr:nvSpPr>
            <xdr:cNvPr id="24" name="CuadroTexto 23">
              <a:extLst>
                <a:ext uri="{FF2B5EF4-FFF2-40B4-BE49-F238E27FC236}">
                  <a16:creationId xmlns:a16="http://schemas.microsoft.com/office/drawing/2014/main" id="{6637366D-DBC4-B83B-CBD3-ECAF46DDC112}"/>
                </a:ext>
              </a:extLst>
            </xdr:cNvPr>
            <xdr:cNvSpPr txBox="1"/>
          </xdr:nvSpPr>
          <xdr:spPr>
            <a:xfrm>
              <a:off x="7098583" y="927651"/>
              <a:ext cx="2344832" cy="195696"/>
            </a:xfrm>
            <a:prstGeom prst="rect">
              <a:avLst/>
            </a:prstGeom>
            <a:noFill/>
            <a:ln w="12700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s-ES" sz="1100" b="1"/>
                <a:t>T4</a:t>
              </a:r>
            </a:p>
          </xdr:txBody>
        </xdr:sp>
        <xdr:grpSp>
          <xdr:nvGrpSpPr>
            <xdr:cNvPr id="74" name="Grupo 73">
              <a:extLst>
                <a:ext uri="{FF2B5EF4-FFF2-40B4-BE49-F238E27FC236}">
                  <a16:creationId xmlns:a16="http://schemas.microsoft.com/office/drawing/2014/main" id="{02993475-8B98-4401-C62E-AB6EB0DF5001}"/>
                </a:ext>
              </a:extLst>
            </xdr:cNvPr>
            <xdr:cNvGrpSpPr/>
          </xdr:nvGrpSpPr>
          <xdr:grpSpPr>
            <a:xfrm>
              <a:off x="7183041" y="917409"/>
              <a:ext cx="2334169" cy="6020002"/>
              <a:chOff x="7183721" y="917409"/>
              <a:chExt cx="2334169" cy="6020002"/>
            </a:xfrm>
          </xdr:grpSpPr>
          <xdr:grpSp>
            <xdr:nvGrpSpPr>
              <xdr:cNvPr id="72" name="Grupo 71">
                <a:extLst>
                  <a:ext uri="{FF2B5EF4-FFF2-40B4-BE49-F238E27FC236}">
                    <a16:creationId xmlns:a16="http://schemas.microsoft.com/office/drawing/2014/main" id="{186A7473-F77A-A5CD-021C-EFBB6C2BE17E}"/>
                  </a:ext>
                </a:extLst>
              </xdr:cNvPr>
              <xdr:cNvGrpSpPr/>
            </xdr:nvGrpSpPr>
            <xdr:grpSpPr>
              <a:xfrm>
                <a:off x="7183721" y="1200724"/>
                <a:ext cx="779859" cy="5734667"/>
                <a:chOff x="7188756" y="1200724"/>
                <a:chExt cx="779859" cy="5734667"/>
              </a:xfrm>
            </xdr:grpSpPr>
            <xdr:sp macro="" textlink="">
              <xdr:nvSpPr>
                <xdr:cNvPr id="53" name="CuadroTexto 52">
                  <a:extLst>
                    <a:ext uri="{FF2B5EF4-FFF2-40B4-BE49-F238E27FC236}">
                      <a16:creationId xmlns:a16="http://schemas.microsoft.com/office/drawing/2014/main" id="{91397063-1921-4815-9998-3D61C07308D0}"/>
                    </a:ext>
                  </a:extLst>
                </xdr:cNvPr>
                <xdr:cNvSpPr txBox="1"/>
              </xdr:nvSpPr>
              <xdr:spPr>
                <a:xfrm>
                  <a:off x="7188756" y="1200724"/>
                  <a:ext cx="779859" cy="5733476"/>
                </a:xfrm>
                <a:prstGeom prst="rect">
                  <a:avLst/>
                </a:prstGeom>
                <a:noFill/>
                <a:ln w="12700" cmpd="sng">
                  <a:solidFill>
                    <a:schemeClr val="tx1"/>
                  </a:solidFill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pPr algn="ctr"/>
                  <a:r>
                    <a:rPr lang="es-ES" sz="1100" b="1"/>
                    <a:t>C</a:t>
                  </a:r>
                </a:p>
              </xdr:txBody>
            </xdr:sp>
            <xdr:grpSp>
              <xdr:nvGrpSpPr>
                <xdr:cNvPr id="71" name="Grupo 70">
                  <a:extLst>
                    <a:ext uri="{FF2B5EF4-FFF2-40B4-BE49-F238E27FC236}">
                      <a16:creationId xmlns:a16="http://schemas.microsoft.com/office/drawing/2014/main" id="{E660FA67-C78F-2442-97EE-45A361B61F8F}"/>
                    </a:ext>
                  </a:extLst>
                </xdr:cNvPr>
                <xdr:cNvGrpSpPr/>
              </xdr:nvGrpSpPr>
              <xdr:grpSpPr>
                <a:xfrm>
                  <a:off x="7189471" y="1479778"/>
                  <a:ext cx="777289" cy="5455613"/>
                  <a:chOff x="7189471" y="1479778"/>
                  <a:chExt cx="777289" cy="5455613"/>
                </a:xfrm>
              </xdr:grpSpPr>
              <xdr:sp macro="" textlink="">
                <xdr:nvSpPr>
                  <xdr:cNvPr id="57" name="CuadroTexto 56">
                    <a:extLst>
                      <a:ext uri="{FF2B5EF4-FFF2-40B4-BE49-F238E27FC236}">
                        <a16:creationId xmlns:a16="http://schemas.microsoft.com/office/drawing/2014/main" id="{06CA0A20-A43A-4E54-80C5-7FDBC3FB753A}"/>
                      </a:ext>
                    </a:extLst>
                  </xdr:cNvPr>
                  <xdr:cNvSpPr txBox="1"/>
                </xdr:nvSpPr>
                <xdr:spPr>
                  <a:xfrm>
                    <a:off x="7582727" y="1479778"/>
                    <a:ext cx="384033" cy="5454917"/>
                  </a:xfrm>
                  <a:prstGeom prst="rect">
                    <a:avLst/>
                  </a:prstGeom>
                  <a:noFill/>
                  <a:ln w="12700" cmpd="sng">
                    <a:solidFill>
                      <a:schemeClr val="tx1"/>
                    </a:solidFill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vert="vert" wrap="square" rtlCol="0" anchor="ctr" anchorCtr="0"/>
                  <a:lstStyle/>
                  <a:p>
                    <a:pPr algn="l"/>
                    <a:r>
                      <a:rPr lang="es-ES" sz="1100" b="1"/>
                      <a:t>O3</a:t>
                    </a:r>
                  </a:p>
                </xdr:txBody>
              </xdr:sp>
              <xdr:sp macro="" textlink="">
                <xdr:nvSpPr>
                  <xdr:cNvPr id="56" name="CuadroTexto 55">
                    <a:extLst>
                      <a:ext uri="{FF2B5EF4-FFF2-40B4-BE49-F238E27FC236}">
                        <a16:creationId xmlns:a16="http://schemas.microsoft.com/office/drawing/2014/main" id="{334B39C1-9CC3-4B8A-BF6B-DB794B879B3F}"/>
                      </a:ext>
                    </a:extLst>
                  </xdr:cNvPr>
                  <xdr:cNvSpPr txBox="1"/>
                </xdr:nvSpPr>
                <xdr:spPr>
                  <a:xfrm>
                    <a:off x="7189471" y="1480521"/>
                    <a:ext cx="392192" cy="5454870"/>
                  </a:xfrm>
                  <a:prstGeom prst="rect">
                    <a:avLst/>
                  </a:prstGeom>
                  <a:noFill/>
                  <a:ln w="12700" cmpd="sng">
                    <a:solidFill>
                      <a:schemeClr val="tx1"/>
                    </a:solidFill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vert="vert" wrap="square" rtlCol="0" anchor="t"/>
                  <a:lstStyle/>
                  <a:p>
                    <a:pPr algn="l"/>
                    <a:r>
                      <a:rPr lang="es-ES" sz="1100" b="1"/>
                      <a:t>O0</a:t>
                    </a:r>
                  </a:p>
                </xdr:txBody>
              </xdr:sp>
            </xdr:grpSp>
          </xdr:grpSp>
          <xdr:grpSp>
            <xdr:nvGrpSpPr>
              <xdr:cNvPr id="59" name="Grupo 58">
                <a:extLst>
                  <a:ext uri="{FF2B5EF4-FFF2-40B4-BE49-F238E27FC236}">
                    <a16:creationId xmlns:a16="http://schemas.microsoft.com/office/drawing/2014/main" id="{8E13A830-07C2-4FA6-982D-6FE53C368622}"/>
                  </a:ext>
                </a:extLst>
              </xdr:cNvPr>
              <xdr:cNvGrpSpPr/>
            </xdr:nvGrpSpPr>
            <xdr:grpSpPr>
              <a:xfrm>
                <a:off x="7961524" y="1200150"/>
                <a:ext cx="779859" cy="5737261"/>
                <a:chOff x="7182175" y="1198981"/>
                <a:chExt cx="779859" cy="5737261"/>
              </a:xfrm>
            </xdr:grpSpPr>
            <xdr:sp macro="" textlink="">
              <xdr:nvSpPr>
                <xdr:cNvPr id="60" name="CuadroTexto 59">
                  <a:extLst>
                    <a:ext uri="{FF2B5EF4-FFF2-40B4-BE49-F238E27FC236}">
                      <a16:creationId xmlns:a16="http://schemas.microsoft.com/office/drawing/2014/main" id="{F2000FE2-BF1F-4E72-E9F7-390F2A14C7ED}"/>
                    </a:ext>
                  </a:extLst>
                </xdr:cNvPr>
                <xdr:cNvSpPr txBox="1"/>
              </xdr:nvSpPr>
              <xdr:spPr>
                <a:xfrm>
                  <a:off x="7182175" y="1198981"/>
                  <a:ext cx="779859" cy="5735219"/>
                </a:xfrm>
                <a:prstGeom prst="rect">
                  <a:avLst/>
                </a:prstGeom>
                <a:noFill/>
                <a:ln w="12700" cmpd="sng">
                  <a:solidFill>
                    <a:schemeClr val="tx1"/>
                  </a:solidFill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pPr algn="ctr"/>
                  <a:r>
                    <a:rPr lang="es-ES" sz="1100" b="1"/>
                    <a:t>Python</a:t>
                  </a:r>
                </a:p>
              </xdr:txBody>
            </xdr:sp>
            <xdr:sp macro="" textlink="">
              <xdr:nvSpPr>
                <xdr:cNvPr id="61" name="CuadroTexto 60">
                  <a:extLst>
                    <a:ext uri="{FF2B5EF4-FFF2-40B4-BE49-F238E27FC236}">
                      <a16:creationId xmlns:a16="http://schemas.microsoft.com/office/drawing/2014/main" id="{B2844349-9A9D-FC8C-C1E3-F15033FC59D4}"/>
                    </a:ext>
                  </a:extLst>
                </xdr:cNvPr>
                <xdr:cNvSpPr txBox="1"/>
              </xdr:nvSpPr>
              <xdr:spPr>
                <a:xfrm>
                  <a:off x="7576146" y="1479778"/>
                  <a:ext cx="385548" cy="5456464"/>
                </a:xfrm>
                <a:prstGeom prst="rect">
                  <a:avLst/>
                </a:prstGeom>
                <a:noFill/>
                <a:ln w="12700" cmpd="sng">
                  <a:solidFill>
                    <a:schemeClr val="tx1"/>
                  </a:solidFill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vert="vert" wrap="square" rtlCol="0" anchor="ctr" anchorCtr="0"/>
                <a:lstStyle/>
                <a:p>
                  <a:pPr algn="l"/>
                  <a:r>
                    <a:rPr lang="es-ES" sz="1100" b="1"/>
                    <a:t>Nuitka</a:t>
                  </a:r>
                </a:p>
              </xdr:txBody>
            </xdr:sp>
            <xdr:sp macro="" textlink="">
              <xdr:nvSpPr>
                <xdr:cNvPr id="62" name="CuadroTexto 61">
                  <a:extLst>
                    <a:ext uri="{FF2B5EF4-FFF2-40B4-BE49-F238E27FC236}">
                      <a16:creationId xmlns:a16="http://schemas.microsoft.com/office/drawing/2014/main" id="{D76E44CF-446F-B319-7776-0363B3555096}"/>
                    </a:ext>
                  </a:extLst>
                </xdr:cNvPr>
                <xdr:cNvSpPr txBox="1"/>
              </xdr:nvSpPr>
              <xdr:spPr>
                <a:xfrm>
                  <a:off x="7182890" y="1478047"/>
                  <a:ext cx="392192" cy="5454870"/>
                </a:xfrm>
                <a:prstGeom prst="rect">
                  <a:avLst/>
                </a:prstGeom>
                <a:noFill/>
                <a:ln w="12700" cmpd="sng">
                  <a:solidFill>
                    <a:schemeClr val="tx1"/>
                  </a:solidFill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vert="vert" wrap="square" rtlCol="0" anchor="t"/>
                <a:lstStyle/>
                <a:p>
                  <a:pPr algn="l"/>
                  <a:r>
                    <a:rPr lang="es-ES" sz="1100" b="1"/>
                    <a:t>CPython</a:t>
                  </a:r>
                </a:p>
              </xdr:txBody>
            </xdr:sp>
          </xdr:grpSp>
          <xdr:grpSp>
            <xdr:nvGrpSpPr>
              <xdr:cNvPr id="63" name="Grupo 62">
                <a:extLst>
                  <a:ext uri="{FF2B5EF4-FFF2-40B4-BE49-F238E27FC236}">
                    <a16:creationId xmlns:a16="http://schemas.microsoft.com/office/drawing/2014/main" id="{CF69C8D3-6068-4C07-8F81-E0157B6897A4}"/>
                  </a:ext>
                </a:extLst>
              </xdr:cNvPr>
              <xdr:cNvGrpSpPr/>
            </xdr:nvGrpSpPr>
            <xdr:grpSpPr>
              <a:xfrm>
                <a:off x="8741518" y="1200911"/>
                <a:ext cx="776372" cy="5735518"/>
                <a:chOff x="7182175" y="1200724"/>
                <a:chExt cx="781330" cy="5735518"/>
              </a:xfrm>
            </xdr:grpSpPr>
            <xdr:sp macro="" textlink="">
              <xdr:nvSpPr>
                <xdr:cNvPr id="64" name="CuadroTexto 63">
                  <a:extLst>
                    <a:ext uri="{FF2B5EF4-FFF2-40B4-BE49-F238E27FC236}">
                      <a16:creationId xmlns:a16="http://schemas.microsoft.com/office/drawing/2014/main" id="{A723B163-4AC1-14B2-C3FF-E5A4610C1DA0}"/>
                    </a:ext>
                  </a:extLst>
                </xdr:cNvPr>
                <xdr:cNvSpPr txBox="1"/>
              </xdr:nvSpPr>
              <xdr:spPr>
                <a:xfrm>
                  <a:off x="7182175" y="1200724"/>
                  <a:ext cx="779859" cy="5733476"/>
                </a:xfrm>
                <a:prstGeom prst="rect">
                  <a:avLst/>
                </a:prstGeom>
                <a:noFill/>
                <a:ln w="12700" cmpd="sng">
                  <a:solidFill>
                    <a:schemeClr val="tx1"/>
                  </a:solidFill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pPr algn="ctr"/>
                  <a:r>
                    <a:rPr lang="es-ES" sz="1100" b="1"/>
                    <a:t>Java</a:t>
                  </a:r>
                </a:p>
              </xdr:txBody>
            </xdr:sp>
            <xdr:sp macro="" textlink="">
              <xdr:nvSpPr>
                <xdr:cNvPr id="65" name="CuadroTexto 64">
                  <a:extLst>
                    <a:ext uri="{FF2B5EF4-FFF2-40B4-BE49-F238E27FC236}">
                      <a16:creationId xmlns:a16="http://schemas.microsoft.com/office/drawing/2014/main" id="{2432822C-FB05-8391-2D69-5871BBDC2DC5}"/>
                    </a:ext>
                  </a:extLst>
                </xdr:cNvPr>
                <xdr:cNvSpPr txBox="1"/>
              </xdr:nvSpPr>
              <xdr:spPr>
                <a:xfrm>
                  <a:off x="7576146" y="1479778"/>
                  <a:ext cx="387359" cy="5456464"/>
                </a:xfrm>
                <a:prstGeom prst="rect">
                  <a:avLst/>
                </a:prstGeom>
                <a:noFill/>
                <a:ln w="12700" cmpd="sng">
                  <a:solidFill>
                    <a:schemeClr val="tx1"/>
                  </a:solidFill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vert="vert" wrap="square" rtlCol="0" anchor="ctr" anchorCtr="0"/>
                <a:lstStyle/>
                <a:p>
                  <a:pPr algn="l"/>
                  <a:r>
                    <a:rPr lang="es-ES" sz="1100" b="1"/>
                    <a:t>JIT</a:t>
                  </a:r>
                  <a:r>
                    <a:rPr lang="es-ES" sz="1100" b="1" baseline="0"/>
                    <a:t> disabled</a:t>
                  </a:r>
                  <a:endParaRPr lang="es-ES" sz="1100" b="1"/>
                </a:p>
              </xdr:txBody>
            </xdr:sp>
            <xdr:sp macro="" textlink="">
              <xdr:nvSpPr>
                <xdr:cNvPr id="66" name="CuadroTexto 65">
                  <a:extLst>
                    <a:ext uri="{FF2B5EF4-FFF2-40B4-BE49-F238E27FC236}">
                      <a16:creationId xmlns:a16="http://schemas.microsoft.com/office/drawing/2014/main" id="{99B59007-67D3-FCA7-E68B-9B80E5346485}"/>
                    </a:ext>
                  </a:extLst>
                </xdr:cNvPr>
                <xdr:cNvSpPr txBox="1"/>
              </xdr:nvSpPr>
              <xdr:spPr>
                <a:xfrm>
                  <a:off x="7182890" y="1480521"/>
                  <a:ext cx="392192" cy="5454870"/>
                </a:xfrm>
                <a:prstGeom prst="rect">
                  <a:avLst/>
                </a:prstGeom>
                <a:noFill/>
                <a:ln w="12700" cmpd="sng">
                  <a:solidFill>
                    <a:schemeClr val="tx1"/>
                  </a:solidFill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vert="vert" wrap="square" rtlCol="0" anchor="t"/>
                <a:lstStyle/>
                <a:p>
                  <a:pPr algn="l"/>
                  <a:r>
                    <a:rPr lang="es-ES" sz="1100" b="1"/>
                    <a:t>JIT enabled</a:t>
                  </a:r>
                </a:p>
              </xdr:txBody>
            </xdr:sp>
          </xdr:grpSp>
          <xdr:sp macro="" textlink="">
            <xdr:nvSpPr>
              <xdr:cNvPr id="20" name="Rectángulo 19">
                <a:extLst>
                  <a:ext uri="{FF2B5EF4-FFF2-40B4-BE49-F238E27FC236}">
                    <a16:creationId xmlns:a16="http://schemas.microsoft.com/office/drawing/2014/main" id="{BCC13E40-B69E-78FD-ED48-104FA6C3C37F}"/>
                  </a:ext>
                </a:extLst>
              </xdr:cNvPr>
              <xdr:cNvSpPr/>
            </xdr:nvSpPr>
            <xdr:spPr>
              <a:xfrm>
                <a:off x="7183721" y="917409"/>
                <a:ext cx="2333625" cy="6017982"/>
              </a:xfrm>
              <a:prstGeom prst="rect">
                <a:avLst/>
              </a:prstGeom>
              <a:noFill/>
              <a:ln w="12700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s-ES" sz="1100"/>
              </a:p>
            </xdr:txBody>
          </xdr:sp>
        </xdr:grpSp>
      </xdr:grpSp>
      <xdr:grpSp>
        <xdr:nvGrpSpPr>
          <xdr:cNvPr id="188" name="Grupo 187">
            <a:extLst>
              <a:ext uri="{FF2B5EF4-FFF2-40B4-BE49-F238E27FC236}">
                <a16:creationId xmlns:a16="http://schemas.microsoft.com/office/drawing/2014/main" id="{E038E9C8-E3CE-46B9-A0EB-BE5EEAB4C7B8}"/>
              </a:ext>
            </a:extLst>
          </xdr:cNvPr>
          <xdr:cNvGrpSpPr/>
        </xdr:nvGrpSpPr>
        <xdr:grpSpPr>
          <a:xfrm>
            <a:off x="9343656" y="915944"/>
            <a:ext cx="2429074" cy="6020002"/>
            <a:chOff x="7098583" y="917409"/>
            <a:chExt cx="2418627" cy="6020002"/>
          </a:xfrm>
        </xdr:grpSpPr>
        <xdr:sp macro="" textlink="">
          <xdr:nvSpPr>
            <xdr:cNvPr id="189" name="CuadroTexto 188">
              <a:extLst>
                <a:ext uri="{FF2B5EF4-FFF2-40B4-BE49-F238E27FC236}">
                  <a16:creationId xmlns:a16="http://schemas.microsoft.com/office/drawing/2014/main" id="{73586116-BDBB-E1E2-0C4E-265FC190379E}"/>
                </a:ext>
              </a:extLst>
            </xdr:cNvPr>
            <xdr:cNvSpPr txBox="1"/>
          </xdr:nvSpPr>
          <xdr:spPr>
            <a:xfrm>
              <a:off x="7098583" y="927651"/>
              <a:ext cx="2344832" cy="195696"/>
            </a:xfrm>
            <a:prstGeom prst="rect">
              <a:avLst/>
            </a:prstGeom>
            <a:noFill/>
            <a:ln w="12700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s-ES" sz="1100" b="1"/>
                <a:t>T5</a:t>
              </a:r>
            </a:p>
          </xdr:txBody>
        </xdr:sp>
        <xdr:grpSp>
          <xdr:nvGrpSpPr>
            <xdr:cNvPr id="190" name="Grupo 189">
              <a:extLst>
                <a:ext uri="{FF2B5EF4-FFF2-40B4-BE49-F238E27FC236}">
                  <a16:creationId xmlns:a16="http://schemas.microsoft.com/office/drawing/2014/main" id="{1F9DF15E-40A3-6A2E-C37D-3C118CB2E50E}"/>
                </a:ext>
              </a:extLst>
            </xdr:cNvPr>
            <xdr:cNvGrpSpPr/>
          </xdr:nvGrpSpPr>
          <xdr:grpSpPr>
            <a:xfrm>
              <a:off x="7183041" y="917409"/>
              <a:ext cx="2334169" cy="6020002"/>
              <a:chOff x="7183721" y="917409"/>
              <a:chExt cx="2334169" cy="6020002"/>
            </a:xfrm>
          </xdr:grpSpPr>
          <xdr:grpSp>
            <xdr:nvGrpSpPr>
              <xdr:cNvPr id="191" name="Grupo 190">
                <a:extLst>
                  <a:ext uri="{FF2B5EF4-FFF2-40B4-BE49-F238E27FC236}">
                    <a16:creationId xmlns:a16="http://schemas.microsoft.com/office/drawing/2014/main" id="{6E9D9F2D-7813-05D1-AA48-33DBC5426CB1}"/>
                  </a:ext>
                </a:extLst>
              </xdr:cNvPr>
              <xdr:cNvGrpSpPr/>
            </xdr:nvGrpSpPr>
            <xdr:grpSpPr>
              <a:xfrm>
                <a:off x="7183721" y="1200724"/>
                <a:ext cx="779859" cy="5734667"/>
                <a:chOff x="7188756" y="1200724"/>
                <a:chExt cx="779859" cy="5734667"/>
              </a:xfrm>
            </xdr:grpSpPr>
            <xdr:sp macro="" textlink="">
              <xdr:nvSpPr>
                <xdr:cNvPr id="201" name="CuadroTexto 200">
                  <a:extLst>
                    <a:ext uri="{FF2B5EF4-FFF2-40B4-BE49-F238E27FC236}">
                      <a16:creationId xmlns:a16="http://schemas.microsoft.com/office/drawing/2014/main" id="{E16C0954-DFF7-E840-6A14-C45631416036}"/>
                    </a:ext>
                  </a:extLst>
                </xdr:cNvPr>
                <xdr:cNvSpPr txBox="1"/>
              </xdr:nvSpPr>
              <xdr:spPr>
                <a:xfrm>
                  <a:off x="7188756" y="1200724"/>
                  <a:ext cx="779859" cy="5733476"/>
                </a:xfrm>
                <a:prstGeom prst="rect">
                  <a:avLst/>
                </a:prstGeom>
                <a:noFill/>
                <a:ln w="12700" cmpd="sng">
                  <a:solidFill>
                    <a:schemeClr val="tx1"/>
                  </a:solidFill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pPr algn="ctr"/>
                  <a:r>
                    <a:rPr lang="es-ES" sz="1100" b="1"/>
                    <a:t>C</a:t>
                  </a:r>
                </a:p>
              </xdr:txBody>
            </xdr:sp>
            <xdr:grpSp>
              <xdr:nvGrpSpPr>
                <xdr:cNvPr id="202" name="Grupo 201">
                  <a:extLst>
                    <a:ext uri="{FF2B5EF4-FFF2-40B4-BE49-F238E27FC236}">
                      <a16:creationId xmlns:a16="http://schemas.microsoft.com/office/drawing/2014/main" id="{8218DA57-CB35-CB16-AFC6-D41E9ED86BAC}"/>
                    </a:ext>
                  </a:extLst>
                </xdr:cNvPr>
                <xdr:cNvGrpSpPr/>
              </xdr:nvGrpSpPr>
              <xdr:grpSpPr>
                <a:xfrm>
                  <a:off x="7189471" y="1479778"/>
                  <a:ext cx="777289" cy="5455613"/>
                  <a:chOff x="7189471" y="1479778"/>
                  <a:chExt cx="777289" cy="5455613"/>
                </a:xfrm>
              </xdr:grpSpPr>
              <xdr:sp macro="" textlink="">
                <xdr:nvSpPr>
                  <xdr:cNvPr id="203" name="CuadroTexto 202">
                    <a:extLst>
                      <a:ext uri="{FF2B5EF4-FFF2-40B4-BE49-F238E27FC236}">
                        <a16:creationId xmlns:a16="http://schemas.microsoft.com/office/drawing/2014/main" id="{637E7FB6-83AC-66A0-ED73-0D9B68E9E6B3}"/>
                      </a:ext>
                    </a:extLst>
                  </xdr:cNvPr>
                  <xdr:cNvSpPr txBox="1"/>
                </xdr:nvSpPr>
                <xdr:spPr>
                  <a:xfrm>
                    <a:off x="7582727" y="1479778"/>
                    <a:ext cx="384033" cy="5454917"/>
                  </a:xfrm>
                  <a:prstGeom prst="rect">
                    <a:avLst/>
                  </a:prstGeom>
                  <a:noFill/>
                  <a:ln w="12700" cmpd="sng">
                    <a:solidFill>
                      <a:schemeClr val="tx1"/>
                    </a:solidFill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vert="vert" wrap="square" rtlCol="0" anchor="ctr" anchorCtr="0"/>
                  <a:lstStyle/>
                  <a:p>
                    <a:pPr algn="l"/>
                    <a:r>
                      <a:rPr lang="es-ES" sz="1100" b="1"/>
                      <a:t>O3</a:t>
                    </a:r>
                  </a:p>
                </xdr:txBody>
              </xdr:sp>
              <xdr:sp macro="" textlink="">
                <xdr:nvSpPr>
                  <xdr:cNvPr id="204" name="CuadroTexto 203">
                    <a:extLst>
                      <a:ext uri="{FF2B5EF4-FFF2-40B4-BE49-F238E27FC236}">
                        <a16:creationId xmlns:a16="http://schemas.microsoft.com/office/drawing/2014/main" id="{CA034BDE-04FF-1CCD-C898-ED1919BD9E1F}"/>
                      </a:ext>
                    </a:extLst>
                  </xdr:cNvPr>
                  <xdr:cNvSpPr txBox="1"/>
                </xdr:nvSpPr>
                <xdr:spPr>
                  <a:xfrm>
                    <a:off x="7189471" y="1480521"/>
                    <a:ext cx="392192" cy="5454870"/>
                  </a:xfrm>
                  <a:prstGeom prst="rect">
                    <a:avLst/>
                  </a:prstGeom>
                  <a:noFill/>
                  <a:ln w="12700" cmpd="sng">
                    <a:solidFill>
                      <a:schemeClr val="tx1"/>
                    </a:solidFill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vert="vert" wrap="square" rtlCol="0" anchor="t"/>
                  <a:lstStyle/>
                  <a:p>
                    <a:pPr algn="l"/>
                    <a:r>
                      <a:rPr lang="es-ES" sz="1100" b="1"/>
                      <a:t>O0</a:t>
                    </a:r>
                  </a:p>
                </xdr:txBody>
              </xdr:sp>
            </xdr:grpSp>
          </xdr:grpSp>
          <xdr:grpSp>
            <xdr:nvGrpSpPr>
              <xdr:cNvPr id="192" name="Grupo 191">
                <a:extLst>
                  <a:ext uri="{FF2B5EF4-FFF2-40B4-BE49-F238E27FC236}">
                    <a16:creationId xmlns:a16="http://schemas.microsoft.com/office/drawing/2014/main" id="{02144375-1BA6-E4FF-238A-4B48824DE802}"/>
                  </a:ext>
                </a:extLst>
              </xdr:cNvPr>
              <xdr:cNvGrpSpPr/>
            </xdr:nvGrpSpPr>
            <xdr:grpSpPr>
              <a:xfrm>
                <a:off x="7961524" y="1200150"/>
                <a:ext cx="779859" cy="5737261"/>
                <a:chOff x="7182175" y="1198981"/>
                <a:chExt cx="779859" cy="5737261"/>
              </a:xfrm>
            </xdr:grpSpPr>
            <xdr:sp macro="" textlink="">
              <xdr:nvSpPr>
                <xdr:cNvPr id="198" name="CuadroTexto 197">
                  <a:extLst>
                    <a:ext uri="{FF2B5EF4-FFF2-40B4-BE49-F238E27FC236}">
                      <a16:creationId xmlns:a16="http://schemas.microsoft.com/office/drawing/2014/main" id="{B08CB9D4-EED6-70D9-8981-6A810E95F635}"/>
                    </a:ext>
                  </a:extLst>
                </xdr:cNvPr>
                <xdr:cNvSpPr txBox="1"/>
              </xdr:nvSpPr>
              <xdr:spPr>
                <a:xfrm>
                  <a:off x="7182175" y="1198981"/>
                  <a:ext cx="779859" cy="5735219"/>
                </a:xfrm>
                <a:prstGeom prst="rect">
                  <a:avLst/>
                </a:prstGeom>
                <a:noFill/>
                <a:ln w="12700" cmpd="sng">
                  <a:solidFill>
                    <a:schemeClr val="tx1"/>
                  </a:solidFill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pPr algn="ctr"/>
                  <a:r>
                    <a:rPr lang="es-ES" sz="1100" b="1"/>
                    <a:t>Python</a:t>
                  </a:r>
                </a:p>
              </xdr:txBody>
            </xdr:sp>
            <xdr:sp macro="" textlink="">
              <xdr:nvSpPr>
                <xdr:cNvPr id="199" name="CuadroTexto 198">
                  <a:extLst>
                    <a:ext uri="{FF2B5EF4-FFF2-40B4-BE49-F238E27FC236}">
                      <a16:creationId xmlns:a16="http://schemas.microsoft.com/office/drawing/2014/main" id="{4025F7B6-E416-896D-80CF-DDB188AE2AEA}"/>
                    </a:ext>
                  </a:extLst>
                </xdr:cNvPr>
                <xdr:cNvSpPr txBox="1"/>
              </xdr:nvSpPr>
              <xdr:spPr>
                <a:xfrm>
                  <a:off x="7576146" y="1479778"/>
                  <a:ext cx="385548" cy="5456464"/>
                </a:xfrm>
                <a:prstGeom prst="rect">
                  <a:avLst/>
                </a:prstGeom>
                <a:noFill/>
                <a:ln w="12700" cmpd="sng">
                  <a:solidFill>
                    <a:schemeClr val="tx1"/>
                  </a:solidFill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vert="vert" wrap="square" rtlCol="0" anchor="ctr" anchorCtr="0"/>
                <a:lstStyle/>
                <a:p>
                  <a:pPr algn="l"/>
                  <a:r>
                    <a:rPr lang="es-ES" sz="1100" b="1"/>
                    <a:t>Nuitka</a:t>
                  </a:r>
                </a:p>
              </xdr:txBody>
            </xdr:sp>
            <xdr:sp macro="" textlink="">
              <xdr:nvSpPr>
                <xdr:cNvPr id="200" name="CuadroTexto 199">
                  <a:extLst>
                    <a:ext uri="{FF2B5EF4-FFF2-40B4-BE49-F238E27FC236}">
                      <a16:creationId xmlns:a16="http://schemas.microsoft.com/office/drawing/2014/main" id="{825DAA00-F21D-FCC5-5449-78DCDB1E07B7}"/>
                    </a:ext>
                  </a:extLst>
                </xdr:cNvPr>
                <xdr:cNvSpPr txBox="1"/>
              </xdr:nvSpPr>
              <xdr:spPr>
                <a:xfrm>
                  <a:off x="7182890" y="1478047"/>
                  <a:ext cx="392192" cy="5454870"/>
                </a:xfrm>
                <a:prstGeom prst="rect">
                  <a:avLst/>
                </a:prstGeom>
                <a:noFill/>
                <a:ln w="12700" cmpd="sng">
                  <a:solidFill>
                    <a:schemeClr val="tx1"/>
                  </a:solidFill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vert="vert" wrap="square" rtlCol="0" anchor="t"/>
                <a:lstStyle/>
                <a:p>
                  <a:pPr algn="l"/>
                  <a:r>
                    <a:rPr lang="es-ES" sz="1100" b="1"/>
                    <a:t>CPython</a:t>
                  </a:r>
                </a:p>
              </xdr:txBody>
            </xdr:sp>
          </xdr:grpSp>
          <xdr:grpSp>
            <xdr:nvGrpSpPr>
              <xdr:cNvPr id="193" name="Grupo 192">
                <a:extLst>
                  <a:ext uri="{FF2B5EF4-FFF2-40B4-BE49-F238E27FC236}">
                    <a16:creationId xmlns:a16="http://schemas.microsoft.com/office/drawing/2014/main" id="{70024289-E0D5-A73A-D848-7AFCDFB5D20F}"/>
                  </a:ext>
                </a:extLst>
              </xdr:cNvPr>
              <xdr:cNvGrpSpPr/>
            </xdr:nvGrpSpPr>
            <xdr:grpSpPr>
              <a:xfrm>
                <a:off x="8741518" y="1200911"/>
                <a:ext cx="776372" cy="5735518"/>
                <a:chOff x="7182175" y="1200724"/>
                <a:chExt cx="781330" cy="5735518"/>
              </a:xfrm>
            </xdr:grpSpPr>
            <xdr:sp macro="" textlink="">
              <xdr:nvSpPr>
                <xdr:cNvPr id="195" name="CuadroTexto 194">
                  <a:extLst>
                    <a:ext uri="{FF2B5EF4-FFF2-40B4-BE49-F238E27FC236}">
                      <a16:creationId xmlns:a16="http://schemas.microsoft.com/office/drawing/2014/main" id="{ACFD08A5-F73E-803A-57E4-82F5791F5A41}"/>
                    </a:ext>
                  </a:extLst>
                </xdr:cNvPr>
                <xdr:cNvSpPr txBox="1"/>
              </xdr:nvSpPr>
              <xdr:spPr>
                <a:xfrm>
                  <a:off x="7182175" y="1200724"/>
                  <a:ext cx="779859" cy="5733476"/>
                </a:xfrm>
                <a:prstGeom prst="rect">
                  <a:avLst/>
                </a:prstGeom>
                <a:noFill/>
                <a:ln w="12700" cmpd="sng">
                  <a:solidFill>
                    <a:schemeClr val="tx1"/>
                  </a:solidFill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pPr algn="ctr"/>
                  <a:r>
                    <a:rPr lang="es-ES" sz="1100" b="1"/>
                    <a:t>Java</a:t>
                  </a:r>
                </a:p>
              </xdr:txBody>
            </xdr:sp>
            <xdr:sp macro="" textlink="">
              <xdr:nvSpPr>
                <xdr:cNvPr id="196" name="CuadroTexto 195">
                  <a:extLst>
                    <a:ext uri="{FF2B5EF4-FFF2-40B4-BE49-F238E27FC236}">
                      <a16:creationId xmlns:a16="http://schemas.microsoft.com/office/drawing/2014/main" id="{B7C07298-B304-955E-5A2F-C2AAE0085EAC}"/>
                    </a:ext>
                  </a:extLst>
                </xdr:cNvPr>
                <xdr:cNvSpPr txBox="1"/>
              </xdr:nvSpPr>
              <xdr:spPr>
                <a:xfrm>
                  <a:off x="7576146" y="1479778"/>
                  <a:ext cx="387359" cy="5456464"/>
                </a:xfrm>
                <a:prstGeom prst="rect">
                  <a:avLst/>
                </a:prstGeom>
                <a:noFill/>
                <a:ln w="12700" cmpd="sng">
                  <a:solidFill>
                    <a:schemeClr val="tx1"/>
                  </a:solidFill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vert="vert" wrap="square" rtlCol="0" anchor="ctr" anchorCtr="0"/>
                <a:lstStyle/>
                <a:p>
                  <a:pPr algn="l"/>
                  <a:r>
                    <a:rPr lang="es-ES" sz="1100" b="1"/>
                    <a:t>JIT</a:t>
                  </a:r>
                  <a:r>
                    <a:rPr lang="es-ES" sz="1100" b="1" baseline="0"/>
                    <a:t> disabled</a:t>
                  </a:r>
                  <a:endParaRPr lang="es-ES" sz="1100" b="1"/>
                </a:p>
              </xdr:txBody>
            </xdr:sp>
            <xdr:sp macro="" textlink="">
              <xdr:nvSpPr>
                <xdr:cNvPr id="197" name="CuadroTexto 196">
                  <a:extLst>
                    <a:ext uri="{FF2B5EF4-FFF2-40B4-BE49-F238E27FC236}">
                      <a16:creationId xmlns:a16="http://schemas.microsoft.com/office/drawing/2014/main" id="{9DF06975-FEFA-D8D8-FBD0-DBC935537876}"/>
                    </a:ext>
                  </a:extLst>
                </xdr:cNvPr>
                <xdr:cNvSpPr txBox="1"/>
              </xdr:nvSpPr>
              <xdr:spPr>
                <a:xfrm>
                  <a:off x="7182890" y="1480521"/>
                  <a:ext cx="392192" cy="5454870"/>
                </a:xfrm>
                <a:prstGeom prst="rect">
                  <a:avLst/>
                </a:prstGeom>
                <a:noFill/>
                <a:ln w="12700" cmpd="sng">
                  <a:solidFill>
                    <a:schemeClr val="tx1"/>
                  </a:solidFill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vert="vert" wrap="square" rtlCol="0" anchor="t"/>
                <a:lstStyle/>
                <a:p>
                  <a:pPr algn="l"/>
                  <a:r>
                    <a:rPr lang="es-ES" sz="1100" b="1"/>
                    <a:t>JIT enabled</a:t>
                  </a:r>
                </a:p>
              </xdr:txBody>
            </xdr:sp>
          </xdr:grpSp>
          <xdr:sp macro="" textlink="">
            <xdr:nvSpPr>
              <xdr:cNvPr id="194" name="Rectángulo 193">
                <a:extLst>
                  <a:ext uri="{FF2B5EF4-FFF2-40B4-BE49-F238E27FC236}">
                    <a16:creationId xmlns:a16="http://schemas.microsoft.com/office/drawing/2014/main" id="{CD1F2FDE-921A-2087-524B-04EBEFE52A6C}"/>
                  </a:ext>
                </a:extLst>
              </xdr:cNvPr>
              <xdr:cNvSpPr/>
            </xdr:nvSpPr>
            <xdr:spPr>
              <a:xfrm>
                <a:off x="7183721" y="917409"/>
                <a:ext cx="2333625" cy="6017982"/>
              </a:xfrm>
              <a:prstGeom prst="rect">
                <a:avLst/>
              </a:prstGeom>
              <a:noFill/>
              <a:ln w="12700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s-ES" sz="1100"/>
              </a:p>
            </xdr:txBody>
          </xdr:sp>
        </xdr:grpSp>
      </xdr:grpSp>
      <xdr:grpSp>
        <xdr:nvGrpSpPr>
          <xdr:cNvPr id="222" name="Grupo 221">
            <a:extLst>
              <a:ext uri="{FF2B5EF4-FFF2-40B4-BE49-F238E27FC236}">
                <a16:creationId xmlns:a16="http://schemas.microsoft.com/office/drawing/2014/main" id="{5B9EA771-D836-4D64-973F-85129551E1B7}"/>
              </a:ext>
            </a:extLst>
          </xdr:cNvPr>
          <xdr:cNvGrpSpPr/>
        </xdr:nvGrpSpPr>
        <xdr:grpSpPr>
          <a:xfrm>
            <a:off x="11687723" y="914479"/>
            <a:ext cx="2472210" cy="6020002"/>
            <a:chOff x="7098583" y="917409"/>
            <a:chExt cx="2418627" cy="6020002"/>
          </a:xfrm>
        </xdr:grpSpPr>
        <xdr:sp macro="" textlink="">
          <xdr:nvSpPr>
            <xdr:cNvPr id="223" name="CuadroTexto 222">
              <a:extLst>
                <a:ext uri="{FF2B5EF4-FFF2-40B4-BE49-F238E27FC236}">
                  <a16:creationId xmlns:a16="http://schemas.microsoft.com/office/drawing/2014/main" id="{0B6C39DF-85E5-F73E-17BD-3F478CAC0AAD}"/>
                </a:ext>
              </a:extLst>
            </xdr:cNvPr>
            <xdr:cNvSpPr txBox="1"/>
          </xdr:nvSpPr>
          <xdr:spPr>
            <a:xfrm>
              <a:off x="7098583" y="927651"/>
              <a:ext cx="2344832" cy="195696"/>
            </a:xfrm>
            <a:prstGeom prst="rect">
              <a:avLst/>
            </a:prstGeom>
            <a:noFill/>
            <a:ln w="12700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s-ES" sz="1100" b="1"/>
                <a:t>T7</a:t>
              </a:r>
            </a:p>
          </xdr:txBody>
        </xdr:sp>
        <xdr:grpSp>
          <xdr:nvGrpSpPr>
            <xdr:cNvPr id="224" name="Grupo 223">
              <a:extLst>
                <a:ext uri="{FF2B5EF4-FFF2-40B4-BE49-F238E27FC236}">
                  <a16:creationId xmlns:a16="http://schemas.microsoft.com/office/drawing/2014/main" id="{DFA27EFE-961A-1A74-0D31-4B81ACB1BF09}"/>
                </a:ext>
              </a:extLst>
            </xdr:cNvPr>
            <xdr:cNvGrpSpPr/>
          </xdr:nvGrpSpPr>
          <xdr:grpSpPr>
            <a:xfrm>
              <a:off x="7183040" y="917409"/>
              <a:ext cx="2334170" cy="6020002"/>
              <a:chOff x="7183720" y="917409"/>
              <a:chExt cx="2334170" cy="6020002"/>
            </a:xfrm>
          </xdr:grpSpPr>
          <xdr:grpSp>
            <xdr:nvGrpSpPr>
              <xdr:cNvPr id="225" name="Grupo 224">
                <a:extLst>
                  <a:ext uri="{FF2B5EF4-FFF2-40B4-BE49-F238E27FC236}">
                    <a16:creationId xmlns:a16="http://schemas.microsoft.com/office/drawing/2014/main" id="{5E9810FA-01D9-3644-8B75-DE12638AD1FB}"/>
                  </a:ext>
                </a:extLst>
              </xdr:cNvPr>
              <xdr:cNvGrpSpPr/>
            </xdr:nvGrpSpPr>
            <xdr:grpSpPr>
              <a:xfrm>
                <a:off x="7183721" y="1200724"/>
                <a:ext cx="779859" cy="5734667"/>
                <a:chOff x="7188756" y="1200724"/>
                <a:chExt cx="779859" cy="5734667"/>
              </a:xfrm>
            </xdr:grpSpPr>
            <xdr:sp macro="" textlink="">
              <xdr:nvSpPr>
                <xdr:cNvPr id="235" name="CuadroTexto 234">
                  <a:extLst>
                    <a:ext uri="{FF2B5EF4-FFF2-40B4-BE49-F238E27FC236}">
                      <a16:creationId xmlns:a16="http://schemas.microsoft.com/office/drawing/2014/main" id="{27B5428E-3138-27D1-68F4-020BED60FCF9}"/>
                    </a:ext>
                  </a:extLst>
                </xdr:cNvPr>
                <xdr:cNvSpPr txBox="1"/>
              </xdr:nvSpPr>
              <xdr:spPr>
                <a:xfrm>
                  <a:off x="7188756" y="1200724"/>
                  <a:ext cx="779859" cy="5733476"/>
                </a:xfrm>
                <a:prstGeom prst="rect">
                  <a:avLst/>
                </a:prstGeom>
                <a:noFill/>
                <a:ln w="12700" cmpd="sng">
                  <a:solidFill>
                    <a:schemeClr val="tx1"/>
                  </a:solidFill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pPr algn="ctr"/>
                  <a:r>
                    <a:rPr lang="es-ES" sz="1100" b="1"/>
                    <a:t>C</a:t>
                  </a:r>
                </a:p>
              </xdr:txBody>
            </xdr:sp>
            <xdr:grpSp>
              <xdr:nvGrpSpPr>
                <xdr:cNvPr id="236" name="Grupo 235">
                  <a:extLst>
                    <a:ext uri="{FF2B5EF4-FFF2-40B4-BE49-F238E27FC236}">
                      <a16:creationId xmlns:a16="http://schemas.microsoft.com/office/drawing/2014/main" id="{A1269200-E6B8-24ED-5624-E5AFF81D2262}"/>
                    </a:ext>
                  </a:extLst>
                </xdr:cNvPr>
                <xdr:cNvGrpSpPr/>
              </xdr:nvGrpSpPr>
              <xdr:grpSpPr>
                <a:xfrm>
                  <a:off x="7189471" y="1479778"/>
                  <a:ext cx="777289" cy="5455613"/>
                  <a:chOff x="7189471" y="1479778"/>
                  <a:chExt cx="777289" cy="5455613"/>
                </a:xfrm>
              </xdr:grpSpPr>
              <xdr:sp macro="" textlink="">
                <xdr:nvSpPr>
                  <xdr:cNvPr id="237" name="CuadroTexto 236">
                    <a:extLst>
                      <a:ext uri="{FF2B5EF4-FFF2-40B4-BE49-F238E27FC236}">
                        <a16:creationId xmlns:a16="http://schemas.microsoft.com/office/drawing/2014/main" id="{34D4E907-961B-B9DE-971A-500277A68F11}"/>
                      </a:ext>
                    </a:extLst>
                  </xdr:cNvPr>
                  <xdr:cNvSpPr txBox="1"/>
                </xdr:nvSpPr>
                <xdr:spPr>
                  <a:xfrm>
                    <a:off x="7582727" y="1479778"/>
                    <a:ext cx="384033" cy="5454917"/>
                  </a:xfrm>
                  <a:prstGeom prst="rect">
                    <a:avLst/>
                  </a:prstGeom>
                  <a:noFill/>
                  <a:ln w="12700" cmpd="sng">
                    <a:solidFill>
                      <a:schemeClr val="tx1"/>
                    </a:solidFill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vert="vert" wrap="square" rtlCol="0" anchor="ctr" anchorCtr="0"/>
                  <a:lstStyle/>
                  <a:p>
                    <a:pPr algn="l"/>
                    <a:r>
                      <a:rPr lang="es-ES" sz="1100" b="1"/>
                      <a:t>O3</a:t>
                    </a:r>
                  </a:p>
                </xdr:txBody>
              </xdr:sp>
              <xdr:sp macro="" textlink="">
                <xdr:nvSpPr>
                  <xdr:cNvPr id="238" name="CuadroTexto 237">
                    <a:extLst>
                      <a:ext uri="{FF2B5EF4-FFF2-40B4-BE49-F238E27FC236}">
                        <a16:creationId xmlns:a16="http://schemas.microsoft.com/office/drawing/2014/main" id="{1C0E8656-C614-3EED-EC75-2C25ABCED715}"/>
                      </a:ext>
                    </a:extLst>
                  </xdr:cNvPr>
                  <xdr:cNvSpPr txBox="1"/>
                </xdr:nvSpPr>
                <xdr:spPr>
                  <a:xfrm>
                    <a:off x="7189471" y="1480521"/>
                    <a:ext cx="392192" cy="5454870"/>
                  </a:xfrm>
                  <a:prstGeom prst="rect">
                    <a:avLst/>
                  </a:prstGeom>
                  <a:noFill/>
                  <a:ln w="12700" cmpd="sng">
                    <a:solidFill>
                      <a:schemeClr val="tx1"/>
                    </a:solidFill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vert="vert" wrap="square" rtlCol="0" anchor="t"/>
                  <a:lstStyle/>
                  <a:p>
                    <a:pPr algn="l"/>
                    <a:r>
                      <a:rPr lang="es-ES" sz="1100" b="1"/>
                      <a:t>O0</a:t>
                    </a:r>
                  </a:p>
                </xdr:txBody>
              </xdr:sp>
            </xdr:grpSp>
          </xdr:grpSp>
          <xdr:grpSp>
            <xdr:nvGrpSpPr>
              <xdr:cNvPr id="226" name="Grupo 225">
                <a:extLst>
                  <a:ext uri="{FF2B5EF4-FFF2-40B4-BE49-F238E27FC236}">
                    <a16:creationId xmlns:a16="http://schemas.microsoft.com/office/drawing/2014/main" id="{E270C054-A3B4-C444-7087-EEF985AEAFA8}"/>
                  </a:ext>
                </a:extLst>
              </xdr:cNvPr>
              <xdr:cNvGrpSpPr/>
            </xdr:nvGrpSpPr>
            <xdr:grpSpPr>
              <a:xfrm>
                <a:off x="7961524" y="1200150"/>
                <a:ext cx="779859" cy="5737261"/>
                <a:chOff x="7182175" y="1198981"/>
                <a:chExt cx="779859" cy="5737261"/>
              </a:xfrm>
            </xdr:grpSpPr>
            <xdr:sp macro="" textlink="">
              <xdr:nvSpPr>
                <xdr:cNvPr id="232" name="CuadroTexto 231">
                  <a:extLst>
                    <a:ext uri="{FF2B5EF4-FFF2-40B4-BE49-F238E27FC236}">
                      <a16:creationId xmlns:a16="http://schemas.microsoft.com/office/drawing/2014/main" id="{AFB76CBB-B51C-37DD-ED17-965A8840D605}"/>
                    </a:ext>
                  </a:extLst>
                </xdr:cNvPr>
                <xdr:cNvSpPr txBox="1"/>
              </xdr:nvSpPr>
              <xdr:spPr>
                <a:xfrm>
                  <a:off x="7182175" y="1198981"/>
                  <a:ext cx="779859" cy="5735219"/>
                </a:xfrm>
                <a:prstGeom prst="rect">
                  <a:avLst/>
                </a:prstGeom>
                <a:noFill/>
                <a:ln w="12700" cmpd="sng">
                  <a:solidFill>
                    <a:schemeClr val="tx1"/>
                  </a:solidFill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pPr algn="ctr"/>
                  <a:r>
                    <a:rPr lang="es-ES" sz="1100" b="1"/>
                    <a:t>Python</a:t>
                  </a:r>
                </a:p>
              </xdr:txBody>
            </xdr:sp>
            <xdr:sp macro="" textlink="">
              <xdr:nvSpPr>
                <xdr:cNvPr id="233" name="CuadroTexto 232">
                  <a:extLst>
                    <a:ext uri="{FF2B5EF4-FFF2-40B4-BE49-F238E27FC236}">
                      <a16:creationId xmlns:a16="http://schemas.microsoft.com/office/drawing/2014/main" id="{E97E170A-2B9C-CD3D-BFB3-D57EC1C4C2FE}"/>
                    </a:ext>
                  </a:extLst>
                </xdr:cNvPr>
                <xdr:cNvSpPr txBox="1"/>
              </xdr:nvSpPr>
              <xdr:spPr>
                <a:xfrm>
                  <a:off x="7576146" y="1479778"/>
                  <a:ext cx="385548" cy="5456464"/>
                </a:xfrm>
                <a:prstGeom prst="rect">
                  <a:avLst/>
                </a:prstGeom>
                <a:noFill/>
                <a:ln w="12700" cmpd="sng">
                  <a:solidFill>
                    <a:schemeClr val="tx1"/>
                  </a:solidFill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vert="vert" wrap="square" rtlCol="0" anchor="ctr" anchorCtr="0"/>
                <a:lstStyle/>
                <a:p>
                  <a:pPr algn="l"/>
                  <a:r>
                    <a:rPr lang="es-ES" sz="1100" b="1"/>
                    <a:t>Nuitka</a:t>
                  </a:r>
                </a:p>
              </xdr:txBody>
            </xdr:sp>
            <xdr:sp macro="" textlink="">
              <xdr:nvSpPr>
                <xdr:cNvPr id="234" name="CuadroTexto 233">
                  <a:extLst>
                    <a:ext uri="{FF2B5EF4-FFF2-40B4-BE49-F238E27FC236}">
                      <a16:creationId xmlns:a16="http://schemas.microsoft.com/office/drawing/2014/main" id="{07BEDD28-476C-D8F2-5F22-88DE841D8E38}"/>
                    </a:ext>
                  </a:extLst>
                </xdr:cNvPr>
                <xdr:cNvSpPr txBox="1"/>
              </xdr:nvSpPr>
              <xdr:spPr>
                <a:xfrm>
                  <a:off x="7182890" y="1478047"/>
                  <a:ext cx="392192" cy="5454870"/>
                </a:xfrm>
                <a:prstGeom prst="rect">
                  <a:avLst/>
                </a:prstGeom>
                <a:noFill/>
                <a:ln w="12700" cmpd="sng">
                  <a:solidFill>
                    <a:schemeClr val="tx1"/>
                  </a:solidFill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vert="vert" wrap="square" rtlCol="0" anchor="t"/>
                <a:lstStyle/>
                <a:p>
                  <a:pPr algn="l"/>
                  <a:r>
                    <a:rPr lang="es-ES" sz="1100" b="1"/>
                    <a:t>CPython</a:t>
                  </a:r>
                </a:p>
              </xdr:txBody>
            </xdr:sp>
          </xdr:grpSp>
          <xdr:grpSp>
            <xdr:nvGrpSpPr>
              <xdr:cNvPr id="227" name="Grupo 226">
                <a:extLst>
                  <a:ext uri="{FF2B5EF4-FFF2-40B4-BE49-F238E27FC236}">
                    <a16:creationId xmlns:a16="http://schemas.microsoft.com/office/drawing/2014/main" id="{6086B4C4-31C2-23F3-A6D2-DB3043223236}"/>
                  </a:ext>
                </a:extLst>
              </xdr:cNvPr>
              <xdr:cNvGrpSpPr/>
            </xdr:nvGrpSpPr>
            <xdr:grpSpPr>
              <a:xfrm>
                <a:off x="8741518" y="1200911"/>
                <a:ext cx="776372" cy="5735518"/>
                <a:chOff x="7182175" y="1200724"/>
                <a:chExt cx="781330" cy="5735518"/>
              </a:xfrm>
            </xdr:grpSpPr>
            <xdr:sp macro="" textlink="">
              <xdr:nvSpPr>
                <xdr:cNvPr id="229" name="CuadroTexto 228">
                  <a:extLst>
                    <a:ext uri="{FF2B5EF4-FFF2-40B4-BE49-F238E27FC236}">
                      <a16:creationId xmlns:a16="http://schemas.microsoft.com/office/drawing/2014/main" id="{56AB1978-F484-576C-56CB-62AC91CDD4AC}"/>
                    </a:ext>
                  </a:extLst>
                </xdr:cNvPr>
                <xdr:cNvSpPr txBox="1"/>
              </xdr:nvSpPr>
              <xdr:spPr>
                <a:xfrm>
                  <a:off x="7182175" y="1200724"/>
                  <a:ext cx="779859" cy="5733476"/>
                </a:xfrm>
                <a:prstGeom prst="rect">
                  <a:avLst/>
                </a:prstGeom>
                <a:noFill/>
                <a:ln w="12700" cmpd="sng">
                  <a:solidFill>
                    <a:schemeClr val="tx1"/>
                  </a:solidFill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pPr algn="ctr"/>
                  <a:r>
                    <a:rPr lang="es-ES" sz="1100" b="1"/>
                    <a:t>Java</a:t>
                  </a:r>
                </a:p>
              </xdr:txBody>
            </xdr:sp>
            <xdr:sp macro="" textlink="">
              <xdr:nvSpPr>
                <xdr:cNvPr id="230" name="CuadroTexto 229">
                  <a:extLst>
                    <a:ext uri="{FF2B5EF4-FFF2-40B4-BE49-F238E27FC236}">
                      <a16:creationId xmlns:a16="http://schemas.microsoft.com/office/drawing/2014/main" id="{65355F2A-4A5B-700A-A393-D075AF1FE3F0}"/>
                    </a:ext>
                  </a:extLst>
                </xdr:cNvPr>
                <xdr:cNvSpPr txBox="1"/>
              </xdr:nvSpPr>
              <xdr:spPr>
                <a:xfrm>
                  <a:off x="7576146" y="1479778"/>
                  <a:ext cx="387359" cy="5456464"/>
                </a:xfrm>
                <a:prstGeom prst="rect">
                  <a:avLst/>
                </a:prstGeom>
                <a:noFill/>
                <a:ln w="12700" cmpd="sng">
                  <a:solidFill>
                    <a:schemeClr val="tx1"/>
                  </a:solidFill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vert="vert" wrap="square" rtlCol="0" anchor="ctr" anchorCtr="0"/>
                <a:lstStyle/>
                <a:p>
                  <a:pPr algn="l"/>
                  <a:r>
                    <a:rPr lang="es-ES" sz="1100" b="1"/>
                    <a:t>JIT</a:t>
                  </a:r>
                  <a:r>
                    <a:rPr lang="es-ES" sz="1100" b="1" baseline="0"/>
                    <a:t> disabled</a:t>
                  </a:r>
                  <a:endParaRPr lang="es-ES" sz="1100" b="1"/>
                </a:p>
              </xdr:txBody>
            </xdr:sp>
            <xdr:sp macro="" textlink="">
              <xdr:nvSpPr>
                <xdr:cNvPr id="231" name="CuadroTexto 230">
                  <a:extLst>
                    <a:ext uri="{FF2B5EF4-FFF2-40B4-BE49-F238E27FC236}">
                      <a16:creationId xmlns:a16="http://schemas.microsoft.com/office/drawing/2014/main" id="{CDAB78A0-A3DC-32AB-71A6-55727CFC557F}"/>
                    </a:ext>
                  </a:extLst>
                </xdr:cNvPr>
                <xdr:cNvSpPr txBox="1"/>
              </xdr:nvSpPr>
              <xdr:spPr>
                <a:xfrm>
                  <a:off x="7182890" y="1480521"/>
                  <a:ext cx="392192" cy="5454870"/>
                </a:xfrm>
                <a:prstGeom prst="rect">
                  <a:avLst/>
                </a:prstGeom>
                <a:noFill/>
                <a:ln w="12700" cmpd="sng">
                  <a:solidFill>
                    <a:schemeClr val="tx1"/>
                  </a:solidFill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vert="vert" wrap="square" rtlCol="0" anchor="t"/>
                <a:lstStyle/>
                <a:p>
                  <a:pPr algn="l"/>
                  <a:r>
                    <a:rPr lang="es-ES" sz="1100" b="1"/>
                    <a:t>JIT enabled</a:t>
                  </a:r>
                </a:p>
              </xdr:txBody>
            </xdr:sp>
          </xdr:grpSp>
          <xdr:sp macro="" textlink="">
            <xdr:nvSpPr>
              <xdr:cNvPr id="228" name="Rectángulo 227">
                <a:extLst>
                  <a:ext uri="{FF2B5EF4-FFF2-40B4-BE49-F238E27FC236}">
                    <a16:creationId xmlns:a16="http://schemas.microsoft.com/office/drawing/2014/main" id="{35D4E2B6-8859-9FFB-775E-BA8319657BD7}"/>
                  </a:ext>
                </a:extLst>
              </xdr:cNvPr>
              <xdr:cNvSpPr/>
            </xdr:nvSpPr>
            <xdr:spPr>
              <a:xfrm>
                <a:off x="7183720" y="917409"/>
                <a:ext cx="2333625" cy="6017982"/>
              </a:xfrm>
              <a:prstGeom prst="rect">
                <a:avLst/>
              </a:prstGeom>
              <a:noFill/>
              <a:ln w="12700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s-ES" sz="1100"/>
              </a:p>
            </xdr:txBody>
          </xdr:sp>
        </xdr:grpSp>
      </xdr:grpSp>
      <xdr:grpSp>
        <xdr:nvGrpSpPr>
          <xdr:cNvPr id="239" name="Grupo 238">
            <a:extLst>
              <a:ext uri="{FF2B5EF4-FFF2-40B4-BE49-F238E27FC236}">
                <a16:creationId xmlns:a16="http://schemas.microsoft.com/office/drawing/2014/main" id="{90FBB10D-2413-4B08-B9F5-068349618849}"/>
              </a:ext>
            </a:extLst>
          </xdr:cNvPr>
          <xdr:cNvGrpSpPr/>
        </xdr:nvGrpSpPr>
        <xdr:grpSpPr>
          <a:xfrm>
            <a:off x="14073460" y="915395"/>
            <a:ext cx="2463784" cy="6017982"/>
            <a:chOff x="7098583" y="919790"/>
            <a:chExt cx="2418627" cy="6017982"/>
          </a:xfrm>
        </xdr:grpSpPr>
        <xdr:sp macro="" textlink="">
          <xdr:nvSpPr>
            <xdr:cNvPr id="240" name="CuadroTexto 239">
              <a:extLst>
                <a:ext uri="{FF2B5EF4-FFF2-40B4-BE49-F238E27FC236}">
                  <a16:creationId xmlns:a16="http://schemas.microsoft.com/office/drawing/2014/main" id="{9C11F44A-778C-5112-F6FD-97C8154F6C83}"/>
                </a:ext>
              </a:extLst>
            </xdr:cNvPr>
            <xdr:cNvSpPr txBox="1"/>
          </xdr:nvSpPr>
          <xdr:spPr>
            <a:xfrm>
              <a:off x="7098583" y="927651"/>
              <a:ext cx="2344832" cy="195696"/>
            </a:xfrm>
            <a:prstGeom prst="rect">
              <a:avLst/>
            </a:prstGeom>
            <a:noFill/>
            <a:ln w="12700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s-ES" sz="1100" b="1"/>
                <a:t>T16</a:t>
              </a:r>
            </a:p>
          </xdr:txBody>
        </xdr:sp>
        <xdr:grpSp>
          <xdr:nvGrpSpPr>
            <xdr:cNvPr id="241" name="Grupo 240">
              <a:extLst>
                <a:ext uri="{FF2B5EF4-FFF2-40B4-BE49-F238E27FC236}">
                  <a16:creationId xmlns:a16="http://schemas.microsoft.com/office/drawing/2014/main" id="{D9E02D02-D70E-1368-EF26-7842A53CD7DA}"/>
                </a:ext>
              </a:extLst>
            </xdr:cNvPr>
            <xdr:cNvGrpSpPr/>
          </xdr:nvGrpSpPr>
          <xdr:grpSpPr>
            <a:xfrm>
              <a:off x="7183041" y="919790"/>
              <a:ext cx="2334169" cy="6017982"/>
              <a:chOff x="7183721" y="919790"/>
              <a:chExt cx="2334169" cy="6017982"/>
            </a:xfrm>
          </xdr:grpSpPr>
          <xdr:grpSp>
            <xdr:nvGrpSpPr>
              <xdr:cNvPr id="242" name="Grupo 241">
                <a:extLst>
                  <a:ext uri="{FF2B5EF4-FFF2-40B4-BE49-F238E27FC236}">
                    <a16:creationId xmlns:a16="http://schemas.microsoft.com/office/drawing/2014/main" id="{BDB66E3C-2720-5CE2-E549-2E730484DB38}"/>
                  </a:ext>
                </a:extLst>
              </xdr:cNvPr>
              <xdr:cNvGrpSpPr/>
            </xdr:nvGrpSpPr>
            <xdr:grpSpPr>
              <a:xfrm>
                <a:off x="7183721" y="1200724"/>
                <a:ext cx="779859" cy="5734667"/>
                <a:chOff x="7188756" y="1200724"/>
                <a:chExt cx="779859" cy="5734667"/>
              </a:xfrm>
            </xdr:grpSpPr>
            <xdr:sp macro="" textlink="">
              <xdr:nvSpPr>
                <xdr:cNvPr id="252" name="CuadroTexto 251">
                  <a:extLst>
                    <a:ext uri="{FF2B5EF4-FFF2-40B4-BE49-F238E27FC236}">
                      <a16:creationId xmlns:a16="http://schemas.microsoft.com/office/drawing/2014/main" id="{6C42B1D4-710D-28F4-F993-0A938BBA842E}"/>
                    </a:ext>
                  </a:extLst>
                </xdr:cNvPr>
                <xdr:cNvSpPr txBox="1"/>
              </xdr:nvSpPr>
              <xdr:spPr>
                <a:xfrm>
                  <a:off x="7188756" y="1200724"/>
                  <a:ext cx="779859" cy="5733476"/>
                </a:xfrm>
                <a:prstGeom prst="rect">
                  <a:avLst/>
                </a:prstGeom>
                <a:noFill/>
                <a:ln w="12700" cmpd="sng">
                  <a:solidFill>
                    <a:schemeClr val="tx1"/>
                  </a:solidFill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pPr algn="ctr"/>
                  <a:r>
                    <a:rPr lang="es-ES" sz="1100" b="1"/>
                    <a:t>C</a:t>
                  </a:r>
                </a:p>
              </xdr:txBody>
            </xdr:sp>
            <xdr:grpSp>
              <xdr:nvGrpSpPr>
                <xdr:cNvPr id="253" name="Grupo 252">
                  <a:extLst>
                    <a:ext uri="{FF2B5EF4-FFF2-40B4-BE49-F238E27FC236}">
                      <a16:creationId xmlns:a16="http://schemas.microsoft.com/office/drawing/2014/main" id="{FB4DA2D9-D4C6-AA6F-8A43-6337416CEADD}"/>
                    </a:ext>
                  </a:extLst>
                </xdr:cNvPr>
                <xdr:cNvGrpSpPr/>
              </xdr:nvGrpSpPr>
              <xdr:grpSpPr>
                <a:xfrm>
                  <a:off x="7189471" y="1479778"/>
                  <a:ext cx="777289" cy="5455613"/>
                  <a:chOff x="7189471" y="1479778"/>
                  <a:chExt cx="777289" cy="5455613"/>
                </a:xfrm>
              </xdr:grpSpPr>
              <xdr:sp macro="" textlink="">
                <xdr:nvSpPr>
                  <xdr:cNvPr id="254" name="CuadroTexto 253">
                    <a:extLst>
                      <a:ext uri="{FF2B5EF4-FFF2-40B4-BE49-F238E27FC236}">
                        <a16:creationId xmlns:a16="http://schemas.microsoft.com/office/drawing/2014/main" id="{22EC5B1C-8BF8-11ED-2628-AA5AA2C64605}"/>
                      </a:ext>
                    </a:extLst>
                  </xdr:cNvPr>
                  <xdr:cNvSpPr txBox="1"/>
                </xdr:nvSpPr>
                <xdr:spPr>
                  <a:xfrm>
                    <a:off x="7582727" y="1479778"/>
                    <a:ext cx="384033" cy="5454917"/>
                  </a:xfrm>
                  <a:prstGeom prst="rect">
                    <a:avLst/>
                  </a:prstGeom>
                  <a:noFill/>
                  <a:ln w="12700" cmpd="sng">
                    <a:solidFill>
                      <a:schemeClr val="tx1"/>
                    </a:solidFill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vert="vert" wrap="square" rtlCol="0" anchor="ctr" anchorCtr="0"/>
                  <a:lstStyle/>
                  <a:p>
                    <a:pPr algn="l"/>
                    <a:r>
                      <a:rPr lang="es-ES" sz="1100" b="1"/>
                      <a:t>O3</a:t>
                    </a:r>
                  </a:p>
                </xdr:txBody>
              </xdr:sp>
              <xdr:sp macro="" textlink="">
                <xdr:nvSpPr>
                  <xdr:cNvPr id="255" name="CuadroTexto 254">
                    <a:extLst>
                      <a:ext uri="{FF2B5EF4-FFF2-40B4-BE49-F238E27FC236}">
                        <a16:creationId xmlns:a16="http://schemas.microsoft.com/office/drawing/2014/main" id="{5DB498A1-D23D-486A-30EE-DAFB5DDBC006}"/>
                      </a:ext>
                    </a:extLst>
                  </xdr:cNvPr>
                  <xdr:cNvSpPr txBox="1"/>
                </xdr:nvSpPr>
                <xdr:spPr>
                  <a:xfrm>
                    <a:off x="7189471" y="1480521"/>
                    <a:ext cx="392192" cy="5454870"/>
                  </a:xfrm>
                  <a:prstGeom prst="rect">
                    <a:avLst/>
                  </a:prstGeom>
                  <a:noFill/>
                  <a:ln w="12700" cmpd="sng">
                    <a:solidFill>
                      <a:schemeClr val="tx1"/>
                    </a:solidFill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vert="vert" wrap="square" rtlCol="0" anchor="t"/>
                  <a:lstStyle/>
                  <a:p>
                    <a:pPr algn="l"/>
                    <a:r>
                      <a:rPr lang="es-ES" sz="1100" b="1"/>
                      <a:t>O0</a:t>
                    </a:r>
                  </a:p>
                </xdr:txBody>
              </xdr:sp>
            </xdr:grpSp>
          </xdr:grpSp>
          <xdr:grpSp>
            <xdr:nvGrpSpPr>
              <xdr:cNvPr id="243" name="Grupo 242">
                <a:extLst>
                  <a:ext uri="{FF2B5EF4-FFF2-40B4-BE49-F238E27FC236}">
                    <a16:creationId xmlns:a16="http://schemas.microsoft.com/office/drawing/2014/main" id="{CCBF4174-3596-3312-4A30-256B124D6036}"/>
                  </a:ext>
                </a:extLst>
              </xdr:cNvPr>
              <xdr:cNvGrpSpPr/>
            </xdr:nvGrpSpPr>
            <xdr:grpSpPr>
              <a:xfrm>
                <a:off x="7961524" y="1200150"/>
                <a:ext cx="779859" cy="5737261"/>
                <a:chOff x="7182175" y="1198981"/>
                <a:chExt cx="779859" cy="5737261"/>
              </a:xfrm>
            </xdr:grpSpPr>
            <xdr:sp macro="" textlink="">
              <xdr:nvSpPr>
                <xdr:cNvPr id="249" name="CuadroTexto 248">
                  <a:extLst>
                    <a:ext uri="{FF2B5EF4-FFF2-40B4-BE49-F238E27FC236}">
                      <a16:creationId xmlns:a16="http://schemas.microsoft.com/office/drawing/2014/main" id="{5BCCC494-0AD5-FB17-0268-04688AE64DD3}"/>
                    </a:ext>
                  </a:extLst>
                </xdr:cNvPr>
                <xdr:cNvSpPr txBox="1"/>
              </xdr:nvSpPr>
              <xdr:spPr>
                <a:xfrm>
                  <a:off x="7182175" y="1198981"/>
                  <a:ext cx="779859" cy="5735219"/>
                </a:xfrm>
                <a:prstGeom prst="rect">
                  <a:avLst/>
                </a:prstGeom>
                <a:noFill/>
                <a:ln w="12700" cmpd="sng">
                  <a:solidFill>
                    <a:schemeClr val="tx1"/>
                  </a:solidFill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pPr algn="ctr"/>
                  <a:r>
                    <a:rPr lang="es-ES" sz="1100" b="1"/>
                    <a:t>Python</a:t>
                  </a:r>
                </a:p>
              </xdr:txBody>
            </xdr:sp>
            <xdr:sp macro="" textlink="">
              <xdr:nvSpPr>
                <xdr:cNvPr id="250" name="CuadroTexto 249">
                  <a:extLst>
                    <a:ext uri="{FF2B5EF4-FFF2-40B4-BE49-F238E27FC236}">
                      <a16:creationId xmlns:a16="http://schemas.microsoft.com/office/drawing/2014/main" id="{2B1D6C1A-98F4-EA6F-DA17-4A0B071CE706}"/>
                    </a:ext>
                  </a:extLst>
                </xdr:cNvPr>
                <xdr:cNvSpPr txBox="1"/>
              </xdr:nvSpPr>
              <xdr:spPr>
                <a:xfrm>
                  <a:off x="7576146" y="1479778"/>
                  <a:ext cx="385548" cy="5456464"/>
                </a:xfrm>
                <a:prstGeom prst="rect">
                  <a:avLst/>
                </a:prstGeom>
                <a:noFill/>
                <a:ln w="12700" cmpd="sng">
                  <a:solidFill>
                    <a:schemeClr val="tx1"/>
                  </a:solidFill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vert="vert" wrap="square" rtlCol="0" anchor="ctr" anchorCtr="0"/>
                <a:lstStyle/>
                <a:p>
                  <a:pPr algn="l"/>
                  <a:r>
                    <a:rPr lang="es-ES" sz="1100" b="1"/>
                    <a:t>Nuitka</a:t>
                  </a:r>
                </a:p>
              </xdr:txBody>
            </xdr:sp>
            <xdr:sp macro="" textlink="">
              <xdr:nvSpPr>
                <xdr:cNvPr id="251" name="CuadroTexto 250">
                  <a:extLst>
                    <a:ext uri="{FF2B5EF4-FFF2-40B4-BE49-F238E27FC236}">
                      <a16:creationId xmlns:a16="http://schemas.microsoft.com/office/drawing/2014/main" id="{9EBD16DB-A809-18FD-9DAB-857FBAFDFE9C}"/>
                    </a:ext>
                  </a:extLst>
                </xdr:cNvPr>
                <xdr:cNvSpPr txBox="1"/>
              </xdr:nvSpPr>
              <xdr:spPr>
                <a:xfrm>
                  <a:off x="7182890" y="1478047"/>
                  <a:ext cx="392192" cy="5454870"/>
                </a:xfrm>
                <a:prstGeom prst="rect">
                  <a:avLst/>
                </a:prstGeom>
                <a:noFill/>
                <a:ln w="12700" cmpd="sng">
                  <a:solidFill>
                    <a:schemeClr val="tx1"/>
                  </a:solidFill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vert="vert" wrap="square" rtlCol="0" anchor="t"/>
                <a:lstStyle/>
                <a:p>
                  <a:pPr algn="l"/>
                  <a:r>
                    <a:rPr lang="es-ES" sz="1100" b="1"/>
                    <a:t>CPython</a:t>
                  </a:r>
                </a:p>
              </xdr:txBody>
            </xdr:sp>
          </xdr:grpSp>
          <xdr:grpSp>
            <xdr:nvGrpSpPr>
              <xdr:cNvPr id="244" name="Grupo 243">
                <a:extLst>
                  <a:ext uri="{FF2B5EF4-FFF2-40B4-BE49-F238E27FC236}">
                    <a16:creationId xmlns:a16="http://schemas.microsoft.com/office/drawing/2014/main" id="{B1BD245E-DBC6-71B7-8E90-D96DC8CA3154}"/>
                  </a:ext>
                </a:extLst>
              </xdr:cNvPr>
              <xdr:cNvGrpSpPr/>
            </xdr:nvGrpSpPr>
            <xdr:grpSpPr>
              <a:xfrm>
                <a:off x="8741518" y="1200911"/>
                <a:ext cx="776372" cy="5735518"/>
                <a:chOff x="7182175" y="1200724"/>
                <a:chExt cx="781330" cy="5735518"/>
              </a:xfrm>
            </xdr:grpSpPr>
            <xdr:sp macro="" textlink="">
              <xdr:nvSpPr>
                <xdr:cNvPr id="246" name="CuadroTexto 245">
                  <a:extLst>
                    <a:ext uri="{FF2B5EF4-FFF2-40B4-BE49-F238E27FC236}">
                      <a16:creationId xmlns:a16="http://schemas.microsoft.com/office/drawing/2014/main" id="{6F6FE35A-B7FE-F698-3F96-6AFE1DDBEDFA}"/>
                    </a:ext>
                  </a:extLst>
                </xdr:cNvPr>
                <xdr:cNvSpPr txBox="1"/>
              </xdr:nvSpPr>
              <xdr:spPr>
                <a:xfrm>
                  <a:off x="7182175" y="1200724"/>
                  <a:ext cx="779859" cy="5733476"/>
                </a:xfrm>
                <a:prstGeom prst="rect">
                  <a:avLst/>
                </a:prstGeom>
                <a:noFill/>
                <a:ln w="12700" cmpd="sng">
                  <a:solidFill>
                    <a:schemeClr val="tx1"/>
                  </a:solidFill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pPr algn="ctr"/>
                  <a:r>
                    <a:rPr lang="es-ES" sz="1100" b="1"/>
                    <a:t>Java</a:t>
                  </a:r>
                </a:p>
              </xdr:txBody>
            </xdr:sp>
            <xdr:sp macro="" textlink="">
              <xdr:nvSpPr>
                <xdr:cNvPr id="247" name="CuadroTexto 246">
                  <a:extLst>
                    <a:ext uri="{FF2B5EF4-FFF2-40B4-BE49-F238E27FC236}">
                      <a16:creationId xmlns:a16="http://schemas.microsoft.com/office/drawing/2014/main" id="{511ADCC4-0FAA-FE8B-60B6-DFAC8E2DB509}"/>
                    </a:ext>
                  </a:extLst>
                </xdr:cNvPr>
                <xdr:cNvSpPr txBox="1"/>
              </xdr:nvSpPr>
              <xdr:spPr>
                <a:xfrm>
                  <a:off x="7576146" y="1479778"/>
                  <a:ext cx="387359" cy="5456464"/>
                </a:xfrm>
                <a:prstGeom prst="rect">
                  <a:avLst/>
                </a:prstGeom>
                <a:noFill/>
                <a:ln w="12700" cmpd="sng">
                  <a:solidFill>
                    <a:schemeClr val="tx1"/>
                  </a:solidFill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vert="vert" wrap="square" rtlCol="0" anchor="ctr" anchorCtr="0"/>
                <a:lstStyle/>
                <a:p>
                  <a:pPr algn="l"/>
                  <a:r>
                    <a:rPr lang="es-ES" sz="1100" b="1"/>
                    <a:t>JIT</a:t>
                  </a:r>
                  <a:r>
                    <a:rPr lang="es-ES" sz="1100" b="1" baseline="0"/>
                    <a:t> disabled</a:t>
                  </a:r>
                  <a:endParaRPr lang="es-ES" sz="1100" b="1"/>
                </a:p>
              </xdr:txBody>
            </xdr:sp>
            <xdr:sp macro="" textlink="">
              <xdr:nvSpPr>
                <xdr:cNvPr id="248" name="CuadroTexto 247">
                  <a:extLst>
                    <a:ext uri="{FF2B5EF4-FFF2-40B4-BE49-F238E27FC236}">
                      <a16:creationId xmlns:a16="http://schemas.microsoft.com/office/drawing/2014/main" id="{BDD39A57-80EE-B8A2-3FDE-59604DC81916}"/>
                    </a:ext>
                  </a:extLst>
                </xdr:cNvPr>
                <xdr:cNvSpPr txBox="1"/>
              </xdr:nvSpPr>
              <xdr:spPr>
                <a:xfrm>
                  <a:off x="7182890" y="1480521"/>
                  <a:ext cx="392192" cy="5454870"/>
                </a:xfrm>
                <a:prstGeom prst="rect">
                  <a:avLst/>
                </a:prstGeom>
                <a:noFill/>
                <a:ln w="12700" cmpd="sng">
                  <a:solidFill>
                    <a:schemeClr val="tx1"/>
                  </a:solidFill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vert="vert" wrap="square" rtlCol="0" anchor="t"/>
                <a:lstStyle/>
                <a:p>
                  <a:pPr algn="l"/>
                  <a:r>
                    <a:rPr lang="es-ES" sz="1100" b="1"/>
                    <a:t>JIT enabled</a:t>
                  </a:r>
                </a:p>
              </xdr:txBody>
            </xdr:sp>
          </xdr:grpSp>
          <xdr:sp macro="" textlink="">
            <xdr:nvSpPr>
              <xdr:cNvPr id="245" name="Rectángulo 244">
                <a:extLst>
                  <a:ext uri="{FF2B5EF4-FFF2-40B4-BE49-F238E27FC236}">
                    <a16:creationId xmlns:a16="http://schemas.microsoft.com/office/drawing/2014/main" id="{D0D7512C-37AD-A9DE-1BE9-06A355C1B419}"/>
                  </a:ext>
                </a:extLst>
              </xdr:cNvPr>
              <xdr:cNvSpPr/>
            </xdr:nvSpPr>
            <xdr:spPr>
              <a:xfrm>
                <a:off x="7183721" y="919790"/>
                <a:ext cx="2333625" cy="6017982"/>
              </a:xfrm>
              <a:prstGeom prst="rect">
                <a:avLst/>
              </a:prstGeom>
              <a:noFill/>
              <a:ln w="12700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s-ES" sz="1100"/>
              </a:p>
            </xdr:txBody>
          </xdr:sp>
        </xdr:grpSp>
      </xdr:grpSp>
    </xdr:grp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585108</xdr:colOff>
      <xdr:row>42</xdr:row>
      <xdr:rowOff>176893</xdr:rowOff>
    </xdr:from>
    <xdr:to>
      <xdr:col>10</xdr:col>
      <xdr:colOff>271465</xdr:colOff>
      <xdr:row>65</xdr:row>
      <xdr:rowOff>48306</xdr:rowOff>
    </xdr:to>
    <xdr:graphicFrame macro="">
      <xdr:nvGraphicFramePr>
        <xdr:cNvPr id="8" name="Chart 1">
          <a:extLst>
            <a:ext uri="{FF2B5EF4-FFF2-40B4-BE49-F238E27FC236}">
              <a16:creationId xmlns:a16="http://schemas.microsoft.com/office/drawing/2014/main" id="{513547CD-51D4-4F2F-A903-BE72B9BA4E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1236890</xdr:colOff>
      <xdr:row>44</xdr:row>
      <xdr:rowOff>9524</xdr:rowOff>
    </xdr:from>
    <xdr:to>
      <xdr:col>15</xdr:col>
      <xdr:colOff>775608</xdr:colOff>
      <xdr:row>66</xdr:row>
      <xdr:rowOff>95250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6768F1E1-8A4C-5392-9098-84DF82559B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13</v>
    <v>3</v>
  </rv>
  <rv s="1">
    <v>13</v>
    <v>1</v>
  </rv>
</rvData>
</file>

<file path=xl/richData/rdrichvaluestructure.xml><?xml version="1.0" encoding="utf-8"?>
<rvStructures xmlns="http://schemas.microsoft.com/office/spreadsheetml/2017/richdata" count="2">
  <s t="_error">
    <k n="errorType" t="i"/>
    <k n="subType" t="i"/>
  </s>
  <s t="_error">
    <k n="errorType" t="i"/>
    <k n="propagated" t="b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0C58B11-0E59-499C-B313-F4B692DB8174}" name="Tabla12" displayName="Tabla12" ref="A1:E27" totalsRowShown="0" headerRowDxfId="242" dataDxfId="243" headerRowBorderDxfId="249" tableBorderDxfId="250">
  <autoFilter ref="A1:E27" xr:uid="{80C58B11-0E59-499C-B313-F4B692DB8174}"/>
  <tableColumns count="5">
    <tableColumn id="1" xr3:uid="{2D076B08-F1FB-46ED-8DCB-CB80022C2663}" name="Technique" dataDxfId="248"/>
    <tableColumn id="2" xr3:uid="{402377AC-460E-474F-859A-FC920772412D}" name="(1) data/memory structure" dataDxfId="247"/>
    <tableColumn id="3" xr3:uid="{A7CA26D8-D281-4881-98E5-062D88451736}" name="(2) algorithm implementation" dataDxfId="246"/>
    <tableColumn id="4" xr3:uid="{B13047AA-31E8-4E56-ACDA-B9FD9757A120}" name="(3) arithmetic/logic operations" dataDxfId="245"/>
    <tableColumn id="5" xr3:uid="{35739256-647C-4361-9D77-8CE647F626D9}" name="(4) loops" dataDxfId="24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F8998BD-7F6C-4838-A9DB-22D4F94A2361}" name="Tabla3" displayName="Tabla3" ref="A4:O31" totalsRowCount="1" headerRowDxfId="272" dataDxfId="271" tableBorderDxfId="270">
  <autoFilter ref="A4:O30" xr:uid="{CF8998BD-7F6C-4838-A9DB-22D4F94A2361}"/>
  <tableColumns count="15">
    <tableColumn id="1" xr3:uid="{342A3E15-1EDE-4223-9D62-94624469D5DA}" name="Technique" dataDxfId="269" totalsRowDxfId="241"/>
    <tableColumn id="2" xr3:uid="{D3B41B79-5EC0-40A8-92CA-6C0906EA63A7}" name="Impact (%)" dataDxfId="236" totalsRowDxfId="268">
      <calculatedColumnFormula array="1">INDIRECT("'C Impact of Technique'!Q" &amp; 3 + (ROW(A1)-1)*4)*100</calculatedColumnFormula>
    </tableColumn>
    <tableColumn id="3" xr3:uid="{A40B287C-7E07-4EDF-81E1-DDDA5E57E34D}" name="Impact (%)2" dataDxfId="235" totalsRowDxfId="267">
      <calculatedColumnFormula array="1">INDIRECT("'C Impact of Technique'!Q" &amp; 5 + (ROW(A1)-1)*4)*100</calculatedColumnFormula>
    </tableColumn>
    <tableColumn id="4" xr3:uid="{8ECB8DA5-FE35-4FBB-93C0-D3D027D6B4B0}" name="Impact (%)3" dataDxfId="234" totalsRowDxfId="266">
      <calculatedColumnFormula array="1">INDIRECT("'Python Impact of Technique'!V" &amp; 3 + (ROW(A1)-1)*4)*100</calculatedColumnFormula>
    </tableColumn>
    <tableColumn id="5" xr3:uid="{4C84EE44-E33D-4AC8-8E6D-CC11FC049B3F}" name="Impact (%)4" dataDxfId="233" totalsRowDxfId="265">
      <calculatedColumnFormula array="1">INDIRECT("'Python Impact of Technique'!V" &amp; 5 + (ROW(A1)-1)*4)*100</calculatedColumnFormula>
    </tableColumn>
    <tableColumn id="6" xr3:uid="{981978E5-DA21-4F0A-A9FE-FC17389172FD}" name="Impact (%)5" dataDxfId="232" totalsRowDxfId="264">
      <calculatedColumnFormula array="1">INDIRECT("'Java Impact of Technique'!W" &amp; 3 + (ROW(A1)-1)*4)*100</calculatedColumnFormula>
    </tableColumn>
    <tableColumn id="7" xr3:uid="{65C6A146-098B-48CB-904D-F845768C82A6}" name="Impact (%)6" dataDxfId="231" totalsRowDxfId="263">
      <calculatedColumnFormula array="1">INDIRECT("'Java Impact of Technique'!W" &amp; 5 + (ROW(A1)-1)*4)*100</calculatedColumnFormula>
    </tableColumn>
    <tableColumn id="8" xr3:uid="{5380A82B-71B7-46DF-9ED4-5E83B2F25B5A}" name="Average impact (%) C" dataDxfId="262" totalsRowDxfId="261">
      <calculatedColumnFormula>AVERAGE(Tabla3[[#This Row],[Impact (%)]:[Impact (%)2]])</calculatedColumnFormula>
    </tableColumn>
    <tableColumn id="9" xr3:uid="{D6AD9226-9B5B-4E61-9106-4139165CB3AB}" name="Average impact (%) Python" dataDxfId="260" totalsRowDxfId="259">
      <calculatedColumnFormula>AVERAGE(Tabla3[[#This Row],[Impact (%)3]:[Impact (%)4]])</calculatedColumnFormula>
    </tableColumn>
    <tableColumn id="10" xr3:uid="{EC58CFEE-5B37-486F-9167-4C09A9DAE430}" name="Average impact (%) Java" dataDxfId="258" totalsRowDxfId="257">
      <calculatedColumnFormula>AVERAGE(Tabla3[[#This Row],[Impact (%)5]:[Impact (%)6]])</calculatedColumnFormula>
    </tableColumn>
    <tableColumn id="11" xr3:uid="{1637FA69-D79B-446F-AA46-68A8B825D050}" name="Global impact (%)" totalsRowLabel="Total" dataDxfId="256" totalsRowDxfId="255">
      <calculatedColumnFormula>AVERAGE(Tabla3[[#This Row],[Average impact (%) C]:[Average impact (%) Java]])</calculatedColumnFormula>
    </tableColumn>
    <tableColumn id="12" xr3:uid="{2ED75652-D8D9-4461-914A-71CA02DF0DBB}" name="(1) data/memory structure" totalsRowFunction="custom" dataDxfId="254" totalsRowDxfId="240">
      <totalsRowFormula>AVERAGEIF(Tabla3[(1) data/memory structure],"x",Tabla3[Global impact (%)])</totalsRowFormula>
    </tableColumn>
    <tableColumn id="13" xr3:uid="{A6AD7EBC-FEE7-4231-A637-39524182F477}" name="(2) algorithm implementation" totalsRowFunction="custom" dataDxfId="253" totalsRowDxfId="239">
      <totalsRowFormula>AVERAGEIF(Tabla3[(2) algorithm implementation],"x",Tabla3[Global impact (%)])</totalsRowFormula>
    </tableColumn>
    <tableColumn id="14" xr3:uid="{1B36E3E1-866D-4597-93BE-669F70ECB399}" name="(3) arithmetic/logic operations" totalsRowFunction="custom" dataDxfId="252" totalsRowDxfId="238">
      <totalsRowFormula>AVERAGEIF(Tabla3[(3) arithmetic/logic operations],"x",Tabla3[Global impact (%)])</totalsRowFormula>
    </tableColumn>
    <tableColumn id="15" xr3:uid="{F66AD5C2-8BE9-45A9-9790-F17D974C2497}" name="(4) loops" totalsRowFunction="custom" dataDxfId="251" totalsRowDxfId="237">
      <totalsRowFormula>AVERAGEIF(Tabla3[(4) loops],"x",Tabla3[Global impact (%)])</totalsRow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Yu Gothic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Yu Gothic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Yu Gothic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Yu Gothic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3DEAF-4F77-4B61-B93A-6848BF9BE938}">
  <dimension ref="A1:E27"/>
  <sheetViews>
    <sheetView zoomScale="115" zoomScaleNormal="115" workbookViewId="0">
      <selection activeCell="B32" sqref="B32"/>
    </sheetView>
  </sheetViews>
  <sheetFormatPr baseColWidth="10" defaultColWidth="11.42578125" defaultRowHeight="15" x14ac:dyDescent="0.25"/>
  <cols>
    <col min="1" max="1" width="15.5703125" customWidth="1"/>
    <col min="2" max="2" width="32" customWidth="1"/>
    <col min="3" max="3" width="35.28515625" customWidth="1"/>
    <col min="4" max="4" width="37.28515625" customWidth="1"/>
    <col min="5" max="5" width="13.28515625" customWidth="1"/>
  </cols>
  <sheetData>
    <row r="1" spans="1:5" x14ac:dyDescent="0.25">
      <c r="A1" s="136" t="s">
        <v>97</v>
      </c>
      <c r="B1" s="137" t="s">
        <v>201</v>
      </c>
      <c r="C1" s="137" t="s">
        <v>202</v>
      </c>
      <c r="D1" s="137" t="s">
        <v>204</v>
      </c>
      <c r="E1" s="138" t="s">
        <v>203</v>
      </c>
    </row>
    <row r="2" spans="1:5" x14ac:dyDescent="0.25">
      <c r="A2" s="129" t="s">
        <v>150</v>
      </c>
      <c r="B2" s="127"/>
      <c r="C2" s="127"/>
      <c r="D2" s="127"/>
      <c r="E2" s="132" t="s">
        <v>125</v>
      </c>
    </row>
    <row r="3" spans="1:5" x14ac:dyDescent="0.25">
      <c r="A3" s="130" t="s">
        <v>151</v>
      </c>
      <c r="B3" s="128"/>
      <c r="C3" s="128" t="s">
        <v>125</v>
      </c>
      <c r="D3" s="128"/>
      <c r="E3" s="133"/>
    </row>
    <row r="4" spans="1:5" x14ac:dyDescent="0.25">
      <c r="A4" s="131" t="s">
        <v>152</v>
      </c>
      <c r="B4" s="127" t="s">
        <v>125</v>
      </c>
      <c r="C4" s="127" t="s">
        <v>125</v>
      </c>
      <c r="D4" s="127"/>
      <c r="E4" s="132"/>
    </row>
    <row r="5" spans="1:5" x14ac:dyDescent="0.25">
      <c r="A5" s="130" t="s">
        <v>154</v>
      </c>
      <c r="B5" s="128" t="s">
        <v>125</v>
      </c>
      <c r="C5" s="128" t="s">
        <v>125</v>
      </c>
      <c r="D5" s="128"/>
      <c r="E5" s="133"/>
    </row>
    <row r="6" spans="1:5" x14ac:dyDescent="0.25">
      <c r="A6" s="131" t="s">
        <v>153</v>
      </c>
      <c r="B6" s="127"/>
      <c r="C6" s="127" t="s">
        <v>125</v>
      </c>
      <c r="D6" s="127"/>
      <c r="E6" s="132"/>
    </row>
    <row r="7" spans="1:5" x14ac:dyDescent="0.25">
      <c r="A7" s="130" t="s">
        <v>19</v>
      </c>
      <c r="B7" s="128"/>
      <c r="C7" s="128" t="s">
        <v>125</v>
      </c>
      <c r="D7" s="128"/>
      <c r="E7" s="133" t="s">
        <v>125</v>
      </c>
    </row>
    <row r="8" spans="1:5" x14ac:dyDescent="0.25">
      <c r="A8" s="131" t="s">
        <v>21</v>
      </c>
      <c r="B8" s="127" t="s">
        <v>125</v>
      </c>
      <c r="C8" s="127"/>
      <c r="D8" s="127"/>
      <c r="E8" s="132" t="s">
        <v>125</v>
      </c>
    </row>
    <row r="9" spans="1:5" x14ac:dyDescent="0.25">
      <c r="A9" s="130" t="s">
        <v>23</v>
      </c>
      <c r="B9" s="128"/>
      <c r="C9" s="128" t="s">
        <v>125</v>
      </c>
      <c r="D9" s="128"/>
      <c r="E9" s="133"/>
    </row>
    <row r="10" spans="1:5" x14ac:dyDescent="0.25">
      <c r="A10" s="131" t="s">
        <v>25</v>
      </c>
      <c r="B10" s="127" t="s">
        <v>125</v>
      </c>
      <c r="C10" s="127"/>
      <c r="D10" s="127"/>
      <c r="E10" s="132" t="s">
        <v>125</v>
      </c>
    </row>
    <row r="11" spans="1:5" x14ac:dyDescent="0.25">
      <c r="A11" s="130" t="s">
        <v>31</v>
      </c>
      <c r="B11" s="128"/>
      <c r="C11" s="128"/>
      <c r="D11" s="128" t="s">
        <v>125</v>
      </c>
      <c r="E11" s="133"/>
    </row>
    <row r="12" spans="1:5" x14ac:dyDescent="0.25">
      <c r="A12" s="131" t="s">
        <v>33</v>
      </c>
      <c r="B12" s="127"/>
      <c r="C12" s="127"/>
      <c r="D12" s="127" t="s">
        <v>125</v>
      </c>
      <c r="E12" s="132"/>
    </row>
    <row r="13" spans="1:5" x14ac:dyDescent="0.25">
      <c r="A13" s="130" t="s">
        <v>37</v>
      </c>
      <c r="B13" s="128"/>
      <c r="C13" s="128" t="s">
        <v>125</v>
      </c>
      <c r="D13" s="128"/>
      <c r="E13" s="133" t="s">
        <v>125</v>
      </c>
    </row>
    <row r="14" spans="1:5" x14ac:dyDescent="0.25">
      <c r="A14" s="131" t="s">
        <v>39</v>
      </c>
      <c r="B14" s="127"/>
      <c r="C14" s="127" t="s">
        <v>125</v>
      </c>
      <c r="D14" s="127"/>
      <c r="E14" s="132" t="s">
        <v>125</v>
      </c>
    </row>
    <row r="15" spans="1:5" x14ac:dyDescent="0.25">
      <c r="A15" s="130" t="s">
        <v>49</v>
      </c>
      <c r="B15" s="128"/>
      <c r="C15" s="128" t="s">
        <v>125</v>
      </c>
      <c r="D15" s="128"/>
      <c r="E15" s="133" t="s">
        <v>125</v>
      </c>
    </row>
    <row r="16" spans="1:5" x14ac:dyDescent="0.25">
      <c r="A16" s="131" t="s">
        <v>51</v>
      </c>
      <c r="B16" s="127"/>
      <c r="C16" s="127" t="s">
        <v>125</v>
      </c>
      <c r="D16" s="127"/>
      <c r="E16" s="132" t="s">
        <v>125</v>
      </c>
    </row>
    <row r="17" spans="1:5" x14ac:dyDescent="0.25">
      <c r="A17" s="130" t="s">
        <v>55</v>
      </c>
      <c r="B17" s="128"/>
      <c r="C17" s="128"/>
      <c r="D17" s="128"/>
      <c r="E17" s="134" t="s">
        <v>125</v>
      </c>
    </row>
    <row r="18" spans="1:5" x14ac:dyDescent="0.25">
      <c r="A18" s="131" t="s">
        <v>57</v>
      </c>
      <c r="B18" s="127"/>
      <c r="C18" s="127"/>
      <c r="D18" s="127" t="s">
        <v>125</v>
      </c>
      <c r="E18" s="135"/>
    </row>
    <row r="19" spans="1:5" x14ac:dyDescent="0.25">
      <c r="A19" s="130" t="s">
        <v>61</v>
      </c>
      <c r="B19" s="128"/>
      <c r="C19" s="128" t="s">
        <v>125</v>
      </c>
      <c r="D19" s="128"/>
      <c r="E19" s="134"/>
    </row>
    <row r="20" spans="1:5" x14ac:dyDescent="0.25">
      <c r="A20" s="131" t="s">
        <v>63</v>
      </c>
      <c r="B20" s="127"/>
      <c r="C20" s="127" t="s">
        <v>125</v>
      </c>
      <c r="D20" s="127"/>
      <c r="E20" s="135"/>
    </row>
    <row r="21" spans="1:5" x14ac:dyDescent="0.25">
      <c r="A21" s="130" t="s">
        <v>65</v>
      </c>
      <c r="B21" s="128"/>
      <c r="C21" s="128" t="s">
        <v>125</v>
      </c>
      <c r="D21" s="128"/>
      <c r="E21" s="134"/>
    </row>
    <row r="22" spans="1:5" x14ac:dyDescent="0.25">
      <c r="A22" s="131" t="s">
        <v>71</v>
      </c>
      <c r="B22" s="127"/>
      <c r="C22" s="127"/>
      <c r="D22" s="127"/>
      <c r="E22" s="135" t="s">
        <v>125</v>
      </c>
    </row>
    <row r="23" spans="1:5" x14ac:dyDescent="0.25">
      <c r="A23" s="130" t="s">
        <v>79</v>
      </c>
      <c r="B23" s="128"/>
      <c r="C23" s="128"/>
      <c r="D23" s="128"/>
      <c r="E23" s="134" t="s">
        <v>125</v>
      </c>
    </row>
    <row r="24" spans="1:5" x14ac:dyDescent="0.25">
      <c r="A24" s="131" t="s">
        <v>87</v>
      </c>
      <c r="B24" s="127"/>
      <c r="C24" s="127"/>
      <c r="D24" s="127" t="s">
        <v>125</v>
      </c>
      <c r="E24" s="135"/>
    </row>
    <row r="25" spans="1:5" x14ac:dyDescent="0.25">
      <c r="A25" s="130" t="s">
        <v>91</v>
      </c>
      <c r="B25" s="128"/>
      <c r="C25" s="128" t="s">
        <v>125</v>
      </c>
      <c r="D25" s="128"/>
      <c r="E25" s="134"/>
    </row>
    <row r="26" spans="1:5" x14ac:dyDescent="0.25">
      <c r="A26" s="131" t="s">
        <v>93</v>
      </c>
      <c r="B26" s="127"/>
      <c r="C26" s="127" t="s">
        <v>125</v>
      </c>
      <c r="D26" s="127"/>
      <c r="E26" s="135"/>
    </row>
    <row r="27" spans="1:5" x14ac:dyDescent="0.25">
      <c r="A27" s="139" t="s">
        <v>95</v>
      </c>
      <c r="B27" s="140"/>
      <c r="C27" s="140" t="s">
        <v>125</v>
      </c>
      <c r="D27" s="140"/>
      <c r="E27" s="14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0E3A9-095A-417D-A4EB-08ACCC288A73}">
  <dimension ref="A1:E50"/>
  <sheetViews>
    <sheetView zoomScale="85" zoomScaleNormal="85" workbookViewId="0">
      <selection activeCell="B16" sqref="B16"/>
    </sheetView>
  </sheetViews>
  <sheetFormatPr baseColWidth="10" defaultColWidth="11.42578125" defaultRowHeight="15" x14ac:dyDescent="0.25"/>
  <cols>
    <col min="2" max="2" width="47" bestFit="1" customWidth="1"/>
    <col min="3" max="3" width="22.7109375" customWidth="1"/>
    <col min="4" max="4" width="101.28515625" bestFit="1" customWidth="1"/>
    <col min="5" max="5" width="74.28515625" bestFit="1" customWidth="1"/>
  </cols>
  <sheetData>
    <row r="1" spans="1:5" x14ac:dyDescent="0.25">
      <c r="A1" s="89" t="s">
        <v>0</v>
      </c>
      <c r="B1" s="89" t="s">
        <v>142</v>
      </c>
      <c r="C1" s="91" t="s">
        <v>124</v>
      </c>
      <c r="D1" s="91"/>
      <c r="E1" s="91"/>
    </row>
    <row r="2" spans="1:5" x14ac:dyDescent="0.25">
      <c r="A2" s="90"/>
      <c r="B2" s="90"/>
      <c r="C2" s="23" t="s">
        <v>122</v>
      </c>
      <c r="D2" s="25" t="s">
        <v>123</v>
      </c>
      <c r="E2" s="25" t="s">
        <v>181</v>
      </c>
    </row>
    <row r="3" spans="1:5" x14ac:dyDescent="0.25">
      <c r="A3" s="9" t="s">
        <v>1</v>
      </c>
      <c r="B3" s="10" t="s">
        <v>2</v>
      </c>
      <c r="C3" s="74" t="s">
        <v>125</v>
      </c>
      <c r="D3" s="74" t="s">
        <v>139</v>
      </c>
      <c r="E3" s="74" t="s">
        <v>139</v>
      </c>
    </row>
    <row r="4" spans="1:5" x14ac:dyDescent="0.25">
      <c r="A4" s="11" t="s">
        <v>3</v>
      </c>
      <c r="B4" s="12" t="s">
        <v>4</v>
      </c>
      <c r="C4" s="74" t="s">
        <v>125</v>
      </c>
      <c r="D4" s="74" t="s">
        <v>141</v>
      </c>
      <c r="E4" s="74" t="s">
        <v>141</v>
      </c>
    </row>
    <row r="5" spans="1:5" x14ac:dyDescent="0.25">
      <c r="A5" s="11" t="s">
        <v>5</v>
      </c>
      <c r="B5" s="12" t="s">
        <v>6</v>
      </c>
      <c r="C5" s="74" t="s">
        <v>125</v>
      </c>
      <c r="D5" s="74" t="s">
        <v>140</v>
      </c>
      <c r="E5" s="74" t="s">
        <v>140</v>
      </c>
    </row>
    <row r="6" spans="1:5" x14ac:dyDescent="0.25">
      <c r="A6" s="11" t="s">
        <v>7</v>
      </c>
      <c r="B6" s="12" t="s">
        <v>8</v>
      </c>
      <c r="C6" s="74" t="s">
        <v>125</v>
      </c>
      <c r="D6" s="74" t="s">
        <v>125</v>
      </c>
      <c r="E6" s="4" t="s">
        <v>125</v>
      </c>
    </row>
    <row r="7" spans="1:5" x14ac:dyDescent="0.25">
      <c r="A7" s="11" t="s">
        <v>9</v>
      </c>
      <c r="B7" s="12" t="s">
        <v>10</v>
      </c>
      <c r="C7" s="74" t="s">
        <v>125</v>
      </c>
      <c r="D7" s="74" t="s">
        <v>125</v>
      </c>
      <c r="E7" s="4" t="s">
        <v>125</v>
      </c>
    </row>
    <row r="8" spans="1:5" x14ac:dyDescent="0.25">
      <c r="A8" s="11" t="s">
        <v>11</v>
      </c>
      <c r="B8" s="12" t="s">
        <v>12</v>
      </c>
      <c r="C8" s="74" t="s">
        <v>125</v>
      </c>
      <c r="D8" s="74" t="s">
        <v>138</v>
      </c>
      <c r="E8" s="74" t="s">
        <v>138</v>
      </c>
    </row>
    <row r="9" spans="1:5" x14ac:dyDescent="0.25">
      <c r="A9" s="11" t="s">
        <v>13</v>
      </c>
      <c r="B9" s="12" t="s">
        <v>14</v>
      </c>
      <c r="C9" s="74" t="s">
        <v>125</v>
      </c>
      <c r="D9" s="74" t="s">
        <v>125</v>
      </c>
      <c r="E9" s="4" t="s">
        <v>125</v>
      </c>
    </row>
    <row r="10" spans="1:5" x14ac:dyDescent="0.25">
      <c r="A10" s="11" t="s">
        <v>15</v>
      </c>
      <c r="B10" s="12" t="s">
        <v>16</v>
      </c>
      <c r="C10" s="74" t="s">
        <v>125</v>
      </c>
      <c r="D10" s="74" t="s">
        <v>125</v>
      </c>
      <c r="E10" s="4" t="s">
        <v>125</v>
      </c>
    </row>
    <row r="11" spans="1:5" x14ac:dyDescent="0.25">
      <c r="A11" s="11" t="s">
        <v>17</v>
      </c>
      <c r="B11" s="12" t="s">
        <v>18</v>
      </c>
      <c r="C11" s="74" t="s">
        <v>125</v>
      </c>
      <c r="D11" s="74" t="s">
        <v>125</v>
      </c>
      <c r="E11" s="4" t="s">
        <v>125</v>
      </c>
    </row>
    <row r="12" spans="1:5" x14ac:dyDescent="0.25">
      <c r="A12" s="11" t="s">
        <v>19</v>
      </c>
      <c r="B12" s="12" t="s">
        <v>20</v>
      </c>
      <c r="C12" s="74" t="s">
        <v>125</v>
      </c>
      <c r="D12" s="74" t="s">
        <v>125</v>
      </c>
      <c r="E12" s="4" t="s">
        <v>125</v>
      </c>
    </row>
    <row r="13" spans="1:5" x14ac:dyDescent="0.25">
      <c r="A13" s="11" t="s">
        <v>21</v>
      </c>
      <c r="B13" s="12" t="s">
        <v>22</v>
      </c>
      <c r="C13" s="74" t="s">
        <v>125</v>
      </c>
      <c r="D13" s="74" t="s">
        <v>125</v>
      </c>
      <c r="E13" s="4" t="s">
        <v>125</v>
      </c>
    </row>
    <row r="14" spans="1:5" x14ac:dyDescent="0.25">
      <c r="A14" s="11" t="s">
        <v>23</v>
      </c>
      <c r="B14" s="12" t="s">
        <v>24</v>
      </c>
      <c r="C14" s="74" t="s">
        <v>125</v>
      </c>
      <c r="D14" s="74" t="s">
        <v>125</v>
      </c>
      <c r="E14" s="4" t="s">
        <v>125</v>
      </c>
    </row>
    <row r="15" spans="1:5" x14ac:dyDescent="0.25">
      <c r="A15" s="11" t="s">
        <v>25</v>
      </c>
      <c r="B15" s="12" t="s">
        <v>26</v>
      </c>
      <c r="C15" s="74" t="s">
        <v>125</v>
      </c>
      <c r="D15" s="74" t="s">
        <v>125</v>
      </c>
      <c r="E15" s="4" t="s">
        <v>125</v>
      </c>
    </row>
    <row r="16" spans="1:5" x14ac:dyDescent="0.25">
      <c r="A16" s="11" t="s">
        <v>27</v>
      </c>
      <c r="B16" s="12" t="s">
        <v>28</v>
      </c>
      <c r="C16" s="74" t="s">
        <v>125</v>
      </c>
      <c r="D16" s="74" t="s">
        <v>136</v>
      </c>
      <c r="E16" s="4" t="s">
        <v>125</v>
      </c>
    </row>
    <row r="17" spans="1:5" x14ac:dyDescent="0.25">
      <c r="A17" s="11" t="s">
        <v>29</v>
      </c>
      <c r="B17" s="12" t="s">
        <v>30</v>
      </c>
      <c r="C17" s="74" t="s">
        <v>125</v>
      </c>
      <c r="D17" s="74" t="s">
        <v>137</v>
      </c>
      <c r="E17" s="4" t="s">
        <v>125</v>
      </c>
    </row>
    <row r="18" spans="1:5" x14ac:dyDescent="0.25">
      <c r="A18" s="11" t="s">
        <v>31</v>
      </c>
      <c r="B18" s="12" t="s">
        <v>32</v>
      </c>
      <c r="C18" s="74" t="s">
        <v>125</v>
      </c>
      <c r="D18" s="74" t="s">
        <v>125</v>
      </c>
      <c r="E18" s="4" t="s">
        <v>125</v>
      </c>
    </row>
    <row r="19" spans="1:5" x14ac:dyDescent="0.25">
      <c r="A19" s="11" t="s">
        <v>33</v>
      </c>
      <c r="B19" s="12" t="s">
        <v>34</v>
      </c>
      <c r="C19" s="74" t="s">
        <v>125</v>
      </c>
      <c r="D19" s="74" t="s">
        <v>125</v>
      </c>
      <c r="E19" s="4" t="s">
        <v>125</v>
      </c>
    </row>
    <row r="20" spans="1:5" x14ac:dyDescent="0.25">
      <c r="A20" s="11" t="s">
        <v>35</v>
      </c>
      <c r="B20" s="12" t="s">
        <v>36</v>
      </c>
      <c r="C20" s="74" t="s">
        <v>125</v>
      </c>
      <c r="D20" s="74" t="s">
        <v>225</v>
      </c>
      <c r="E20" s="4" t="s">
        <v>225</v>
      </c>
    </row>
    <row r="21" spans="1:5" x14ac:dyDescent="0.25">
      <c r="A21" s="11" t="s">
        <v>37</v>
      </c>
      <c r="B21" s="12" t="s">
        <v>38</v>
      </c>
      <c r="C21" s="74" t="s">
        <v>125</v>
      </c>
      <c r="D21" s="74" t="s">
        <v>125</v>
      </c>
      <c r="E21" s="4" t="s">
        <v>125</v>
      </c>
    </row>
    <row r="22" spans="1:5" x14ac:dyDescent="0.25">
      <c r="A22" s="11" t="s">
        <v>39</v>
      </c>
      <c r="B22" s="12" t="s">
        <v>40</v>
      </c>
      <c r="C22" s="74" t="s">
        <v>125</v>
      </c>
      <c r="D22" s="74" t="s">
        <v>125</v>
      </c>
      <c r="E22" s="4" t="s">
        <v>125</v>
      </c>
    </row>
    <row r="23" spans="1:5" x14ac:dyDescent="0.25">
      <c r="A23" s="11" t="s">
        <v>41</v>
      </c>
      <c r="B23" s="12" t="s">
        <v>42</v>
      </c>
      <c r="C23" s="74" t="s">
        <v>125</v>
      </c>
      <c r="D23" s="74" t="s">
        <v>134</v>
      </c>
      <c r="E23" s="4" t="s">
        <v>224</v>
      </c>
    </row>
    <row r="24" spans="1:5" x14ac:dyDescent="0.25">
      <c r="A24" s="11" t="s">
        <v>43</v>
      </c>
      <c r="B24" s="12" t="s">
        <v>44</v>
      </c>
      <c r="C24" s="74" t="s">
        <v>125</v>
      </c>
      <c r="D24" s="4" t="s">
        <v>127</v>
      </c>
      <c r="E24" s="4" t="s">
        <v>127</v>
      </c>
    </row>
    <row r="25" spans="1:5" x14ac:dyDescent="0.25">
      <c r="A25" s="11" t="s">
        <v>45</v>
      </c>
      <c r="B25" s="12" t="s">
        <v>46</v>
      </c>
      <c r="C25" s="74" t="s">
        <v>125</v>
      </c>
      <c r="D25" s="4" t="s">
        <v>127</v>
      </c>
      <c r="E25" s="4" t="s">
        <v>127</v>
      </c>
    </row>
    <row r="26" spans="1:5" x14ac:dyDescent="0.25">
      <c r="A26" s="11" t="s">
        <v>47</v>
      </c>
      <c r="B26" s="12" t="s">
        <v>48</v>
      </c>
      <c r="C26" s="74" t="s">
        <v>125</v>
      </c>
      <c r="D26" s="74" t="s">
        <v>130</v>
      </c>
      <c r="E26" s="4" t="s">
        <v>125</v>
      </c>
    </row>
    <row r="27" spans="1:5" x14ac:dyDescent="0.25">
      <c r="A27" s="11" t="s">
        <v>49</v>
      </c>
      <c r="B27" s="12" t="s">
        <v>50</v>
      </c>
      <c r="C27" s="74" t="s">
        <v>125</v>
      </c>
      <c r="D27" s="74" t="s">
        <v>125</v>
      </c>
      <c r="E27" s="4" t="s">
        <v>125</v>
      </c>
    </row>
    <row r="28" spans="1:5" x14ac:dyDescent="0.25">
      <c r="A28" s="11" t="s">
        <v>51</v>
      </c>
      <c r="B28" s="12" t="s">
        <v>52</v>
      </c>
      <c r="C28" s="74" t="s">
        <v>125</v>
      </c>
      <c r="D28" s="74" t="s">
        <v>125</v>
      </c>
      <c r="E28" s="4" t="s">
        <v>125</v>
      </c>
    </row>
    <row r="29" spans="1:5" x14ac:dyDescent="0.25">
      <c r="A29" s="7" t="s">
        <v>53</v>
      </c>
      <c r="B29" s="8" t="s">
        <v>54</v>
      </c>
      <c r="C29" s="74" t="s">
        <v>125</v>
      </c>
      <c r="D29" s="74" t="s">
        <v>133</v>
      </c>
      <c r="E29" s="74" t="s">
        <v>133</v>
      </c>
    </row>
    <row r="30" spans="1:5" x14ac:dyDescent="0.25">
      <c r="A30" s="7" t="s">
        <v>55</v>
      </c>
      <c r="B30" s="8" t="s">
        <v>56</v>
      </c>
      <c r="C30" s="74" t="s">
        <v>125</v>
      </c>
      <c r="D30" s="74" t="s">
        <v>125</v>
      </c>
      <c r="E30" s="74" t="s">
        <v>125</v>
      </c>
    </row>
    <row r="31" spans="1:5" x14ac:dyDescent="0.25">
      <c r="A31" s="7" t="s">
        <v>57</v>
      </c>
      <c r="B31" s="8" t="s">
        <v>58</v>
      </c>
      <c r="C31" s="74" t="s">
        <v>125</v>
      </c>
      <c r="D31" s="74" t="s">
        <v>125</v>
      </c>
      <c r="E31" s="74" t="s">
        <v>125</v>
      </c>
    </row>
    <row r="32" spans="1:5" x14ac:dyDescent="0.25">
      <c r="A32" s="7" t="s">
        <v>59</v>
      </c>
      <c r="B32" s="8" t="s">
        <v>60</v>
      </c>
      <c r="C32" s="74" t="s">
        <v>125</v>
      </c>
      <c r="D32" s="74" t="s">
        <v>135</v>
      </c>
      <c r="E32" s="74" t="s">
        <v>135</v>
      </c>
    </row>
    <row r="33" spans="1:5" x14ac:dyDescent="0.25">
      <c r="A33" s="7" t="s">
        <v>61</v>
      </c>
      <c r="B33" s="8" t="s">
        <v>62</v>
      </c>
      <c r="C33" s="74" t="s">
        <v>125</v>
      </c>
      <c r="D33" s="74" t="s">
        <v>125</v>
      </c>
      <c r="E33" s="4" t="s">
        <v>125</v>
      </c>
    </row>
    <row r="34" spans="1:5" x14ac:dyDescent="0.25">
      <c r="A34" s="7" t="s">
        <v>63</v>
      </c>
      <c r="B34" s="8" t="s">
        <v>64</v>
      </c>
      <c r="C34" s="74" t="s">
        <v>125</v>
      </c>
      <c r="D34" s="74" t="s">
        <v>125</v>
      </c>
      <c r="E34" s="4" t="s">
        <v>125</v>
      </c>
    </row>
    <row r="35" spans="1:5" x14ac:dyDescent="0.25">
      <c r="A35" s="7" t="s">
        <v>65</v>
      </c>
      <c r="B35" s="8" t="s">
        <v>66</v>
      </c>
      <c r="C35" s="74" t="s">
        <v>125</v>
      </c>
      <c r="D35" s="74" t="s">
        <v>125</v>
      </c>
      <c r="E35" s="4" t="s">
        <v>125</v>
      </c>
    </row>
    <row r="36" spans="1:5" x14ac:dyDescent="0.25">
      <c r="A36" s="7" t="s">
        <v>67</v>
      </c>
      <c r="B36" s="8" t="s">
        <v>68</v>
      </c>
      <c r="C36" s="74" t="s">
        <v>125</v>
      </c>
      <c r="D36" s="4" t="s">
        <v>132</v>
      </c>
      <c r="E36" s="4" t="s">
        <v>125</v>
      </c>
    </row>
    <row r="37" spans="1:5" x14ac:dyDescent="0.25">
      <c r="A37" s="7" t="s">
        <v>69</v>
      </c>
      <c r="B37" s="8" t="s">
        <v>70</v>
      </c>
      <c r="C37" s="74" t="s">
        <v>125</v>
      </c>
      <c r="D37" s="74" t="s">
        <v>131</v>
      </c>
      <c r="E37" s="74" t="s">
        <v>131</v>
      </c>
    </row>
    <row r="38" spans="1:5" x14ac:dyDescent="0.25">
      <c r="A38" s="7" t="s">
        <v>71</v>
      </c>
      <c r="B38" s="8" t="s">
        <v>72</v>
      </c>
      <c r="C38" s="74" t="s">
        <v>125</v>
      </c>
      <c r="D38" s="74" t="s">
        <v>125</v>
      </c>
      <c r="E38" s="4" t="s">
        <v>125</v>
      </c>
    </row>
    <row r="39" spans="1:5" x14ac:dyDescent="0.25">
      <c r="A39" s="7" t="s">
        <v>73</v>
      </c>
      <c r="B39" s="8" t="s">
        <v>74</v>
      </c>
      <c r="C39" s="74" t="s">
        <v>125</v>
      </c>
      <c r="D39" s="4" t="s">
        <v>127</v>
      </c>
      <c r="E39" s="4" t="s">
        <v>127</v>
      </c>
    </row>
    <row r="40" spans="1:5" x14ac:dyDescent="0.25">
      <c r="A40" s="7" t="s">
        <v>75</v>
      </c>
      <c r="B40" s="8" t="s">
        <v>76</v>
      </c>
      <c r="C40" s="74" t="s">
        <v>125</v>
      </c>
      <c r="D40" s="74" t="s">
        <v>126</v>
      </c>
      <c r="E40" s="4" t="s">
        <v>125</v>
      </c>
    </row>
    <row r="41" spans="1:5" x14ac:dyDescent="0.25">
      <c r="A41" s="7" t="s">
        <v>77</v>
      </c>
      <c r="B41" s="8" t="s">
        <v>78</v>
      </c>
      <c r="C41" s="74" t="s">
        <v>125</v>
      </c>
      <c r="D41" s="74" t="s">
        <v>128</v>
      </c>
      <c r="E41" s="4" t="s">
        <v>125</v>
      </c>
    </row>
    <row r="42" spans="1:5" x14ac:dyDescent="0.25">
      <c r="A42" s="7" t="s">
        <v>79</v>
      </c>
      <c r="B42" s="8" t="s">
        <v>80</v>
      </c>
      <c r="C42" s="74" t="s">
        <v>125</v>
      </c>
      <c r="D42" s="74" t="s">
        <v>125</v>
      </c>
      <c r="E42" s="4" t="s">
        <v>125</v>
      </c>
    </row>
    <row r="43" spans="1:5" x14ac:dyDescent="0.25">
      <c r="A43" s="7" t="s">
        <v>81</v>
      </c>
      <c r="B43" s="8" t="s">
        <v>82</v>
      </c>
      <c r="C43" s="74" t="s">
        <v>125</v>
      </c>
      <c r="D43" s="4" t="s">
        <v>127</v>
      </c>
      <c r="E43" s="4" t="s">
        <v>127</v>
      </c>
    </row>
    <row r="44" spans="1:5" x14ac:dyDescent="0.25">
      <c r="A44" s="7" t="s">
        <v>83</v>
      </c>
      <c r="B44" s="8" t="s">
        <v>84</v>
      </c>
      <c r="C44" s="74" t="s">
        <v>125</v>
      </c>
      <c r="D44" s="74" t="s">
        <v>129</v>
      </c>
      <c r="E44" s="74" t="s">
        <v>129</v>
      </c>
    </row>
    <row r="45" spans="1:5" x14ac:dyDescent="0.25">
      <c r="A45" s="7" t="s">
        <v>85</v>
      </c>
      <c r="B45" s="8" t="s">
        <v>86</v>
      </c>
      <c r="C45" s="74" t="s">
        <v>125</v>
      </c>
      <c r="D45" s="74" t="s">
        <v>126</v>
      </c>
      <c r="E45" s="4" t="s">
        <v>125</v>
      </c>
    </row>
    <row r="46" spans="1:5" x14ac:dyDescent="0.25">
      <c r="A46" s="7" t="s">
        <v>87</v>
      </c>
      <c r="B46" s="8" t="s">
        <v>88</v>
      </c>
      <c r="C46" s="74" t="s">
        <v>125</v>
      </c>
      <c r="D46" s="74" t="s">
        <v>125</v>
      </c>
      <c r="E46" s="4" t="s">
        <v>125</v>
      </c>
    </row>
    <row r="47" spans="1:5" x14ac:dyDescent="0.25">
      <c r="A47" s="7" t="s">
        <v>89</v>
      </c>
      <c r="B47" s="8" t="s">
        <v>90</v>
      </c>
      <c r="C47" s="74" t="s">
        <v>125</v>
      </c>
      <c r="D47" s="74" t="s">
        <v>126</v>
      </c>
      <c r="E47" s="4" t="s">
        <v>125</v>
      </c>
    </row>
    <row r="48" spans="1:5" x14ac:dyDescent="0.25">
      <c r="A48" s="7" t="s">
        <v>91</v>
      </c>
      <c r="B48" s="8" t="s">
        <v>92</v>
      </c>
      <c r="C48" s="74" t="s">
        <v>125</v>
      </c>
      <c r="D48" s="74" t="s">
        <v>125</v>
      </c>
      <c r="E48" s="4" t="s">
        <v>125</v>
      </c>
    </row>
    <row r="49" spans="1:5" x14ac:dyDescent="0.25">
      <c r="A49" s="7" t="s">
        <v>93</v>
      </c>
      <c r="B49" s="8" t="s">
        <v>94</v>
      </c>
      <c r="C49" s="74" t="s">
        <v>125</v>
      </c>
      <c r="D49" s="74" t="s">
        <v>125</v>
      </c>
      <c r="E49" s="4" t="s">
        <v>125</v>
      </c>
    </row>
    <row r="50" spans="1:5" x14ac:dyDescent="0.25">
      <c r="A50" s="8" t="s">
        <v>95</v>
      </c>
      <c r="B50" s="8" t="s">
        <v>96</v>
      </c>
      <c r="C50" s="74" t="s">
        <v>125</v>
      </c>
      <c r="D50" s="74" t="s">
        <v>125</v>
      </c>
      <c r="E50" s="4" t="s">
        <v>125</v>
      </c>
    </row>
  </sheetData>
  <mergeCells count="3">
    <mergeCell ref="B1:B2"/>
    <mergeCell ref="A1:A2"/>
    <mergeCell ref="C1:E1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11EC0-910D-408B-ACAC-EC71BCC73F16}">
  <dimension ref="A1:T107"/>
  <sheetViews>
    <sheetView zoomScale="85" zoomScaleNormal="85" workbookViewId="0">
      <selection activeCell="D3" sqref="D3:M106"/>
    </sheetView>
  </sheetViews>
  <sheetFormatPr baseColWidth="10" defaultColWidth="9.140625" defaultRowHeight="15" x14ac:dyDescent="0.25"/>
  <cols>
    <col min="1" max="1" width="11.85546875" bestFit="1" customWidth="1"/>
    <col min="2" max="2" width="17" bestFit="1" customWidth="1"/>
    <col min="3" max="3" width="7.140625" bestFit="1" customWidth="1"/>
    <col min="4" max="6" width="11.28515625" bestFit="1" customWidth="1"/>
    <col min="7" max="7" width="11.140625" bestFit="1" customWidth="1"/>
    <col min="8" max="9" width="13.28515625" customWidth="1"/>
    <col min="10" max="10" width="13.42578125" customWidth="1"/>
    <col min="11" max="12" width="14" customWidth="1"/>
    <col min="13" max="13" width="14.85546875" customWidth="1"/>
    <col min="14" max="14" width="14.42578125" customWidth="1"/>
    <col min="15" max="15" width="14" customWidth="1"/>
    <col min="16" max="16" width="12.5703125" customWidth="1"/>
    <col min="17" max="17" width="13.28515625" customWidth="1"/>
    <col min="18" max="18" width="8.7109375" customWidth="1"/>
    <col min="33" max="38" width="12" bestFit="1" customWidth="1"/>
  </cols>
  <sheetData>
    <row r="1" spans="1:18" x14ac:dyDescent="0.25">
      <c r="A1" s="99" t="s">
        <v>115</v>
      </c>
      <c r="B1" s="99" t="s">
        <v>99</v>
      </c>
      <c r="C1" s="99" t="s">
        <v>98</v>
      </c>
      <c r="D1" s="99" t="s">
        <v>100</v>
      </c>
      <c r="E1" s="99" t="s">
        <v>101</v>
      </c>
      <c r="F1" s="99"/>
      <c r="G1" s="99"/>
      <c r="H1" s="99" t="s">
        <v>102</v>
      </c>
      <c r="I1" s="99"/>
      <c r="J1" s="99"/>
      <c r="K1" s="99" t="s">
        <v>103</v>
      </c>
      <c r="L1" s="99"/>
      <c r="M1" s="99"/>
      <c r="N1" s="99" t="s">
        <v>116</v>
      </c>
      <c r="O1" s="99"/>
      <c r="P1" s="99"/>
      <c r="Q1" s="99"/>
    </row>
    <row r="2" spans="1:18" x14ac:dyDescent="0.25">
      <c r="A2" s="99"/>
      <c r="B2" s="99"/>
      <c r="C2" s="99"/>
      <c r="D2" s="99"/>
      <c r="E2" s="13" t="s">
        <v>105</v>
      </c>
      <c r="F2" s="13" t="s">
        <v>106</v>
      </c>
      <c r="G2" s="13" t="s">
        <v>107</v>
      </c>
      <c r="H2" s="13" t="s">
        <v>108</v>
      </c>
      <c r="I2" s="13" t="s">
        <v>109</v>
      </c>
      <c r="J2" s="13" t="s">
        <v>110</v>
      </c>
      <c r="K2" s="13" t="s">
        <v>108</v>
      </c>
      <c r="L2" s="13" t="s">
        <v>109</v>
      </c>
      <c r="M2" s="13" t="s">
        <v>110</v>
      </c>
      <c r="N2" s="13" t="s">
        <v>100</v>
      </c>
      <c r="O2" s="13" t="s">
        <v>108</v>
      </c>
      <c r="P2" s="13" t="s">
        <v>109</v>
      </c>
      <c r="Q2" s="13" t="s">
        <v>110</v>
      </c>
    </row>
    <row r="3" spans="1:18" x14ac:dyDescent="0.25">
      <c r="A3" s="92" t="s">
        <v>7</v>
      </c>
      <c r="B3" s="92" t="s">
        <v>112</v>
      </c>
      <c r="C3" s="5" t="s">
        <v>111</v>
      </c>
      <c r="D3">
        <v>4.7130000000000001</v>
      </c>
      <c r="E3">
        <v>3.48</v>
      </c>
      <c r="F3">
        <v>22.78</v>
      </c>
      <c r="G3">
        <v>132.94</v>
      </c>
      <c r="H3">
        <v>16.401240000000001</v>
      </c>
      <c r="I3">
        <v>107.36214</v>
      </c>
      <c r="J3">
        <v>626.54621999999995</v>
      </c>
      <c r="K3">
        <v>14.42178</v>
      </c>
      <c r="L3">
        <v>104.62860000000001</v>
      </c>
      <c r="M3">
        <v>242.2482</v>
      </c>
      <c r="N3" s="93">
        <f>(D4-D3)/D3</f>
        <v>-0.22236367494165077</v>
      </c>
      <c r="O3" s="94">
        <f>(K4-K3)/K3</f>
        <v>-0.21728108458179227</v>
      </c>
      <c r="P3" s="94">
        <f>(L4-L3)/L3</f>
        <v>-0.32709937818149148</v>
      </c>
      <c r="Q3" s="95">
        <f>(M4-M3)/M3</f>
        <v>-0.32024902558615498</v>
      </c>
      <c r="R3" s="2"/>
    </row>
    <row r="4" spans="1:18" x14ac:dyDescent="0.25">
      <c r="A4" s="92"/>
      <c r="B4" s="92"/>
      <c r="C4" s="5" t="s">
        <v>114</v>
      </c>
      <c r="D4">
        <v>3.665</v>
      </c>
      <c r="E4">
        <v>3.5</v>
      </c>
      <c r="F4">
        <v>19.79</v>
      </c>
      <c r="G4">
        <v>126.47</v>
      </c>
      <c r="H4">
        <v>12.827500000000001</v>
      </c>
      <c r="I4">
        <v>72.530349999999999</v>
      </c>
      <c r="J4">
        <v>463.51254999999998</v>
      </c>
      <c r="K4">
        <v>11.2882</v>
      </c>
      <c r="L4">
        <v>70.404650000000004</v>
      </c>
      <c r="M4">
        <v>164.66845000000001</v>
      </c>
      <c r="N4" s="93"/>
      <c r="O4" s="94"/>
      <c r="P4" s="94"/>
      <c r="Q4" s="95"/>
      <c r="R4" s="2"/>
    </row>
    <row r="5" spans="1:18" x14ac:dyDescent="0.25">
      <c r="A5" s="92"/>
      <c r="B5" s="92" t="s">
        <v>113</v>
      </c>
      <c r="C5" s="5" t="s">
        <v>111</v>
      </c>
      <c r="D5">
        <v>3.0710000000000002</v>
      </c>
      <c r="E5">
        <v>3.51</v>
      </c>
      <c r="F5">
        <v>19.7</v>
      </c>
      <c r="G5">
        <v>126.64</v>
      </c>
      <c r="H5">
        <v>10.779210000000001</v>
      </c>
      <c r="I5">
        <v>60.498699999999999</v>
      </c>
      <c r="J5">
        <v>388.91144000000003</v>
      </c>
      <c r="K5">
        <v>9.4893900000000002</v>
      </c>
      <c r="L5">
        <v>58.717520000000007</v>
      </c>
      <c r="M5">
        <v>138.50210000000001</v>
      </c>
      <c r="N5" s="93">
        <f>(D6-D5)/D5</f>
        <v>-0.65874308042982743</v>
      </c>
      <c r="O5" s="94">
        <f>(K6-K5)/K5</f>
        <v>-0.65101234115153872</v>
      </c>
      <c r="P5" s="94">
        <f>(L6-L5)/L5</f>
        <v>-0.80045751251074637</v>
      </c>
      <c r="Q5" s="95">
        <f>(M6-M5)/M5</f>
        <v>-0.77057849664373312</v>
      </c>
      <c r="R5" s="2"/>
    </row>
    <row r="6" spans="1:18" x14ac:dyDescent="0.25">
      <c r="A6" s="92"/>
      <c r="B6" s="92"/>
      <c r="C6" s="5" t="s">
        <v>114</v>
      </c>
      <c r="D6">
        <v>1.048</v>
      </c>
      <c r="E6">
        <v>3.58</v>
      </c>
      <c r="F6">
        <v>11.76</v>
      </c>
      <c r="G6">
        <v>111.86</v>
      </c>
      <c r="H6">
        <v>3.7518400000000001</v>
      </c>
      <c r="I6">
        <v>12.324479999999999</v>
      </c>
      <c r="J6">
        <v>117.22928</v>
      </c>
      <c r="K6">
        <v>3.31168</v>
      </c>
      <c r="L6">
        <v>11.71664</v>
      </c>
      <c r="M6">
        <v>31.775359999999999</v>
      </c>
      <c r="N6" s="93"/>
      <c r="O6" s="94"/>
      <c r="P6" s="94"/>
      <c r="Q6" s="95"/>
      <c r="R6" s="2"/>
    </row>
    <row r="7" spans="1:18" x14ac:dyDescent="0.25">
      <c r="A7" s="92" t="s">
        <v>9</v>
      </c>
      <c r="B7" s="92" t="s">
        <v>112</v>
      </c>
      <c r="C7" s="5" t="s">
        <v>111</v>
      </c>
      <c r="D7">
        <v>409.73099999999999</v>
      </c>
      <c r="E7">
        <v>3.5</v>
      </c>
      <c r="F7">
        <v>26.81</v>
      </c>
      <c r="G7">
        <v>147.47999999999999</v>
      </c>
      <c r="H7">
        <v>1434.0585000000001</v>
      </c>
      <c r="I7">
        <v>10984.88811</v>
      </c>
      <c r="J7">
        <v>60427.127879999993</v>
      </c>
      <c r="K7">
        <v>1327.52844</v>
      </c>
      <c r="L7">
        <v>10820.995709999999</v>
      </c>
      <c r="M7">
        <v>24903.45018</v>
      </c>
      <c r="N7" s="93">
        <f>(D8-D7)/D7</f>
        <v>-2.2866221984667919E-2</v>
      </c>
      <c r="O7" s="94">
        <f>(K8-K7)/K7</f>
        <v>-2.2866221984667964E-2</v>
      </c>
      <c r="P7" s="94">
        <f>(L8-L7)/L7</f>
        <v>-2.2126249415174996E-2</v>
      </c>
      <c r="Q7" s="95">
        <f>(M8-M7)/M7</f>
        <v>-2.2062393605254263E-2</v>
      </c>
      <c r="R7" s="2"/>
    </row>
    <row r="8" spans="1:18" x14ac:dyDescent="0.25">
      <c r="A8" s="92"/>
      <c r="B8" s="92"/>
      <c r="C8" s="5" t="s">
        <v>114</v>
      </c>
      <c r="D8">
        <v>400.36200000000002</v>
      </c>
      <c r="E8">
        <v>3.5</v>
      </c>
      <c r="F8">
        <v>26.83</v>
      </c>
      <c r="G8">
        <v>147.52000000000001</v>
      </c>
      <c r="H8">
        <v>1401.2670000000001</v>
      </c>
      <c r="I8">
        <v>10741.712460000001</v>
      </c>
      <c r="J8">
        <v>59061.40224000001</v>
      </c>
      <c r="K8">
        <v>1297.1728800000001</v>
      </c>
      <c r="L8">
        <v>10581.567660000001</v>
      </c>
      <c r="M8">
        <v>24354.02046</v>
      </c>
      <c r="N8" s="93"/>
      <c r="O8" s="94"/>
      <c r="P8" s="94"/>
      <c r="Q8" s="95"/>
      <c r="R8" s="2"/>
    </row>
    <row r="9" spans="1:18" x14ac:dyDescent="0.25">
      <c r="A9" s="92"/>
      <c r="B9" s="92" t="s">
        <v>113</v>
      </c>
      <c r="C9" s="5" t="s">
        <v>111</v>
      </c>
      <c r="D9">
        <v>21.568999999999999</v>
      </c>
      <c r="E9">
        <v>3.52</v>
      </c>
      <c r="F9">
        <v>23.76</v>
      </c>
      <c r="G9">
        <v>139.30000000000001</v>
      </c>
      <c r="H9">
        <v>75.922879999999992</v>
      </c>
      <c r="I9">
        <v>512.47944000000007</v>
      </c>
      <c r="J9">
        <v>3004.5617000000002</v>
      </c>
      <c r="K9">
        <v>70.314939999999993</v>
      </c>
      <c r="L9">
        <v>503.85183999999998</v>
      </c>
      <c r="M9">
        <v>1134.7450899999999</v>
      </c>
      <c r="N9" s="93">
        <f>(D10-D9)/D9</f>
        <v>-5.0025499559553092E-2</v>
      </c>
      <c r="O9" s="94">
        <f>(K10-K9)/K9</f>
        <v>-5.5853563979432919E-2</v>
      </c>
      <c r="P9" s="94">
        <f>(L10-L9)/L9</f>
        <v>7.7261323487475941E-2</v>
      </c>
      <c r="Q9" s="95">
        <f>(M10-M9)/M9</f>
        <v>6.5358211860604046E-2</v>
      </c>
      <c r="R9" s="2"/>
    </row>
    <row r="10" spans="1:18" x14ac:dyDescent="0.25">
      <c r="A10" s="92"/>
      <c r="B10" s="92"/>
      <c r="C10" s="5" t="s">
        <v>114</v>
      </c>
      <c r="D10">
        <v>20.49</v>
      </c>
      <c r="E10">
        <v>3.5</v>
      </c>
      <c r="F10">
        <v>26.89</v>
      </c>
      <c r="G10">
        <v>145.69999999999999</v>
      </c>
      <c r="H10">
        <v>71.714999999999989</v>
      </c>
      <c r="I10">
        <v>550.97609999999997</v>
      </c>
      <c r="J10">
        <v>2985.393</v>
      </c>
      <c r="K10">
        <v>66.387600000000006</v>
      </c>
      <c r="L10">
        <v>542.78009999999995</v>
      </c>
      <c r="M10">
        <v>1208.9100000000001</v>
      </c>
      <c r="N10" s="93"/>
      <c r="O10" s="94"/>
      <c r="P10" s="94"/>
      <c r="Q10" s="95"/>
      <c r="R10" s="2"/>
    </row>
    <row r="11" spans="1:18" x14ac:dyDescent="0.25">
      <c r="A11" s="92" t="s">
        <v>13</v>
      </c>
      <c r="B11" s="92" t="s">
        <v>112</v>
      </c>
      <c r="C11" s="5" t="s">
        <v>111</v>
      </c>
      <c r="D11">
        <v>2.0939999999999999</v>
      </c>
      <c r="E11">
        <v>3.55</v>
      </c>
      <c r="F11">
        <v>15.94</v>
      </c>
      <c r="G11">
        <v>121.5</v>
      </c>
      <c r="H11">
        <v>7.4336999999999991</v>
      </c>
      <c r="I11">
        <v>33.378359999999986</v>
      </c>
      <c r="J11">
        <v>254.42099999999999</v>
      </c>
      <c r="K11">
        <v>6.554219999999999</v>
      </c>
      <c r="L11">
        <v>32.163839999999993</v>
      </c>
      <c r="M11">
        <v>71.719499999999996</v>
      </c>
      <c r="N11" s="93">
        <f>(D12-D11)/D11</f>
        <v>-0.5</v>
      </c>
      <c r="O11" s="94">
        <f>(K12-K11)/K11</f>
        <v>-0.48881789137380183</v>
      </c>
      <c r="P11" s="94">
        <f>(L12-L11)/L11</f>
        <v>-0.52311197916666663</v>
      </c>
      <c r="Q11" s="95">
        <f>(M12-M11)/M11</f>
        <v>-0.56175182481751829</v>
      </c>
      <c r="R11" s="2"/>
    </row>
    <row r="12" spans="1:18" x14ac:dyDescent="0.25">
      <c r="A12" s="92"/>
      <c r="B12" s="92"/>
      <c r="C12" s="5" t="s">
        <v>114</v>
      </c>
      <c r="D12">
        <v>1.0469999999999999</v>
      </c>
      <c r="E12">
        <v>3.62</v>
      </c>
      <c r="F12">
        <v>15.23</v>
      </c>
      <c r="G12">
        <v>117.27</v>
      </c>
      <c r="H12">
        <v>3.7901400000000001</v>
      </c>
      <c r="I12">
        <v>15.94581</v>
      </c>
      <c r="J12">
        <v>122.78169</v>
      </c>
      <c r="K12">
        <v>3.3504</v>
      </c>
      <c r="L12">
        <v>15.33855</v>
      </c>
      <c r="M12">
        <v>31.43094</v>
      </c>
      <c r="N12" s="93"/>
      <c r="O12" s="94"/>
      <c r="P12" s="94"/>
      <c r="Q12" s="95"/>
      <c r="R12" s="2"/>
    </row>
    <row r="13" spans="1:18" x14ac:dyDescent="0.25">
      <c r="A13" s="92"/>
      <c r="B13" s="92" t="s">
        <v>113</v>
      </c>
      <c r="C13" s="5" t="s">
        <v>111</v>
      </c>
      <c r="D13">
        <v>2.0939999999999999</v>
      </c>
      <c r="E13">
        <v>3.55</v>
      </c>
      <c r="F13">
        <v>15.6</v>
      </c>
      <c r="G13">
        <v>119.95</v>
      </c>
      <c r="H13">
        <v>7.4336999999999991</v>
      </c>
      <c r="I13">
        <v>32.666400000000003</v>
      </c>
      <c r="J13">
        <v>251.17529999999999</v>
      </c>
      <c r="K13">
        <v>6.554219999999999</v>
      </c>
      <c r="L13">
        <v>31.451879999999999</v>
      </c>
      <c r="M13">
        <v>68.473799999999997</v>
      </c>
      <c r="N13" s="93">
        <f>(D14-D13)/D13</f>
        <v>-0.5</v>
      </c>
      <c r="O13" s="94">
        <f>(K14-K13)/K13</f>
        <v>-0.48722044728434499</v>
      </c>
      <c r="P13" s="94">
        <f>(L14-L13)/L13</f>
        <v>-0.52862849533954726</v>
      </c>
      <c r="Q13" s="95">
        <f>(M14-M13)/M13</f>
        <v>-0.55764525993883796</v>
      </c>
      <c r="R13" s="2"/>
    </row>
    <row r="14" spans="1:18" x14ac:dyDescent="0.25">
      <c r="A14" s="92"/>
      <c r="B14" s="92"/>
      <c r="C14" s="5" t="s">
        <v>114</v>
      </c>
      <c r="D14">
        <v>1.0469999999999999</v>
      </c>
      <c r="E14">
        <v>3.63</v>
      </c>
      <c r="F14">
        <v>14.74</v>
      </c>
      <c r="G14">
        <v>116.19</v>
      </c>
      <c r="H14">
        <v>3.8006099999999998</v>
      </c>
      <c r="I14">
        <v>15.432779999999999</v>
      </c>
      <c r="J14">
        <v>121.65093</v>
      </c>
      <c r="K14">
        <v>3.3608699999999998</v>
      </c>
      <c r="L14">
        <v>14.825519999999999</v>
      </c>
      <c r="M14">
        <v>30.289709999999999</v>
      </c>
      <c r="N14" s="93"/>
      <c r="O14" s="94"/>
      <c r="P14" s="94"/>
      <c r="Q14" s="95"/>
      <c r="R14" s="2"/>
    </row>
    <row r="15" spans="1:18" x14ac:dyDescent="0.25">
      <c r="A15" s="92" t="s">
        <v>15</v>
      </c>
      <c r="B15" s="92" t="s">
        <v>112</v>
      </c>
      <c r="C15" s="5" t="s">
        <v>111</v>
      </c>
      <c r="D15">
        <v>4.7469999999999999</v>
      </c>
      <c r="E15">
        <v>3.52</v>
      </c>
      <c r="F15">
        <v>26.91</v>
      </c>
      <c r="G15">
        <v>142.41</v>
      </c>
      <c r="H15">
        <v>16.709440000000001</v>
      </c>
      <c r="I15">
        <v>127.74177</v>
      </c>
      <c r="J15">
        <v>676.02026999999998</v>
      </c>
      <c r="K15">
        <v>14.7157</v>
      </c>
      <c r="L15">
        <v>124.98851000000001</v>
      </c>
      <c r="M15">
        <v>261.13247000000001</v>
      </c>
      <c r="N15" s="93">
        <f>(D16-D15)/D15</f>
        <v>0.45081103855066351</v>
      </c>
      <c r="O15" s="94">
        <f>(K16-K15)/K15</f>
        <v>0.46485114537534739</v>
      </c>
      <c r="P15" s="94">
        <f>(L16-L15)/L15</f>
        <v>0.48938178397358278</v>
      </c>
      <c r="Q15" s="95">
        <f>(M16-M15)/M15</f>
        <v>0.53467904623274098</v>
      </c>
      <c r="R15" s="2"/>
    </row>
    <row r="16" spans="1:18" x14ac:dyDescent="0.25">
      <c r="A16" s="92"/>
      <c r="B16" s="92"/>
      <c r="C16" s="5" t="s">
        <v>114</v>
      </c>
      <c r="D16">
        <v>6.8869999999999996</v>
      </c>
      <c r="E16">
        <v>3.55</v>
      </c>
      <c r="F16">
        <v>27.61</v>
      </c>
      <c r="G16">
        <v>145.59</v>
      </c>
      <c r="H16">
        <v>24.44885</v>
      </c>
      <c r="I16">
        <v>190.15007</v>
      </c>
      <c r="J16">
        <v>1002.67833</v>
      </c>
      <c r="K16">
        <v>21.55631</v>
      </c>
      <c r="L16">
        <v>186.15561</v>
      </c>
      <c r="M16">
        <v>400.75452999999987</v>
      </c>
      <c r="N16" s="93"/>
      <c r="O16" s="94"/>
      <c r="P16" s="94"/>
      <c r="Q16" s="95"/>
      <c r="R16" s="2"/>
    </row>
    <row r="17" spans="1:18" x14ac:dyDescent="0.25">
      <c r="A17" s="92"/>
      <c r="B17" s="92" t="s">
        <v>113</v>
      </c>
      <c r="C17" s="5" t="s">
        <v>111</v>
      </c>
      <c r="D17">
        <v>22.571999999999999</v>
      </c>
      <c r="E17">
        <v>3.51</v>
      </c>
      <c r="F17">
        <v>23.85</v>
      </c>
      <c r="G17">
        <v>139.72999999999999</v>
      </c>
      <c r="H17">
        <v>79.227719999999991</v>
      </c>
      <c r="I17">
        <v>538.34220000000005</v>
      </c>
      <c r="J17">
        <v>3153.9855600000001</v>
      </c>
      <c r="K17">
        <v>69.747479999999996</v>
      </c>
      <c r="L17">
        <v>525.25044000000003</v>
      </c>
      <c r="M17">
        <v>1181.1927599999999</v>
      </c>
      <c r="N17" s="93">
        <f>(D18-D17)/D17</f>
        <v>-0.69174198121566544</v>
      </c>
      <c r="O17" s="94">
        <f>(K18-K17)/K17</f>
        <v>-0.68974678368308073</v>
      </c>
      <c r="P17" s="94">
        <f>(L18-L17)/L17</f>
        <v>-0.63742922328632412</v>
      </c>
      <c r="Q17" s="95">
        <f>(M18-M17)/M17</f>
        <v>-0.65333490530368643</v>
      </c>
      <c r="R17" s="2"/>
    </row>
    <row r="18" spans="1:18" x14ac:dyDescent="0.25">
      <c r="A18" s="92"/>
      <c r="B18" s="92"/>
      <c r="C18" s="5" t="s">
        <v>114</v>
      </c>
      <c r="D18">
        <v>6.9580000000000002</v>
      </c>
      <c r="E18">
        <v>3.53</v>
      </c>
      <c r="F18">
        <v>27.95</v>
      </c>
      <c r="G18">
        <v>146.25</v>
      </c>
      <c r="H18">
        <v>24.56174</v>
      </c>
      <c r="I18">
        <v>194.4761</v>
      </c>
      <c r="J18">
        <v>1017.6075</v>
      </c>
      <c r="K18">
        <v>21.639379999999999</v>
      </c>
      <c r="L18">
        <v>190.44046</v>
      </c>
      <c r="M18">
        <v>409.47829999999999</v>
      </c>
      <c r="N18" s="93"/>
      <c r="O18" s="94"/>
      <c r="P18" s="94"/>
      <c r="Q18" s="95"/>
      <c r="R18" s="2"/>
    </row>
    <row r="19" spans="1:18" x14ac:dyDescent="0.25">
      <c r="A19" s="92" t="s">
        <v>17</v>
      </c>
      <c r="B19" s="92" t="s">
        <v>112</v>
      </c>
      <c r="C19" s="5" t="s">
        <v>111</v>
      </c>
      <c r="D19">
        <v>0.54100000000000004</v>
      </c>
      <c r="E19">
        <v>3.72</v>
      </c>
      <c r="F19">
        <v>8.06</v>
      </c>
      <c r="G19">
        <v>119.19</v>
      </c>
      <c r="H19">
        <v>2.0125199999999999</v>
      </c>
      <c r="I19">
        <v>4.3604600000000007</v>
      </c>
      <c r="J19">
        <v>64.481790000000004</v>
      </c>
      <c r="K19">
        <v>1.7853000000000001</v>
      </c>
      <c r="L19">
        <v>4.0466800000000003</v>
      </c>
      <c r="M19">
        <v>11.47461</v>
      </c>
      <c r="N19" s="93">
        <f>(D20-D19)/D19</f>
        <v>-3.3271719038817031E-2</v>
      </c>
      <c r="O19" s="94">
        <f>(K20-K19)/K19</f>
        <v>-3.034223939954072E-2</v>
      </c>
      <c r="P19" s="94">
        <f>(L20-L19)/L19</f>
        <v>-0.15863621536667105</v>
      </c>
      <c r="Q19" s="95">
        <f>(M20-M19)/M19</f>
        <v>-0.10072847791776804</v>
      </c>
      <c r="R19" s="2"/>
    </row>
    <row r="20" spans="1:18" x14ac:dyDescent="0.25">
      <c r="A20" s="92"/>
      <c r="B20" s="92"/>
      <c r="C20" s="5" t="s">
        <v>114</v>
      </c>
      <c r="D20">
        <v>0.52300000000000002</v>
      </c>
      <c r="E20">
        <v>3.73</v>
      </c>
      <c r="F20">
        <v>7.09</v>
      </c>
      <c r="G20">
        <v>117.7</v>
      </c>
      <c r="H20">
        <v>1.95079</v>
      </c>
      <c r="I20">
        <v>3.7080700000000002</v>
      </c>
      <c r="J20">
        <v>61.557100000000013</v>
      </c>
      <c r="K20">
        <v>1.7311300000000001</v>
      </c>
      <c r="L20">
        <v>3.4047299999999998</v>
      </c>
      <c r="M20">
        <v>10.31879</v>
      </c>
      <c r="N20" s="93"/>
      <c r="O20" s="94"/>
      <c r="P20" s="94"/>
      <c r="Q20" s="95"/>
      <c r="R20" s="2"/>
    </row>
    <row r="21" spans="1:18" x14ac:dyDescent="0.25">
      <c r="A21" s="92"/>
      <c r="B21" s="92" t="s">
        <v>113</v>
      </c>
      <c r="C21" s="5" t="s">
        <v>111</v>
      </c>
      <c r="D21">
        <v>0.52400000000000002</v>
      </c>
      <c r="E21">
        <v>3.73</v>
      </c>
      <c r="F21">
        <v>7.77</v>
      </c>
      <c r="G21">
        <v>118.13</v>
      </c>
      <c r="H21">
        <v>1.95452</v>
      </c>
      <c r="I21">
        <v>4.0714800000000002</v>
      </c>
      <c r="J21">
        <v>61.900120000000001</v>
      </c>
      <c r="K21">
        <v>1.73444</v>
      </c>
      <c r="L21">
        <v>3.76756</v>
      </c>
      <c r="M21">
        <v>10.5586</v>
      </c>
      <c r="N21" s="93">
        <f>(D22-D21)/D21</f>
        <v>-1.9083969465648872E-3</v>
      </c>
      <c r="O21" s="94">
        <f>(K22-K21)/K21</f>
        <v>-4.9237794331311504E-3</v>
      </c>
      <c r="P21" s="94">
        <f>(L22-L21)/L21</f>
        <v>-5.2023060017623119E-4</v>
      </c>
      <c r="Q21" s="95">
        <f>(M22-M21)/M21</f>
        <v>8.4935502812872477E-3</v>
      </c>
      <c r="R21" s="2"/>
    </row>
    <row r="22" spans="1:18" x14ac:dyDescent="0.25">
      <c r="A22" s="92"/>
      <c r="B22" s="92"/>
      <c r="C22" s="5" t="s">
        <v>114</v>
      </c>
      <c r="D22">
        <v>0.52300000000000002</v>
      </c>
      <c r="E22">
        <v>3.72</v>
      </c>
      <c r="F22">
        <v>7.78</v>
      </c>
      <c r="G22">
        <v>118.33</v>
      </c>
      <c r="H22">
        <v>1.94556</v>
      </c>
      <c r="I22">
        <v>4.0689399999999996</v>
      </c>
      <c r="J22">
        <v>61.886589999999998</v>
      </c>
      <c r="K22">
        <v>1.7259</v>
      </c>
      <c r="L22">
        <v>3.7656000000000001</v>
      </c>
      <c r="M22">
        <v>10.64828</v>
      </c>
      <c r="N22" s="93"/>
      <c r="O22" s="94"/>
      <c r="P22" s="94"/>
      <c r="Q22" s="95"/>
      <c r="R22" s="2"/>
    </row>
    <row r="23" spans="1:18" x14ac:dyDescent="0.25">
      <c r="A23" s="92" t="s">
        <v>19</v>
      </c>
      <c r="B23" s="92" t="s">
        <v>112</v>
      </c>
      <c r="C23" s="5" t="s">
        <v>111</v>
      </c>
      <c r="D23">
        <v>81.870999999999995</v>
      </c>
      <c r="E23">
        <v>3.51</v>
      </c>
      <c r="F23">
        <v>28.92</v>
      </c>
      <c r="G23">
        <v>151.16999999999999</v>
      </c>
      <c r="H23">
        <v>287.36720999999989</v>
      </c>
      <c r="I23">
        <v>2367.7093199999999</v>
      </c>
      <c r="J23">
        <v>12376.43907</v>
      </c>
      <c r="K23">
        <v>252.98139</v>
      </c>
      <c r="L23">
        <v>2320.2241399999998</v>
      </c>
      <c r="M23">
        <v>5473.8950599999998</v>
      </c>
      <c r="N23" s="93">
        <f>(D24-D23)/D23</f>
        <v>-0.98715051727717984</v>
      </c>
      <c r="O23" s="94">
        <f>(K24-K23)/K23</f>
        <v>-0.98665150823940051</v>
      </c>
      <c r="P23" s="94">
        <f>(L24-L23)/L23</f>
        <v>-0.99654959197174797</v>
      </c>
      <c r="Q23" s="95">
        <f>(M24-M23)/M23</f>
        <v>-0.99557974719376519</v>
      </c>
      <c r="R23" s="2"/>
    </row>
    <row r="24" spans="1:18" x14ac:dyDescent="0.25">
      <c r="A24" s="92"/>
      <c r="B24" s="92"/>
      <c r="C24" s="5" t="s">
        <v>114</v>
      </c>
      <c r="D24">
        <v>1.052</v>
      </c>
      <c r="E24">
        <v>3.63</v>
      </c>
      <c r="F24">
        <v>8.19</v>
      </c>
      <c r="G24">
        <v>107.31</v>
      </c>
      <c r="H24">
        <v>3.8187600000000002</v>
      </c>
      <c r="I24">
        <v>8.6158800000000006</v>
      </c>
      <c r="J24">
        <v>112.89012</v>
      </c>
      <c r="K24">
        <v>3.3769200000000001</v>
      </c>
      <c r="L24">
        <v>8.0057200000000002</v>
      </c>
      <c r="M24">
        <v>24.196000000000002</v>
      </c>
      <c r="N24" s="93"/>
      <c r="O24" s="94"/>
      <c r="P24" s="94"/>
      <c r="Q24" s="95"/>
      <c r="R24" s="2"/>
    </row>
    <row r="25" spans="1:18" x14ac:dyDescent="0.25">
      <c r="A25" s="92"/>
      <c r="B25" s="92" t="s">
        <v>113</v>
      </c>
      <c r="C25" s="5" t="s">
        <v>111</v>
      </c>
      <c r="D25">
        <v>81.566000000000003</v>
      </c>
      <c r="E25">
        <v>3.52</v>
      </c>
      <c r="F25">
        <v>28.88</v>
      </c>
      <c r="G25">
        <v>152.29</v>
      </c>
      <c r="H25">
        <v>287.11232000000001</v>
      </c>
      <c r="I25">
        <v>2355.62608</v>
      </c>
      <c r="J25">
        <v>12421.68614</v>
      </c>
      <c r="K25">
        <v>252.8546</v>
      </c>
      <c r="L25">
        <v>2308.3177999999998</v>
      </c>
      <c r="M25">
        <v>5544.8566800000008</v>
      </c>
      <c r="N25" s="93">
        <f>(D26-D25)/D25</f>
        <v>-0.99355123458303707</v>
      </c>
      <c r="O25" s="94">
        <f>(K26-K25)/K25</f>
        <v>-0.99313518520129751</v>
      </c>
      <c r="P25" s="94">
        <f>(L26-L25)/L25</f>
        <v>-0.99856213039642994</v>
      </c>
      <c r="Q25" s="95">
        <f>(M26-M25)/M25</f>
        <v>-0.99810559215391659</v>
      </c>
      <c r="R25" s="2"/>
    </row>
    <row r="26" spans="1:18" x14ac:dyDescent="0.25">
      <c r="A26" s="92"/>
      <c r="B26" s="92"/>
      <c r="C26" s="5" t="s">
        <v>114</v>
      </c>
      <c r="D26">
        <v>0.52600000000000002</v>
      </c>
      <c r="E26">
        <v>3.72</v>
      </c>
      <c r="F26">
        <v>6.89</v>
      </c>
      <c r="G26">
        <v>104.28</v>
      </c>
      <c r="H26">
        <v>1.95672</v>
      </c>
      <c r="I26">
        <v>3.6241400000000001</v>
      </c>
      <c r="J26">
        <v>54.851280000000003</v>
      </c>
      <c r="K26">
        <v>1.7358</v>
      </c>
      <c r="L26">
        <v>3.3190599999999999</v>
      </c>
      <c r="M26">
        <v>10.50422</v>
      </c>
      <c r="N26" s="93"/>
      <c r="O26" s="94"/>
      <c r="P26" s="94"/>
      <c r="Q26" s="95"/>
      <c r="R26" s="2"/>
    </row>
    <row r="27" spans="1:18" x14ac:dyDescent="0.25">
      <c r="A27" s="92" t="s">
        <v>21</v>
      </c>
      <c r="B27" s="92" t="s">
        <v>112</v>
      </c>
      <c r="C27" s="5" t="s">
        <v>111</v>
      </c>
      <c r="D27">
        <v>2.0950000000000002</v>
      </c>
      <c r="E27">
        <v>3.54</v>
      </c>
      <c r="F27">
        <v>17.14</v>
      </c>
      <c r="G27">
        <v>123.05</v>
      </c>
      <c r="H27">
        <v>7.4163000000000006</v>
      </c>
      <c r="I27">
        <v>35.908299999999997</v>
      </c>
      <c r="J27">
        <v>257.78975000000003</v>
      </c>
      <c r="K27">
        <v>6.5364000000000004</v>
      </c>
      <c r="L27">
        <v>34.693199999999997</v>
      </c>
      <c r="M27">
        <v>79.861400000000003</v>
      </c>
      <c r="N27" s="93">
        <f>(D28-D27)/D27</f>
        <v>-4.7732696897390635E-4</v>
      </c>
      <c r="O27" s="94">
        <f>(K28-K27)/K27</f>
        <v>-3.680925279970825E-3</v>
      </c>
      <c r="P27" s="94">
        <f>(L28-L27)/L27</f>
        <v>2.5476462246204031E-2</v>
      </c>
      <c r="Q27" s="95">
        <f>(M28-M27)/M27</f>
        <v>-1.5261440445574286E-3</v>
      </c>
      <c r="R27" s="2"/>
    </row>
    <row r="28" spans="1:18" x14ac:dyDescent="0.25">
      <c r="A28" s="92"/>
      <c r="B28" s="92"/>
      <c r="C28" s="5" t="s">
        <v>114</v>
      </c>
      <c r="D28">
        <v>2.0939999999999999</v>
      </c>
      <c r="E28">
        <v>3.53</v>
      </c>
      <c r="F28">
        <v>17.57</v>
      </c>
      <c r="G28">
        <v>123</v>
      </c>
      <c r="H28">
        <v>7.3918199999999992</v>
      </c>
      <c r="I28">
        <v>36.791580000000003</v>
      </c>
      <c r="J28">
        <v>257.56200000000001</v>
      </c>
      <c r="K28">
        <v>6.5123399999999991</v>
      </c>
      <c r="L28">
        <v>35.577060000000003</v>
      </c>
      <c r="M28">
        <v>79.739519999999985</v>
      </c>
      <c r="N28" s="93"/>
      <c r="O28" s="94"/>
      <c r="P28" s="94"/>
      <c r="Q28" s="95"/>
      <c r="R28" s="2"/>
    </row>
    <row r="29" spans="1:18" x14ac:dyDescent="0.25">
      <c r="A29" s="92"/>
      <c r="B29" s="92" t="s">
        <v>113</v>
      </c>
      <c r="C29" s="5" t="s">
        <v>111</v>
      </c>
      <c r="D29">
        <v>1.0469999999999999</v>
      </c>
      <c r="E29">
        <v>3.61</v>
      </c>
      <c r="F29">
        <v>12.86</v>
      </c>
      <c r="G29">
        <v>114.3</v>
      </c>
      <c r="H29">
        <v>3.779669999999999</v>
      </c>
      <c r="I29">
        <v>13.46442</v>
      </c>
      <c r="J29">
        <v>119.6721</v>
      </c>
      <c r="K29">
        <v>3.3399299999999998</v>
      </c>
      <c r="L29">
        <v>12.85716</v>
      </c>
      <c r="M29">
        <v>30.760860000000001</v>
      </c>
      <c r="N29" s="93">
        <f>(D30-D29)/D29</f>
        <v>0</v>
      </c>
      <c r="O29" s="94">
        <f>(K30-K29)/K29</f>
        <v>0</v>
      </c>
      <c r="P29" s="94">
        <f>(L30-L29)/L29</f>
        <v>-0.24918566775244302</v>
      </c>
      <c r="Q29" s="95">
        <f>(M30-M29)/M29</f>
        <v>-0.20762423417290676</v>
      </c>
      <c r="R29" s="2"/>
    </row>
    <row r="30" spans="1:18" x14ac:dyDescent="0.25">
      <c r="A30" s="92"/>
      <c r="B30" s="92"/>
      <c r="C30" s="5" t="s">
        <v>114</v>
      </c>
      <c r="D30">
        <v>1.0469999999999999</v>
      </c>
      <c r="E30">
        <v>3.61</v>
      </c>
      <c r="F30">
        <v>9.8000000000000007</v>
      </c>
      <c r="G30">
        <v>108.2</v>
      </c>
      <c r="H30">
        <v>3.779669999999999</v>
      </c>
      <c r="I30">
        <v>10.2606</v>
      </c>
      <c r="J30">
        <v>113.2854</v>
      </c>
      <c r="K30">
        <v>3.3399299999999998</v>
      </c>
      <c r="L30">
        <v>9.65334</v>
      </c>
      <c r="M30">
        <v>24.37416</v>
      </c>
      <c r="N30" s="93"/>
      <c r="O30" s="94"/>
      <c r="P30" s="94"/>
      <c r="Q30" s="95"/>
      <c r="R30" s="2"/>
    </row>
    <row r="31" spans="1:18" x14ac:dyDescent="0.25">
      <c r="A31" s="92" t="s">
        <v>23</v>
      </c>
      <c r="B31" s="92" t="s">
        <v>112</v>
      </c>
      <c r="C31" s="5" t="s">
        <v>111</v>
      </c>
      <c r="D31">
        <v>1.0469999999999999</v>
      </c>
      <c r="E31">
        <v>3.59</v>
      </c>
      <c r="F31">
        <v>13.32</v>
      </c>
      <c r="G31">
        <v>114.16</v>
      </c>
      <c r="H31">
        <v>3.758729999999999</v>
      </c>
      <c r="I31">
        <v>13.94604</v>
      </c>
      <c r="J31">
        <v>119.52552</v>
      </c>
      <c r="K31">
        <v>3.3189899999999999</v>
      </c>
      <c r="L31">
        <v>13.33878</v>
      </c>
      <c r="M31">
        <v>27.389520000000001</v>
      </c>
      <c r="N31" s="93">
        <f>(D32-D31)/D31</f>
        <v>0</v>
      </c>
      <c r="O31" s="94">
        <f>(K32-K31)/K31</f>
        <v>3.1545741324921742E-3</v>
      </c>
      <c r="P31" s="94">
        <f>(L32-L31)/L31</f>
        <v>-0.28492935635792782</v>
      </c>
      <c r="Q31" s="95">
        <f>(M32-M31)/M31</f>
        <v>-0.14105504587155968</v>
      </c>
      <c r="R31" s="2"/>
    </row>
    <row r="32" spans="1:18" x14ac:dyDescent="0.25">
      <c r="A32" s="92"/>
      <c r="B32" s="92"/>
      <c r="C32" s="5" t="s">
        <v>114</v>
      </c>
      <c r="D32">
        <v>1.0469999999999999</v>
      </c>
      <c r="E32">
        <v>3.6</v>
      </c>
      <c r="F32">
        <v>9.69</v>
      </c>
      <c r="G32">
        <v>110.47</v>
      </c>
      <c r="H32">
        <v>3.7692000000000001</v>
      </c>
      <c r="I32">
        <v>10.145429999999999</v>
      </c>
      <c r="J32">
        <v>115.66209000000001</v>
      </c>
      <c r="K32">
        <v>3.3294600000000001</v>
      </c>
      <c r="L32">
        <v>9.5381699999999991</v>
      </c>
      <c r="M32">
        <v>23.52609</v>
      </c>
      <c r="N32" s="93"/>
      <c r="O32" s="94"/>
      <c r="P32" s="94"/>
      <c r="Q32" s="95"/>
      <c r="R32" s="2"/>
    </row>
    <row r="33" spans="1:20" x14ac:dyDescent="0.25">
      <c r="A33" s="92"/>
      <c r="B33" s="92" t="s">
        <v>113</v>
      </c>
      <c r="C33" s="5" t="s">
        <v>111</v>
      </c>
      <c r="D33">
        <v>1.0469999999999999</v>
      </c>
      <c r="E33">
        <v>3.61</v>
      </c>
      <c r="F33">
        <v>11.23</v>
      </c>
      <c r="G33">
        <v>112.08</v>
      </c>
      <c r="H33">
        <v>3.779669999999999</v>
      </c>
      <c r="I33">
        <v>11.757809999999999</v>
      </c>
      <c r="J33">
        <v>117.34775999999999</v>
      </c>
      <c r="K33">
        <v>3.3399299999999998</v>
      </c>
      <c r="L33">
        <v>11.150550000000001</v>
      </c>
      <c r="M33">
        <v>25.22223</v>
      </c>
      <c r="N33" s="93">
        <f>(D34-D33)/D33</f>
        <v>-0.41642788920725882</v>
      </c>
      <c r="O33" s="94">
        <f>(K34-K33)/K33</f>
        <v>-0.39630471297302627</v>
      </c>
      <c r="P33" s="94">
        <f>(L34-L33)/L33</f>
        <v>-0.60985601607095619</v>
      </c>
      <c r="Q33" s="95">
        <f>(M34-M33)/M33</f>
        <v>-0.56419832822077987</v>
      </c>
      <c r="R33" s="2"/>
    </row>
    <row r="34" spans="1:20" x14ac:dyDescent="0.25">
      <c r="A34" s="92"/>
      <c r="B34" s="92"/>
      <c r="C34" s="5" t="s">
        <v>114</v>
      </c>
      <c r="D34">
        <v>0.61099999999999999</v>
      </c>
      <c r="E34">
        <v>3.72</v>
      </c>
      <c r="F34">
        <v>7.7</v>
      </c>
      <c r="G34">
        <v>105.98</v>
      </c>
      <c r="H34">
        <v>2.2729200000000001</v>
      </c>
      <c r="I34">
        <v>4.7046999999999999</v>
      </c>
      <c r="J34">
        <v>64.753780000000006</v>
      </c>
      <c r="K34">
        <v>2.0163000000000002</v>
      </c>
      <c r="L34">
        <v>4.35032</v>
      </c>
      <c r="M34">
        <v>10.99189</v>
      </c>
      <c r="N34" s="93"/>
      <c r="O34" s="94"/>
      <c r="P34" s="94"/>
      <c r="Q34" s="95"/>
      <c r="R34" s="2"/>
    </row>
    <row r="35" spans="1:20" x14ac:dyDescent="0.25">
      <c r="A35" s="92" t="s">
        <v>25</v>
      </c>
      <c r="B35" s="92" t="s">
        <v>112</v>
      </c>
      <c r="C35" s="5" t="s">
        <v>111</v>
      </c>
      <c r="D35">
        <v>8.3780000000000001</v>
      </c>
      <c r="E35">
        <v>3.49</v>
      </c>
      <c r="F35">
        <v>24.17</v>
      </c>
      <c r="G35">
        <v>139.41999999999999</v>
      </c>
      <c r="H35">
        <v>29.23922</v>
      </c>
      <c r="I35">
        <v>202.49626000000001</v>
      </c>
      <c r="J35">
        <v>1168.0607600000001</v>
      </c>
      <c r="K35">
        <v>25.720459999999999</v>
      </c>
      <c r="L35">
        <v>197.63702000000001</v>
      </c>
      <c r="M35">
        <v>455.00918000000001</v>
      </c>
      <c r="N35" s="93">
        <f>(D36-D35)/D35</f>
        <v>1.1458582000477452E-2</v>
      </c>
      <c r="O35" s="94">
        <f>(K36-K35)/K35</f>
        <v>8.1639286389124308E-3</v>
      </c>
      <c r="P35" s="94">
        <f>(L36-L35)/L35</f>
        <v>1.4888708603276785E-2</v>
      </c>
      <c r="Q35" s="95">
        <f>(M36-M35)/M35</f>
        <v>-6.2340280694996386E-3</v>
      </c>
      <c r="R35" s="2"/>
    </row>
    <row r="36" spans="1:20" x14ac:dyDescent="0.25">
      <c r="A36" s="92"/>
      <c r="B36" s="92"/>
      <c r="C36" s="5" t="s">
        <v>114</v>
      </c>
      <c r="D36">
        <v>8.4740000000000002</v>
      </c>
      <c r="E36">
        <v>3.48</v>
      </c>
      <c r="F36">
        <v>24.25</v>
      </c>
      <c r="G36">
        <v>138.47</v>
      </c>
      <c r="H36">
        <v>29.489519999999999</v>
      </c>
      <c r="I36">
        <v>205.49449999999999</v>
      </c>
      <c r="J36">
        <v>1173.3947800000001</v>
      </c>
      <c r="K36">
        <v>25.930440000000001</v>
      </c>
      <c r="L36">
        <v>200.57957999999999</v>
      </c>
      <c r="M36">
        <v>452.17264</v>
      </c>
      <c r="N36" s="93"/>
      <c r="O36" s="94"/>
      <c r="P36" s="94"/>
      <c r="Q36" s="95"/>
      <c r="R36" s="2"/>
    </row>
    <row r="37" spans="1:20" x14ac:dyDescent="0.25">
      <c r="A37" s="92"/>
      <c r="B37" s="92" t="s">
        <v>113</v>
      </c>
      <c r="C37" s="5" t="s">
        <v>111</v>
      </c>
      <c r="D37">
        <v>6.2830000000000004</v>
      </c>
      <c r="E37">
        <v>3.49</v>
      </c>
      <c r="F37">
        <v>23.14</v>
      </c>
      <c r="G37">
        <v>137.16</v>
      </c>
      <c r="H37">
        <v>21.927669999999999</v>
      </c>
      <c r="I37">
        <v>145.38862</v>
      </c>
      <c r="J37">
        <v>861.77628000000004</v>
      </c>
      <c r="K37">
        <v>19.288810000000002</v>
      </c>
      <c r="L37">
        <v>141.74448000000001</v>
      </c>
      <c r="M37">
        <v>327.09298000000001</v>
      </c>
      <c r="N37" s="93">
        <f>(D38-D37)/D37</f>
        <v>3.9789909279005992E-3</v>
      </c>
      <c r="O37" s="94">
        <f>(K38-K37)/K37</f>
        <v>7.0870105517124317E-4</v>
      </c>
      <c r="P37" s="94">
        <f>(L38-L37)/L37</f>
        <v>-6.9005297419695036E-2</v>
      </c>
      <c r="Q37" s="95">
        <f>(M38-M37)/M37</f>
        <v>-8.4732176153704097E-2</v>
      </c>
      <c r="R37" s="2"/>
    </row>
    <row r="38" spans="1:20" x14ac:dyDescent="0.25">
      <c r="A38" s="92"/>
      <c r="B38" s="92"/>
      <c r="C38" s="5" t="s">
        <v>114</v>
      </c>
      <c r="D38">
        <v>6.3079999999999998</v>
      </c>
      <c r="E38">
        <v>3.48</v>
      </c>
      <c r="F38">
        <v>21.5</v>
      </c>
      <c r="G38">
        <v>132.57</v>
      </c>
      <c r="H38">
        <v>21.951840000000001</v>
      </c>
      <c r="I38">
        <v>135.62200000000001</v>
      </c>
      <c r="J38">
        <v>836.25155999999993</v>
      </c>
      <c r="K38">
        <v>19.302479999999999</v>
      </c>
      <c r="L38">
        <v>131.96335999999999</v>
      </c>
      <c r="M38">
        <v>299.37768</v>
      </c>
      <c r="N38" s="93"/>
      <c r="O38" s="94"/>
      <c r="P38" s="94"/>
      <c r="Q38" s="95"/>
      <c r="R38" s="2"/>
    </row>
    <row r="39" spans="1:20" x14ac:dyDescent="0.25">
      <c r="A39" s="92" t="s">
        <v>31</v>
      </c>
      <c r="B39" s="92" t="s">
        <v>112</v>
      </c>
      <c r="C39" s="5" t="s">
        <v>111</v>
      </c>
      <c r="D39">
        <v>1.0469999999999999</v>
      </c>
      <c r="E39">
        <v>3.57</v>
      </c>
      <c r="F39">
        <v>10.62</v>
      </c>
      <c r="G39">
        <v>112.06</v>
      </c>
      <c r="H39">
        <v>3.7377899999999999</v>
      </c>
      <c r="I39">
        <v>11.11914</v>
      </c>
      <c r="J39">
        <v>117.32682</v>
      </c>
      <c r="K39">
        <v>3.298049999999999</v>
      </c>
      <c r="L39">
        <v>10.51188</v>
      </c>
      <c r="M39">
        <v>24.269459999999999</v>
      </c>
      <c r="N39" s="93">
        <f>(D40-D39)/D39</f>
        <v>0</v>
      </c>
      <c r="O39" s="94">
        <f>(K40-K39)/K39</f>
        <v>6.3492063492066077E-3</v>
      </c>
      <c r="P39" s="94">
        <f>(L40-L39)/L39</f>
        <v>-7.1713147410358599E-2</v>
      </c>
      <c r="Q39" s="95">
        <f>(M40-M39)/M39</f>
        <v>-8.2830025884383082E-2</v>
      </c>
      <c r="R39" s="2"/>
    </row>
    <row r="40" spans="1:20" x14ac:dyDescent="0.25">
      <c r="A40" s="92"/>
      <c r="B40" s="92"/>
      <c r="C40" s="5" t="s">
        <v>114</v>
      </c>
      <c r="D40">
        <v>1.0469999999999999</v>
      </c>
      <c r="E40">
        <v>3.59</v>
      </c>
      <c r="F40">
        <v>9.9</v>
      </c>
      <c r="G40">
        <v>110.14</v>
      </c>
      <c r="H40">
        <v>3.758729999999999</v>
      </c>
      <c r="I40">
        <v>10.3653</v>
      </c>
      <c r="J40">
        <v>115.31658</v>
      </c>
      <c r="K40">
        <v>3.3189899999999999</v>
      </c>
      <c r="L40">
        <v>9.7580399999999994</v>
      </c>
      <c r="M40">
        <v>22.259219999999999</v>
      </c>
      <c r="N40" s="93"/>
      <c r="O40" s="94"/>
      <c r="P40" s="94"/>
      <c r="Q40" s="95"/>
      <c r="R40" s="2"/>
      <c r="T40" s="14"/>
    </row>
    <row r="41" spans="1:20" x14ac:dyDescent="0.25">
      <c r="A41" s="92"/>
      <c r="B41" s="92" t="s">
        <v>113</v>
      </c>
      <c r="C41" s="5" t="s">
        <v>111</v>
      </c>
      <c r="D41">
        <v>1.0469999999999999</v>
      </c>
      <c r="E41">
        <v>3.6</v>
      </c>
      <c r="F41">
        <v>10.63</v>
      </c>
      <c r="G41">
        <v>111.38</v>
      </c>
      <c r="H41">
        <v>3.7692000000000001</v>
      </c>
      <c r="I41">
        <v>11.12961</v>
      </c>
      <c r="J41">
        <v>116.61485999999999</v>
      </c>
      <c r="K41">
        <v>3.3294600000000001</v>
      </c>
      <c r="L41">
        <v>10.522349999999999</v>
      </c>
      <c r="M41">
        <v>23.557500000000001</v>
      </c>
      <c r="N41" s="93">
        <f>(D42-D41)/D41</f>
        <v>0</v>
      </c>
      <c r="O41" s="94">
        <f>(K42-K41)/K41</f>
        <v>0</v>
      </c>
      <c r="P41" s="94">
        <f>(L42-L41)/L41</f>
        <v>-9.4527363184079616E-2</v>
      </c>
      <c r="Q41" s="95">
        <f>(M42-M41)/M41</f>
        <v>-7.1555555555555622E-2</v>
      </c>
      <c r="R41" s="2"/>
    </row>
    <row r="42" spans="1:20" x14ac:dyDescent="0.25">
      <c r="A42" s="92"/>
      <c r="B42" s="92"/>
      <c r="C42" s="5" t="s">
        <v>114</v>
      </c>
      <c r="D42">
        <v>1.0469999999999999</v>
      </c>
      <c r="E42">
        <v>3.6</v>
      </c>
      <c r="F42">
        <v>9.68</v>
      </c>
      <c r="G42">
        <v>109.77</v>
      </c>
      <c r="H42">
        <v>3.7692000000000001</v>
      </c>
      <c r="I42">
        <v>10.13496</v>
      </c>
      <c r="J42">
        <v>114.92919000000001</v>
      </c>
      <c r="K42">
        <v>3.3294600000000001</v>
      </c>
      <c r="L42">
        <v>9.5276999999999994</v>
      </c>
      <c r="M42">
        <v>21.871829999999999</v>
      </c>
      <c r="N42" s="93"/>
      <c r="O42" s="94"/>
      <c r="P42" s="94"/>
      <c r="Q42" s="95"/>
      <c r="R42" s="2"/>
    </row>
    <row r="43" spans="1:20" x14ac:dyDescent="0.25">
      <c r="A43" s="92" t="s">
        <v>33</v>
      </c>
      <c r="B43" s="92" t="s">
        <v>112</v>
      </c>
      <c r="C43" s="5" t="s">
        <v>111</v>
      </c>
      <c r="D43">
        <v>1.0469999999999999</v>
      </c>
      <c r="E43">
        <v>3.59</v>
      </c>
      <c r="F43">
        <v>10.53</v>
      </c>
      <c r="G43">
        <v>111.09</v>
      </c>
      <c r="H43">
        <v>3.758729999999999</v>
      </c>
      <c r="I43">
        <v>11.02491</v>
      </c>
      <c r="J43">
        <v>116.31122999999999</v>
      </c>
      <c r="K43">
        <v>3.3189899999999999</v>
      </c>
      <c r="L43">
        <v>10.41765</v>
      </c>
      <c r="M43">
        <v>24.489329999999999</v>
      </c>
      <c r="N43" s="93">
        <f>(D44-D43)/D43</f>
        <v>0</v>
      </c>
      <c r="O43" s="94">
        <f>(K44-K43)/K43</f>
        <v>0</v>
      </c>
      <c r="P43" s="94">
        <f>(L44-L43)/L43</f>
        <v>-7.0351758793969918E-2</v>
      </c>
      <c r="Q43" s="95">
        <f>(M44-M43)/M43</f>
        <v>-1.8383924754168387E-2</v>
      </c>
      <c r="R43" s="2"/>
    </row>
    <row r="44" spans="1:20" x14ac:dyDescent="0.25">
      <c r="A44" s="92"/>
      <c r="B44" s="92"/>
      <c r="C44" s="5" t="s">
        <v>114</v>
      </c>
      <c r="D44">
        <v>1.0469999999999999</v>
      </c>
      <c r="E44">
        <v>3.59</v>
      </c>
      <c r="F44">
        <v>9.83</v>
      </c>
      <c r="G44">
        <v>110.66</v>
      </c>
      <c r="H44">
        <v>3.758729999999999</v>
      </c>
      <c r="I44">
        <v>10.292009999999999</v>
      </c>
      <c r="J44">
        <v>115.86102</v>
      </c>
      <c r="K44">
        <v>3.3189899999999999</v>
      </c>
      <c r="L44">
        <v>9.6847499999999993</v>
      </c>
      <c r="M44">
        <v>24.03912</v>
      </c>
      <c r="N44" s="93"/>
      <c r="O44" s="94"/>
      <c r="P44" s="94"/>
      <c r="Q44" s="95"/>
      <c r="R44" s="2"/>
    </row>
    <row r="45" spans="1:20" x14ac:dyDescent="0.25">
      <c r="A45" s="92"/>
      <c r="B45" s="92" t="s">
        <v>113</v>
      </c>
      <c r="C45" s="5" t="s">
        <v>111</v>
      </c>
      <c r="D45">
        <v>1.0469999999999999</v>
      </c>
      <c r="E45">
        <v>3.61</v>
      </c>
      <c r="F45">
        <v>10.210000000000001</v>
      </c>
      <c r="G45">
        <v>110.51</v>
      </c>
      <c r="H45">
        <v>3.779669999999999</v>
      </c>
      <c r="I45">
        <v>10.689870000000001</v>
      </c>
      <c r="J45">
        <v>115.70397</v>
      </c>
      <c r="K45">
        <v>3.3399299999999998</v>
      </c>
      <c r="L45">
        <v>10.082610000000001</v>
      </c>
      <c r="M45">
        <v>23.882069999999999</v>
      </c>
      <c r="N45" s="93">
        <f>(D46-D45)/D45</f>
        <v>0</v>
      </c>
      <c r="O45" s="94">
        <f>(K46-K45)/K45</f>
        <v>-3.1347962382444416E-3</v>
      </c>
      <c r="P45" s="94">
        <f>(L46-L45)/L45</f>
        <v>-6.3343717549325135E-2</v>
      </c>
      <c r="Q45" s="95">
        <f>(M46-M45)/M45</f>
        <v>-7.0144673388864397E-3</v>
      </c>
      <c r="R45" s="2"/>
    </row>
    <row r="46" spans="1:20" x14ac:dyDescent="0.25">
      <c r="A46" s="92"/>
      <c r="B46" s="92"/>
      <c r="C46" s="5" t="s">
        <v>114</v>
      </c>
      <c r="D46">
        <v>1.0469999999999999</v>
      </c>
      <c r="E46">
        <v>3.6</v>
      </c>
      <c r="F46">
        <v>9.6</v>
      </c>
      <c r="G46">
        <v>110.35</v>
      </c>
      <c r="H46">
        <v>3.7692000000000001</v>
      </c>
      <c r="I46">
        <v>10.0512</v>
      </c>
      <c r="J46">
        <v>115.53645</v>
      </c>
      <c r="K46">
        <v>3.3294600000000001</v>
      </c>
      <c r="L46">
        <v>9.4439399999999996</v>
      </c>
      <c r="M46">
        <v>23.714549999999999</v>
      </c>
      <c r="N46" s="93"/>
      <c r="O46" s="94"/>
      <c r="P46" s="94"/>
      <c r="Q46" s="95"/>
      <c r="R46" s="2"/>
    </row>
    <row r="47" spans="1:20" x14ac:dyDescent="0.25">
      <c r="A47" s="92" t="s">
        <v>37</v>
      </c>
      <c r="B47" s="92" t="s">
        <v>112</v>
      </c>
      <c r="C47" s="5" t="s">
        <v>111</v>
      </c>
      <c r="D47">
        <v>12.95</v>
      </c>
      <c r="E47">
        <v>3.45</v>
      </c>
      <c r="F47">
        <v>23.3</v>
      </c>
      <c r="G47">
        <v>137.33000000000001</v>
      </c>
      <c r="H47">
        <v>44.677500000000002</v>
      </c>
      <c r="I47">
        <v>301.73500000000001</v>
      </c>
      <c r="J47">
        <v>1778.4235000000001</v>
      </c>
      <c r="K47">
        <v>39.238499999999988</v>
      </c>
      <c r="L47">
        <v>294.22399999999999</v>
      </c>
      <c r="M47">
        <v>661.6155</v>
      </c>
      <c r="N47" s="93">
        <f>(D48-D47)/D47</f>
        <v>-1.6756756756756662E-2</v>
      </c>
      <c r="O47" s="94">
        <f>(K48-K47)/K47</f>
        <v>-1.3511729551333191E-2</v>
      </c>
      <c r="P47" s="94">
        <f>(L48-L47)/L47</f>
        <v>2.6519794442329773E-2</v>
      </c>
      <c r="Q47" s="95">
        <f>(M48-M47)/M47</f>
        <v>3.0779176122687699E-2</v>
      </c>
      <c r="R47" s="2"/>
    </row>
    <row r="48" spans="1:20" x14ac:dyDescent="0.25">
      <c r="A48" s="92"/>
      <c r="B48" s="92"/>
      <c r="C48" s="5" t="s">
        <v>114</v>
      </c>
      <c r="D48">
        <v>12.733000000000001</v>
      </c>
      <c r="E48">
        <v>3.46</v>
      </c>
      <c r="F48">
        <v>24.3</v>
      </c>
      <c r="G48">
        <v>139.80000000000001</v>
      </c>
      <c r="H48">
        <v>44.056179999999998</v>
      </c>
      <c r="I48">
        <v>309.4119</v>
      </c>
      <c r="J48">
        <v>1780.0734</v>
      </c>
      <c r="K48">
        <v>38.708320000000001</v>
      </c>
      <c r="L48">
        <v>302.02676000000002</v>
      </c>
      <c r="M48">
        <v>681.97948000000008</v>
      </c>
      <c r="N48" s="93"/>
      <c r="O48" s="94"/>
      <c r="P48" s="94"/>
      <c r="Q48" s="95"/>
      <c r="R48" s="2"/>
    </row>
    <row r="49" spans="1:18" x14ac:dyDescent="0.25">
      <c r="A49" s="92"/>
      <c r="B49" s="92" t="s">
        <v>113</v>
      </c>
      <c r="C49" s="5" t="s">
        <v>111</v>
      </c>
      <c r="D49">
        <v>1.57</v>
      </c>
      <c r="E49">
        <v>3.52</v>
      </c>
      <c r="F49">
        <v>15.61</v>
      </c>
      <c r="G49">
        <v>118.92</v>
      </c>
      <c r="H49">
        <v>5.5264000000000006</v>
      </c>
      <c r="I49">
        <v>24.5077</v>
      </c>
      <c r="J49">
        <v>186.70439999999999</v>
      </c>
      <c r="K49">
        <v>4.867</v>
      </c>
      <c r="L49">
        <v>23.597100000000001</v>
      </c>
      <c r="M49">
        <v>51.307600000000001</v>
      </c>
      <c r="N49" s="93">
        <f>(D50-D49)/D49</f>
        <v>4.4585987261145828E-3</v>
      </c>
      <c r="O49" s="94">
        <f>(K50-K49)/K49</f>
        <v>1.0938976782412109E-2</v>
      </c>
      <c r="P49" s="94">
        <f>(L50-L49)/L49</f>
        <v>0.1361141835225515</v>
      </c>
      <c r="Q49" s="95">
        <f>(M50-M49)/M49</f>
        <v>0.12986224263072124</v>
      </c>
      <c r="R49" s="2"/>
    </row>
    <row r="50" spans="1:18" x14ac:dyDescent="0.25">
      <c r="A50" s="92"/>
      <c r="B50" s="92"/>
      <c r="C50" s="5" t="s">
        <v>114</v>
      </c>
      <c r="D50">
        <v>1.577</v>
      </c>
      <c r="E50">
        <v>3.54</v>
      </c>
      <c r="F50">
        <v>17.579999999999998</v>
      </c>
      <c r="G50">
        <v>123</v>
      </c>
      <c r="H50">
        <v>5.5825800000000001</v>
      </c>
      <c r="I50">
        <v>27.723659999999999</v>
      </c>
      <c r="J50">
        <v>193.971</v>
      </c>
      <c r="K50">
        <v>4.9202399999999997</v>
      </c>
      <c r="L50">
        <v>26.809000000000001</v>
      </c>
      <c r="M50">
        <v>57.970519999999993</v>
      </c>
      <c r="N50" s="93"/>
      <c r="O50" s="94"/>
      <c r="P50" s="94"/>
      <c r="Q50" s="95"/>
      <c r="R50" s="2"/>
    </row>
    <row r="51" spans="1:18" x14ac:dyDescent="0.25">
      <c r="A51" s="92" t="s">
        <v>39</v>
      </c>
      <c r="B51" s="92" t="s">
        <v>112</v>
      </c>
      <c r="C51" s="5" t="s">
        <v>111</v>
      </c>
      <c r="D51">
        <v>8.9009999999999998</v>
      </c>
      <c r="E51">
        <v>3.52</v>
      </c>
      <c r="F51">
        <v>22.77</v>
      </c>
      <c r="G51">
        <v>147.15</v>
      </c>
      <c r="H51">
        <v>31.331520000000001</v>
      </c>
      <c r="I51">
        <v>202.67577</v>
      </c>
      <c r="J51">
        <v>1309.78215</v>
      </c>
      <c r="K51">
        <v>27.5931</v>
      </c>
      <c r="L51">
        <v>197.51319000000001</v>
      </c>
      <c r="M51">
        <v>423.06452999999999</v>
      </c>
      <c r="N51" s="93">
        <f>(D52-D51)/D51</f>
        <v>-0.64700595438714759</v>
      </c>
      <c r="O51" s="94">
        <f>(K52-K51)/K51</f>
        <v>-0.64700595438714747</v>
      </c>
      <c r="P51" s="94">
        <f>(L52-L51)/L51</f>
        <v>-0.65655063340326791</v>
      </c>
      <c r="Q51" s="95">
        <f>(M52-M51)/M51</f>
        <v>-0.67181134282280774</v>
      </c>
      <c r="R51" s="2"/>
    </row>
    <row r="52" spans="1:18" x14ac:dyDescent="0.25">
      <c r="A52" s="92"/>
      <c r="B52" s="92"/>
      <c r="C52" s="5" t="s">
        <v>114</v>
      </c>
      <c r="D52">
        <v>3.1419999999999999</v>
      </c>
      <c r="E52">
        <v>3.52</v>
      </c>
      <c r="F52">
        <v>22.17</v>
      </c>
      <c r="G52">
        <v>143.80000000000001</v>
      </c>
      <c r="H52">
        <v>11.059839999999999</v>
      </c>
      <c r="I52">
        <v>69.658140000000003</v>
      </c>
      <c r="J52">
        <v>451.81959999999998</v>
      </c>
      <c r="K52">
        <v>9.7401999999999997</v>
      </c>
      <c r="L52">
        <v>67.83578</v>
      </c>
      <c r="M52">
        <v>138.84497999999999</v>
      </c>
      <c r="N52" s="93"/>
      <c r="O52" s="94"/>
      <c r="P52" s="94"/>
      <c r="Q52" s="95"/>
      <c r="R52" s="2"/>
    </row>
    <row r="53" spans="1:18" x14ac:dyDescent="0.25">
      <c r="A53" s="92"/>
      <c r="B53" s="92" t="s">
        <v>113</v>
      </c>
      <c r="C53" s="5" t="s">
        <v>111</v>
      </c>
      <c r="D53">
        <v>1.1000000000000001</v>
      </c>
      <c r="E53">
        <v>3.63</v>
      </c>
      <c r="F53">
        <v>13.66</v>
      </c>
      <c r="G53">
        <v>126.43</v>
      </c>
      <c r="H53">
        <v>3.9929999999999999</v>
      </c>
      <c r="I53">
        <v>15.026</v>
      </c>
      <c r="J53">
        <v>139.07300000000001</v>
      </c>
      <c r="K53">
        <v>3.5310000000000001</v>
      </c>
      <c r="L53">
        <v>14.388</v>
      </c>
      <c r="M53">
        <v>29.491</v>
      </c>
      <c r="N53" s="93">
        <f>(D54-D53)/D53</f>
        <v>0.43272727272727268</v>
      </c>
      <c r="O53" s="94">
        <f>(K54-K53)/K53</f>
        <v>0.41041064854148979</v>
      </c>
      <c r="P53" s="94">
        <f>(L54-L53)/L53</f>
        <v>0.43491798721156533</v>
      </c>
      <c r="Q53" s="95">
        <f>(M54-M53)/M53</f>
        <v>0.4984585127666068</v>
      </c>
      <c r="R53" s="2"/>
    </row>
    <row r="54" spans="1:18" x14ac:dyDescent="0.25">
      <c r="A54" s="92"/>
      <c r="B54" s="92"/>
      <c r="C54" s="5" t="s">
        <v>114</v>
      </c>
      <c r="D54">
        <v>1.5760000000000001</v>
      </c>
      <c r="E54">
        <v>3.58</v>
      </c>
      <c r="F54">
        <v>13.68</v>
      </c>
      <c r="G54">
        <v>127.65</v>
      </c>
      <c r="H54">
        <v>5.64208</v>
      </c>
      <c r="I54">
        <v>21.55968</v>
      </c>
      <c r="J54">
        <v>201.1764</v>
      </c>
      <c r="K54">
        <v>4.9801600000000006</v>
      </c>
      <c r="L54">
        <v>20.645600000000002</v>
      </c>
      <c r="M54">
        <v>44.191040000000001</v>
      </c>
      <c r="N54" s="93"/>
      <c r="O54" s="94"/>
      <c r="P54" s="94"/>
      <c r="Q54" s="95"/>
      <c r="R54" s="2"/>
    </row>
    <row r="55" spans="1:18" x14ac:dyDescent="0.25">
      <c r="A55" s="92" t="s">
        <v>49</v>
      </c>
      <c r="B55" s="92" t="s">
        <v>112</v>
      </c>
      <c r="C55" s="5" t="s">
        <v>111</v>
      </c>
      <c r="D55">
        <v>18.850000000000001</v>
      </c>
      <c r="E55">
        <v>3.45</v>
      </c>
      <c r="F55">
        <v>23.08</v>
      </c>
      <c r="G55">
        <v>136.18</v>
      </c>
      <c r="H55">
        <v>65.032500000000013</v>
      </c>
      <c r="I55">
        <v>435.05799999999999</v>
      </c>
      <c r="J55">
        <v>2566.9929999999999</v>
      </c>
      <c r="K55">
        <v>57.115499999999997</v>
      </c>
      <c r="L55">
        <v>424.12500000000011</v>
      </c>
      <c r="M55">
        <v>1018.0885</v>
      </c>
      <c r="N55" s="93">
        <f>(D56-D55)/D55</f>
        <v>-0.16514588859416451</v>
      </c>
      <c r="O55" s="94">
        <f>(K56-K55)/K55</f>
        <v>-0.16239059449711546</v>
      </c>
      <c r="P55" s="94">
        <f>(L56-L55)/L55</f>
        <v>-0.1792456469201299</v>
      </c>
      <c r="Q55" s="95">
        <f>(M56-M55)/M55</f>
        <v>-0.17782095564383646</v>
      </c>
      <c r="R55" s="2"/>
    </row>
    <row r="56" spans="1:18" x14ac:dyDescent="0.25">
      <c r="A56" s="92"/>
      <c r="B56" s="92"/>
      <c r="C56" s="5" t="s">
        <v>114</v>
      </c>
      <c r="D56">
        <v>15.737</v>
      </c>
      <c r="E56">
        <v>3.46</v>
      </c>
      <c r="F56">
        <v>22.7</v>
      </c>
      <c r="G56">
        <v>135.36000000000001</v>
      </c>
      <c r="H56">
        <v>54.450020000000002</v>
      </c>
      <c r="I56">
        <v>357.22989999999999</v>
      </c>
      <c r="J56">
        <v>2130.16032</v>
      </c>
      <c r="K56">
        <v>47.840479999999999</v>
      </c>
      <c r="L56">
        <v>348.10244</v>
      </c>
      <c r="M56">
        <v>837.05102999999997</v>
      </c>
      <c r="N56" s="93"/>
      <c r="O56" s="94"/>
      <c r="P56" s="94"/>
      <c r="Q56" s="95"/>
      <c r="R56" s="2"/>
    </row>
    <row r="57" spans="1:18" x14ac:dyDescent="0.25">
      <c r="A57" s="92"/>
      <c r="B57" s="92" t="s">
        <v>113</v>
      </c>
      <c r="C57" s="5" t="s">
        <v>111</v>
      </c>
      <c r="D57">
        <v>4.7290000000000001</v>
      </c>
      <c r="E57">
        <v>3.44</v>
      </c>
      <c r="F57">
        <v>20.73</v>
      </c>
      <c r="G57">
        <v>129.30000000000001</v>
      </c>
      <c r="H57">
        <v>16.267759999999999</v>
      </c>
      <c r="I57">
        <v>98.032170000000008</v>
      </c>
      <c r="J57">
        <v>611.45970000000011</v>
      </c>
      <c r="K57">
        <v>14.28158</v>
      </c>
      <c r="L57">
        <v>95.289349999999999</v>
      </c>
      <c r="M57">
        <v>222.87777</v>
      </c>
      <c r="N57" s="93">
        <f>(D58-D57)/D57</f>
        <v>-0.22139987312328191</v>
      </c>
      <c r="O57" s="94">
        <f>(K58-K57)/K57</f>
        <v>-0.20850914254585282</v>
      </c>
      <c r="P57" s="94">
        <f>(L58-L57)/L57</f>
        <v>-0.23028712022907061</v>
      </c>
      <c r="Q57" s="95">
        <f>(M58-M57)/M57</f>
        <v>-0.24089378676033946</v>
      </c>
      <c r="R57" s="2"/>
    </row>
    <row r="58" spans="1:18" x14ac:dyDescent="0.25">
      <c r="A58" s="92"/>
      <c r="B58" s="92"/>
      <c r="C58" s="5" t="s">
        <v>114</v>
      </c>
      <c r="D58">
        <v>3.6819999999999999</v>
      </c>
      <c r="E58">
        <v>3.49</v>
      </c>
      <c r="F58">
        <v>20.5</v>
      </c>
      <c r="G58">
        <v>128.12</v>
      </c>
      <c r="H58">
        <v>12.85018</v>
      </c>
      <c r="I58">
        <v>75.480999999999995</v>
      </c>
      <c r="J58">
        <v>471.73784000000001</v>
      </c>
      <c r="K58">
        <v>11.303739999999999</v>
      </c>
      <c r="L58">
        <v>73.345440000000011</v>
      </c>
      <c r="M58">
        <v>169.18790000000001</v>
      </c>
      <c r="N58" s="93"/>
      <c r="O58" s="94"/>
      <c r="P58" s="94"/>
      <c r="Q58" s="95"/>
      <c r="R58" s="2"/>
    </row>
    <row r="59" spans="1:18" x14ac:dyDescent="0.25">
      <c r="A59" s="92" t="s">
        <v>51</v>
      </c>
      <c r="B59" s="92" t="s">
        <v>112</v>
      </c>
      <c r="C59" s="5" t="s">
        <v>111</v>
      </c>
      <c r="D59">
        <v>18.324999999999999</v>
      </c>
      <c r="E59">
        <v>3.46</v>
      </c>
      <c r="F59">
        <v>23.88</v>
      </c>
      <c r="G59">
        <v>139.07</v>
      </c>
      <c r="H59">
        <v>63.404499999999999</v>
      </c>
      <c r="I59">
        <v>437.60099999999989</v>
      </c>
      <c r="J59">
        <v>2548.45775</v>
      </c>
      <c r="K59">
        <v>55.707999999999998</v>
      </c>
      <c r="L59">
        <v>426.97250000000003</v>
      </c>
      <c r="M59">
        <v>918.44899999999996</v>
      </c>
      <c r="N59" s="93">
        <f>(D60-D59)/D59</f>
        <v>3.2851296043656227E-2</v>
      </c>
      <c r="O59" s="94">
        <f>(K60-K59)/K59</f>
        <v>2.945375888561777E-2</v>
      </c>
      <c r="P59" s="94">
        <f>(L60-L59)/L59</f>
        <v>2.2647125985864346E-3</v>
      </c>
      <c r="Q59" s="95">
        <f>(M60-M59)/M59</f>
        <v>-1.16610503141709E-2</v>
      </c>
      <c r="R59" s="2"/>
    </row>
    <row r="60" spans="1:18" x14ac:dyDescent="0.25">
      <c r="A60" s="92"/>
      <c r="B60" s="92"/>
      <c r="C60" s="5" t="s">
        <v>114</v>
      </c>
      <c r="D60">
        <v>18.927</v>
      </c>
      <c r="E60">
        <v>3.45</v>
      </c>
      <c r="F60">
        <v>23.19</v>
      </c>
      <c r="G60">
        <v>136.91999999999999</v>
      </c>
      <c r="H60">
        <v>65.298150000000007</v>
      </c>
      <c r="I60">
        <v>438.91712999999999</v>
      </c>
      <c r="J60">
        <v>2591.4848400000001</v>
      </c>
      <c r="K60">
        <v>57.348809999999993</v>
      </c>
      <c r="L60">
        <v>427.93946999999997</v>
      </c>
      <c r="M60">
        <v>907.73892000000001</v>
      </c>
      <c r="N60" s="93"/>
      <c r="O60" s="94"/>
      <c r="P60" s="94"/>
      <c r="Q60" s="95"/>
      <c r="R60" s="2"/>
    </row>
    <row r="61" spans="1:18" x14ac:dyDescent="0.25">
      <c r="A61" s="92"/>
      <c r="B61" s="92" t="s">
        <v>113</v>
      </c>
      <c r="C61" s="5" t="s">
        <v>111</v>
      </c>
      <c r="D61">
        <v>5.2539999999999996</v>
      </c>
      <c r="E61">
        <v>3.45</v>
      </c>
      <c r="F61">
        <v>22.9</v>
      </c>
      <c r="G61">
        <v>134.09</v>
      </c>
      <c r="H61">
        <v>18.126300000000001</v>
      </c>
      <c r="I61">
        <v>120.31659999999999</v>
      </c>
      <c r="J61">
        <v>704.50885999999991</v>
      </c>
      <c r="K61">
        <v>15.91962</v>
      </c>
      <c r="L61">
        <v>117.26927999999999</v>
      </c>
      <c r="M61">
        <v>237.16556</v>
      </c>
      <c r="N61" s="93">
        <f>(D62-D61)/D61</f>
        <v>-0.79311001141987059</v>
      </c>
      <c r="O61" s="94">
        <f>(K62-K61)/K61</f>
        <v>-0.78559915374864475</v>
      </c>
      <c r="P61" s="94">
        <f>(L62-L61)/L61</f>
        <v>-0.88654419981089683</v>
      </c>
      <c r="Q61" s="95">
        <f>(M62-M61)/M61</f>
        <v>-0.89059672070430462</v>
      </c>
      <c r="R61" s="2"/>
    </row>
    <row r="62" spans="1:18" x14ac:dyDescent="0.25">
      <c r="A62" s="92"/>
      <c r="B62" s="92"/>
      <c r="C62" s="5" t="s">
        <v>114</v>
      </c>
      <c r="D62">
        <v>1.087</v>
      </c>
      <c r="E62">
        <v>3.56</v>
      </c>
      <c r="F62">
        <v>12.82</v>
      </c>
      <c r="G62">
        <v>112.82</v>
      </c>
      <c r="H62">
        <v>3.86972</v>
      </c>
      <c r="I62">
        <v>13.93534</v>
      </c>
      <c r="J62">
        <v>122.63534</v>
      </c>
      <c r="K62">
        <v>3.4131800000000001</v>
      </c>
      <c r="L62">
        <v>13.304880000000001</v>
      </c>
      <c r="M62">
        <v>25.94669</v>
      </c>
      <c r="N62" s="93"/>
      <c r="O62" s="94"/>
      <c r="P62" s="94"/>
      <c r="Q62" s="95"/>
      <c r="R62" s="2"/>
    </row>
    <row r="63" spans="1:18" x14ac:dyDescent="0.25">
      <c r="A63" s="92" t="s">
        <v>55</v>
      </c>
      <c r="B63" s="92" t="s">
        <v>112</v>
      </c>
      <c r="C63" s="5" t="s">
        <v>111</v>
      </c>
      <c r="D63">
        <v>9.9480000000000004</v>
      </c>
      <c r="E63">
        <v>3.45</v>
      </c>
      <c r="F63">
        <v>24.33</v>
      </c>
      <c r="G63">
        <v>137.76</v>
      </c>
      <c r="H63">
        <v>34.320600000000013</v>
      </c>
      <c r="I63">
        <v>242.03484</v>
      </c>
      <c r="J63">
        <v>1370.4364800000001</v>
      </c>
      <c r="K63">
        <v>30.142440000000001</v>
      </c>
      <c r="L63">
        <v>236.26499999999999</v>
      </c>
      <c r="M63">
        <v>531.42216000000008</v>
      </c>
      <c r="N63" s="93">
        <f>(D64-D63)/D63</f>
        <v>0.37263771612384389</v>
      </c>
      <c r="O63" s="94">
        <f>(K64-K63)/K63</f>
        <v>0.37263771612384405</v>
      </c>
      <c r="P63" s="94">
        <f>(L64-L63)/L63</f>
        <v>0.37205976340126551</v>
      </c>
      <c r="Q63" s="95">
        <f>(M64-M63)/M63</f>
        <v>0.40578452731440445</v>
      </c>
      <c r="R63" s="2"/>
    </row>
    <row r="64" spans="1:18" x14ac:dyDescent="0.25">
      <c r="A64" s="92"/>
      <c r="B64" s="92"/>
      <c r="C64" s="5" t="s">
        <v>114</v>
      </c>
      <c r="D64">
        <v>13.654999999999999</v>
      </c>
      <c r="E64">
        <v>3.45</v>
      </c>
      <c r="F64">
        <v>24.32</v>
      </c>
      <c r="G64">
        <v>139.06</v>
      </c>
      <c r="H64">
        <v>47.109749999999998</v>
      </c>
      <c r="I64">
        <v>332.08960000000002</v>
      </c>
      <c r="J64">
        <v>1898.8643</v>
      </c>
      <c r="K64">
        <v>41.374650000000003</v>
      </c>
      <c r="L64">
        <v>324.16969999999998</v>
      </c>
      <c r="M64">
        <v>747.06504999999993</v>
      </c>
      <c r="N64" s="93"/>
      <c r="O64" s="94"/>
      <c r="P64" s="94"/>
      <c r="Q64" s="95"/>
      <c r="R64" s="2"/>
    </row>
    <row r="65" spans="1:18" x14ac:dyDescent="0.25">
      <c r="A65" s="92"/>
      <c r="B65" s="92" t="s">
        <v>113</v>
      </c>
      <c r="C65" s="5" t="s">
        <v>111</v>
      </c>
      <c r="D65">
        <v>2.7050000000000001</v>
      </c>
      <c r="E65">
        <v>3.48</v>
      </c>
      <c r="F65">
        <v>20.67</v>
      </c>
      <c r="G65">
        <v>127.46</v>
      </c>
      <c r="H65">
        <v>9.4133999999999993</v>
      </c>
      <c r="I65">
        <v>55.912350000000004</v>
      </c>
      <c r="J65">
        <v>344.77929999999998</v>
      </c>
      <c r="K65">
        <v>8.2773000000000003</v>
      </c>
      <c r="L65">
        <v>54.343449999999997</v>
      </c>
      <c r="M65">
        <v>116.61255</v>
      </c>
      <c r="N65" s="93">
        <f>(D66-D65)/D65</f>
        <v>0.16561922365988907</v>
      </c>
      <c r="O65" s="94">
        <f>(K66-K65)/K65</f>
        <v>0.1618100105106737</v>
      </c>
      <c r="P65" s="94">
        <f>(L66-L65)/L65</f>
        <v>0.11920332625182962</v>
      </c>
      <c r="Q65" s="95">
        <f>(M66-M65)/M65</f>
        <v>0.14912588739376678</v>
      </c>
      <c r="R65" s="2"/>
    </row>
    <row r="66" spans="1:18" x14ac:dyDescent="0.25">
      <c r="A66" s="92"/>
      <c r="B66" s="92"/>
      <c r="C66" s="5" t="s">
        <v>114</v>
      </c>
      <c r="D66">
        <v>3.153</v>
      </c>
      <c r="E66">
        <v>3.47</v>
      </c>
      <c r="F66">
        <v>19.87</v>
      </c>
      <c r="G66">
        <v>126.85</v>
      </c>
      <c r="H66">
        <v>10.940910000000001</v>
      </c>
      <c r="I66">
        <v>62.650110000000012</v>
      </c>
      <c r="J66">
        <v>399.95805000000001</v>
      </c>
      <c r="K66">
        <v>9.6166499999999999</v>
      </c>
      <c r="L66">
        <v>60.821369999999987</v>
      </c>
      <c r="M66">
        <v>134.0025</v>
      </c>
      <c r="N66" s="93"/>
      <c r="O66" s="94"/>
      <c r="P66" s="94"/>
      <c r="Q66" s="95"/>
      <c r="R66" s="2"/>
    </row>
    <row r="67" spans="1:18" x14ac:dyDescent="0.25">
      <c r="A67" s="92" t="s">
        <v>57</v>
      </c>
      <c r="B67" s="92" t="s">
        <v>112</v>
      </c>
      <c r="C67" s="5" t="s">
        <v>111</v>
      </c>
      <c r="D67">
        <v>1.0469999999999999</v>
      </c>
      <c r="E67">
        <v>3.61</v>
      </c>
      <c r="F67">
        <v>6.87</v>
      </c>
      <c r="G67">
        <v>115.63</v>
      </c>
      <c r="H67">
        <v>3.779669999999999</v>
      </c>
      <c r="I67">
        <v>7.1928899999999993</v>
      </c>
      <c r="J67">
        <v>121.06461</v>
      </c>
      <c r="K67">
        <v>3.3399299999999998</v>
      </c>
      <c r="L67">
        <v>6.5856299999999992</v>
      </c>
      <c r="M67">
        <v>20.898119999999999</v>
      </c>
      <c r="N67" s="93">
        <f>(D68-D67)/D67</f>
        <v>0</v>
      </c>
      <c r="O67" s="94">
        <f>(K68-K67)/K67</f>
        <v>0</v>
      </c>
      <c r="P67" s="94">
        <f>(L68-L67)/L67</f>
        <v>-1.1128775834658201E-2</v>
      </c>
      <c r="Q67" s="95">
        <f>(M68-M67)/M67</f>
        <v>1.2525050100200536E-2</v>
      </c>
      <c r="R67" s="2"/>
    </row>
    <row r="68" spans="1:18" x14ac:dyDescent="0.25">
      <c r="A68" s="92"/>
      <c r="B68" s="92"/>
      <c r="C68" s="5" t="s">
        <v>114</v>
      </c>
      <c r="D68">
        <v>1.0469999999999999</v>
      </c>
      <c r="E68">
        <v>3.61</v>
      </c>
      <c r="F68">
        <v>6.8</v>
      </c>
      <c r="G68">
        <v>115.87</v>
      </c>
      <c r="H68">
        <v>3.779669999999999</v>
      </c>
      <c r="I68">
        <v>7.1195999999999993</v>
      </c>
      <c r="J68">
        <v>121.31589</v>
      </c>
      <c r="K68">
        <v>3.3399299999999998</v>
      </c>
      <c r="L68">
        <v>6.5123399999999991</v>
      </c>
      <c r="M68">
        <v>21.159870000000002</v>
      </c>
      <c r="N68" s="93"/>
      <c r="O68" s="94"/>
      <c r="P68" s="94"/>
      <c r="Q68" s="95"/>
      <c r="R68" s="2"/>
    </row>
    <row r="69" spans="1:18" x14ac:dyDescent="0.25">
      <c r="A69" s="92"/>
      <c r="B69" s="92" t="s">
        <v>113</v>
      </c>
      <c r="C69" s="5" t="s">
        <v>111</v>
      </c>
      <c r="D69">
        <v>0.52400000000000002</v>
      </c>
      <c r="E69">
        <v>3.73</v>
      </c>
      <c r="F69">
        <v>6.88</v>
      </c>
      <c r="G69">
        <v>115.12</v>
      </c>
      <c r="H69">
        <v>1.95452</v>
      </c>
      <c r="I69">
        <v>3.6051199999999999</v>
      </c>
      <c r="J69">
        <v>60.322879999999998</v>
      </c>
      <c r="K69">
        <v>1.73444</v>
      </c>
      <c r="L69">
        <v>3.3012000000000001</v>
      </c>
      <c r="M69">
        <v>10.197039999999999</v>
      </c>
      <c r="N69" s="93">
        <f>(D70-D69)/D69</f>
        <v>-1.9083969465648872E-3</v>
      </c>
      <c r="O69" s="94">
        <f>(K70-K69)/K69</f>
        <v>1.1069855400013386E-3</v>
      </c>
      <c r="P69" s="94">
        <f>(L70-L69)/L69</f>
        <v>6.0129649824306082E-3</v>
      </c>
      <c r="Q69" s="95">
        <f>(M70-M69)/M69</f>
        <v>6.2979060590132637E-3</v>
      </c>
      <c r="R69" s="2"/>
    </row>
    <row r="70" spans="1:18" x14ac:dyDescent="0.25">
      <c r="A70" s="92"/>
      <c r="B70" s="92"/>
      <c r="C70" s="5" t="s">
        <v>114</v>
      </c>
      <c r="D70">
        <v>0.52300000000000002</v>
      </c>
      <c r="E70">
        <v>3.74</v>
      </c>
      <c r="F70">
        <v>6.93</v>
      </c>
      <c r="G70">
        <v>115.29</v>
      </c>
      <c r="H70">
        <v>1.9560200000000001</v>
      </c>
      <c r="I70">
        <v>3.62439</v>
      </c>
      <c r="J70">
        <v>60.296670000000013</v>
      </c>
      <c r="K70">
        <v>1.7363599999999999</v>
      </c>
      <c r="L70">
        <v>3.3210500000000001</v>
      </c>
      <c r="M70">
        <v>10.26126</v>
      </c>
      <c r="N70" s="93"/>
      <c r="O70" s="94"/>
      <c r="P70" s="94"/>
      <c r="Q70" s="95"/>
      <c r="R70" s="2"/>
    </row>
    <row r="71" spans="1:18" x14ac:dyDescent="0.25">
      <c r="A71" s="92" t="s">
        <v>61</v>
      </c>
      <c r="B71" s="92" t="s">
        <v>112</v>
      </c>
      <c r="C71" s="5" t="s">
        <v>111</v>
      </c>
      <c r="D71">
        <v>16.18</v>
      </c>
      <c r="E71">
        <v>4.29</v>
      </c>
      <c r="F71">
        <v>27.43</v>
      </c>
      <c r="G71">
        <v>147.84</v>
      </c>
      <c r="H71">
        <v>69.412199999999999</v>
      </c>
      <c r="I71">
        <v>443.81740000000002</v>
      </c>
      <c r="J71">
        <v>2392.0511999999999</v>
      </c>
      <c r="K71">
        <v>62.616599999999998</v>
      </c>
      <c r="L71">
        <v>434.43299999999999</v>
      </c>
      <c r="M71">
        <v>1067.2328</v>
      </c>
      <c r="N71" s="93">
        <f>(D72-D71)/D71</f>
        <v>0.44592088998763907</v>
      </c>
      <c r="O71" s="94">
        <f>(K72-K71)/K71</f>
        <v>0.38614121494939052</v>
      </c>
      <c r="P71" s="94">
        <f>(L72-L71)/L71</f>
        <v>0.48792529573029658</v>
      </c>
      <c r="Q71" s="95">
        <f>(M72-M71)/M71</f>
        <v>0.49151693988415657</v>
      </c>
      <c r="R71" s="2"/>
    </row>
    <row r="72" spans="1:18" x14ac:dyDescent="0.25">
      <c r="A72" s="92"/>
      <c r="B72" s="92"/>
      <c r="C72" s="5" t="s">
        <v>114</v>
      </c>
      <c r="D72">
        <v>23.395</v>
      </c>
      <c r="E72">
        <v>4.13</v>
      </c>
      <c r="F72">
        <v>28.21</v>
      </c>
      <c r="G72">
        <v>149.91999999999999</v>
      </c>
      <c r="H72">
        <v>96.621349999999993</v>
      </c>
      <c r="I72">
        <v>659.97294999999997</v>
      </c>
      <c r="J72">
        <v>3507.3784000000001</v>
      </c>
      <c r="K72">
        <v>86.795450000000002</v>
      </c>
      <c r="L72">
        <v>646.40384999999992</v>
      </c>
      <c r="M72">
        <v>1591.7958000000001</v>
      </c>
      <c r="N72" s="93"/>
      <c r="O72" s="94"/>
      <c r="P72" s="94"/>
      <c r="Q72" s="95"/>
      <c r="R72" s="2"/>
    </row>
    <row r="73" spans="1:18" x14ac:dyDescent="0.25">
      <c r="A73" s="92"/>
      <c r="B73" s="92" t="s">
        <v>113</v>
      </c>
      <c r="C73" s="5" t="s">
        <v>111</v>
      </c>
      <c r="D73">
        <v>12.467000000000001</v>
      </c>
      <c r="E73">
        <v>4.62</v>
      </c>
      <c r="F73">
        <v>28.13</v>
      </c>
      <c r="G73">
        <v>150.11000000000001</v>
      </c>
      <c r="H73">
        <v>57.597540000000002</v>
      </c>
      <c r="I73">
        <v>350.69671</v>
      </c>
      <c r="J73">
        <v>1871.42137</v>
      </c>
      <c r="K73">
        <v>52.361400000000003</v>
      </c>
      <c r="L73">
        <v>343.46584999999999</v>
      </c>
      <c r="M73">
        <v>850.62341000000004</v>
      </c>
      <c r="N73" s="93">
        <f>(D74-D73)/D73</f>
        <v>0.4353894280901579</v>
      </c>
      <c r="O73" s="94">
        <f>(K74-K73)/K73</f>
        <v>0.35678476893283972</v>
      </c>
      <c r="P73" s="94">
        <f>(L74-L73)/L73</f>
        <v>0.40985981575751967</v>
      </c>
      <c r="Q73" s="95">
        <f>(M74-M73)/M73</f>
        <v>0.41687641773226042</v>
      </c>
      <c r="R73" s="2"/>
    </row>
    <row r="74" spans="1:18" x14ac:dyDescent="0.25">
      <c r="A74" s="92"/>
      <c r="B74" s="92"/>
      <c r="C74" s="5" t="s">
        <v>114</v>
      </c>
      <c r="D74">
        <v>17.895</v>
      </c>
      <c r="E74">
        <v>4.3899999999999997</v>
      </c>
      <c r="F74">
        <v>27.64</v>
      </c>
      <c r="G74">
        <v>149.22999999999999</v>
      </c>
      <c r="H74">
        <v>78.559049999999999</v>
      </c>
      <c r="I74">
        <v>494.61779999999999</v>
      </c>
      <c r="J74">
        <v>2670.4708500000002</v>
      </c>
      <c r="K74">
        <v>71.043149999999997</v>
      </c>
      <c r="L74">
        <v>484.23869999999988</v>
      </c>
      <c r="M74">
        <v>1205.2282499999999</v>
      </c>
      <c r="N74" s="93"/>
      <c r="O74" s="94"/>
      <c r="P74" s="94"/>
      <c r="Q74" s="95"/>
      <c r="R74" s="2"/>
    </row>
    <row r="75" spans="1:18" x14ac:dyDescent="0.25">
      <c r="A75" s="92" t="s">
        <v>63</v>
      </c>
      <c r="B75" s="92" t="s">
        <v>112</v>
      </c>
      <c r="C75" s="5" t="s">
        <v>111</v>
      </c>
      <c r="D75">
        <v>1.0469999999999999</v>
      </c>
      <c r="E75">
        <v>3.56</v>
      </c>
      <c r="F75">
        <v>9.4700000000000006</v>
      </c>
      <c r="G75">
        <v>108.68</v>
      </c>
      <c r="H75">
        <v>3.7273200000000002</v>
      </c>
      <c r="I75">
        <v>9.9150899999999993</v>
      </c>
      <c r="J75">
        <v>113.78796</v>
      </c>
      <c r="K75">
        <v>3.2875800000000002</v>
      </c>
      <c r="L75">
        <v>9.3078299999999992</v>
      </c>
      <c r="M75">
        <v>32.226660000000003</v>
      </c>
      <c r="N75" s="93">
        <f>(D76-D75)/D75</f>
        <v>9.5510983763143458E-4</v>
      </c>
      <c r="O75" s="94">
        <f>(K76-K75)/K75</f>
        <v>9.5510983763123585E-4</v>
      </c>
      <c r="P75" s="94">
        <f>(L76-L75)/L75</f>
        <v>6.4007400221104169E-2</v>
      </c>
      <c r="Q75" s="95">
        <f>(M76-M75)/M75</f>
        <v>-1.4979523164982137E-2</v>
      </c>
      <c r="R75" s="2"/>
    </row>
    <row r="76" spans="1:18" x14ac:dyDescent="0.25">
      <c r="A76" s="92"/>
      <c r="B76" s="92"/>
      <c r="C76" s="5" t="s">
        <v>114</v>
      </c>
      <c r="D76">
        <v>1.048</v>
      </c>
      <c r="E76">
        <v>3.56</v>
      </c>
      <c r="F76">
        <v>10.029999999999999</v>
      </c>
      <c r="G76">
        <v>108.19</v>
      </c>
      <c r="H76">
        <v>3.73088</v>
      </c>
      <c r="I76">
        <v>10.51144</v>
      </c>
      <c r="J76">
        <v>113.38312000000001</v>
      </c>
      <c r="K76">
        <v>3.2907199999999999</v>
      </c>
      <c r="L76">
        <v>9.9035999999999991</v>
      </c>
      <c r="M76">
        <v>31.743919999999999</v>
      </c>
      <c r="N76" s="93"/>
      <c r="O76" s="94"/>
      <c r="P76" s="94"/>
      <c r="Q76" s="95"/>
      <c r="R76" s="2"/>
    </row>
    <row r="77" spans="1:18" x14ac:dyDescent="0.25">
      <c r="A77" s="92"/>
      <c r="B77" s="92" t="s">
        <v>113</v>
      </c>
      <c r="C77" s="5" t="s">
        <v>111</v>
      </c>
      <c r="D77">
        <v>1.0469999999999999</v>
      </c>
      <c r="E77">
        <v>3.57</v>
      </c>
      <c r="F77">
        <v>5.66</v>
      </c>
      <c r="G77">
        <v>102.01</v>
      </c>
      <c r="H77">
        <v>3.7377899999999999</v>
      </c>
      <c r="I77">
        <v>5.9260199999999994</v>
      </c>
      <c r="J77">
        <v>106.80446999999999</v>
      </c>
      <c r="K77">
        <v>3.298049999999999</v>
      </c>
      <c r="L77">
        <v>5.3187600000000002</v>
      </c>
      <c r="M77">
        <v>25.243169999999999</v>
      </c>
      <c r="N77" s="93">
        <f>(D78-D77)/D77</f>
        <v>0</v>
      </c>
      <c r="O77" s="94">
        <f>(K78-K77)/K77</f>
        <v>-3.1746031746028324E-3</v>
      </c>
      <c r="P77" s="94">
        <f>(L78-L77)/L77</f>
        <v>1.9685039370078285E-3</v>
      </c>
      <c r="Q77" s="95">
        <f>(M78-M77)/M77</f>
        <v>-2.4056408129406893E-2</v>
      </c>
      <c r="R77" s="2"/>
    </row>
    <row r="78" spans="1:18" x14ac:dyDescent="0.25">
      <c r="A78" s="92"/>
      <c r="B78" s="92"/>
      <c r="C78" s="5" t="s">
        <v>114</v>
      </c>
      <c r="D78">
        <v>1.0469999999999999</v>
      </c>
      <c r="E78">
        <v>3.56</v>
      </c>
      <c r="F78">
        <v>5.67</v>
      </c>
      <c r="G78">
        <v>101.43</v>
      </c>
      <c r="H78">
        <v>3.7273200000000002</v>
      </c>
      <c r="I78">
        <v>5.9364899999999992</v>
      </c>
      <c r="J78">
        <v>106.19721</v>
      </c>
      <c r="K78">
        <v>3.2875800000000002</v>
      </c>
      <c r="L78">
        <v>5.3292299999999999</v>
      </c>
      <c r="M78">
        <v>24.635909999999999</v>
      </c>
      <c r="N78" s="93"/>
      <c r="O78" s="94"/>
      <c r="P78" s="94"/>
      <c r="Q78" s="95"/>
      <c r="R78" s="2"/>
    </row>
    <row r="79" spans="1:18" x14ac:dyDescent="0.25">
      <c r="A79" s="92" t="s">
        <v>65</v>
      </c>
      <c r="B79" s="92" t="s">
        <v>112</v>
      </c>
      <c r="C79" s="5" t="s">
        <v>111</v>
      </c>
      <c r="D79">
        <v>1.0469999999999999</v>
      </c>
      <c r="E79">
        <v>3.59</v>
      </c>
      <c r="F79">
        <v>12.6</v>
      </c>
      <c r="G79">
        <v>127.12</v>
      </c>
      <c r="H79">
        <v>3.758729999999999</v>
      </c>
      <c r="I79">
        <v>13.1922</v>
      </c>
      <c r="J79">
        <v>133.09464</v>
      </c>
      <c r="K79">
        <v>3.3189899999999999</v>
      </c>
      <c r="L79">
        <v>12.58494</v>
      </c>
      <c r="M79">
        <v>27.399989999999999</v>
      </c>
      <c r="N79" s="93">
        <f>(D80-D79)/D79</f>
        <v>0</v>
      </c>
      <c r="O79" s="94">
        <f>(K80-K79)/K79</f>
        <v>0</v>
      </c>
      <c r="P79" s="94">
        <f>(L80-L79)/L79</f>
        <v>-1.3311148086522437E-2</v>
      </c>
      <c r="Q79" s="95">
        <f>(M80-M79)/M79</f>
        <v>-1.4520443255636149E-2</v>
      </c>
      <c r="R79" s="2"/>
    </row>
    <row r="80" spans="1:18" x14ac:dyDescent="0.25">
      <c r="A80" s="92"/>
      <c r="B80" s="92"/>
      <c r="C80" s="5" t="s">
        <v>114</v>
      </c>
      <c r="D80">
        <v>1.0469999999999999</v>
      </c>
      <c r="E80">
        <v>3.59</v>
      </c>
      <c r="F80">
        <v>12.44</v>
      </c>
      <c r="G80">
        <v>126.73</v>
      </c>
      <c r="H80">
        <v>3.758729999999999</v>
      </c>
      <c r="I80">
        <v>13.02468</v>
      </c>
      <c r="J80">
        <v>132.68630999999999</v>
      </c>
      <c r="K80">
        <v>3.3189899999999999</v>
      </c>
      <c r="L80">
        <v>12.41742</v>
      </c>
      <c r="M80">
        <v>27.002130000000001</v>
      </c>
      <c r="N80" s="93"/>
      <c r="O80" s="94"/>
      <c r="P80" s="94"/>
      <c r="Q80" s="95"/>
      <c r="R80" s="2"/>
    </row>
    <row r="81" spans="1:18" x14ac:dyDescent="0.25">
      <c r="A81" s="92"/>
      <c r="B81" s="92" t="s">
        <v>113</v>
      </c>
      <c r="C81" s="5" t="s">
        <v>111</v>
      </c>
      <c r="D81">
        <v>1.0469999999999999</v>
      </c>
      <c r="E81">
        <v>3.59</v>
      </c>
      <c r="F81">
        <v>9.41</v>
      </c>
      <c r="G81">
        <v>122.19</v>
      </c>
      <c r="H81">
        <v>3.758729999999999</v>
      </c>
      <c r="I81">
        <v>9.852269999999999</v>
      </c>
      <c r="J81">
        <v>127.93293</v>
      </c>
      <c r="K81">
        <v>3.3189899999999999</v>
      </c>
      <c r="L81">
        <v>9.2450099999999988</v>
      </c>
      <c r="M81">
        <v>22.248750000000001</v>
      </c>
      <c r="N81" s="93">
        <f>(D82-D81)/D81</f>
        <v>0</v>
      </c>
      <c r="O81" s="94">
        <f>(K82-K81)/K81</f>
        <v>3.1545741324921742E-3</v>
      </c>
      <c r="P81" s="94">
        <f>(L82-L81)/L81</f>
        <v>-4.5300113250284005E-3</v>
      </c>
      <c r="Q81" s="95">
        <f>(M82-M81)/M81</f>
        <v>6.8235294117646991E-2</v>
      </c>
      <c r="R81" s="2"/>
    </row>
    <row r="82" spans="1:18" x14ac:dyDescent="0.25">
      <c r="A82" s="92"/>
      <c r="B82" s="92"/>
      <c r="C82" s="5" t="s">
        <v>114</v>
      </c>
      <c r="D82">
        <v>1.0469999999999999</v>
      </c>
      <c r="E82">
        <v>3.6</v>
      </c>
      <c r="F82">
        <v>9.3699999999999992</v>
      </c>
      <c r="G82">
        <v>123.64</v>
      </c>
      <c r="H82">
        <v>3.7692000000000001</v>
      </c>
      <c r="I82">
        <v>9.8103899999999982</v>
      </c>
      <c r="J82">
        <v>129.45107999999999</v>
      </c>
      <c r="K82">
        <v>3.3294600000000001</v>
      </c>
      <c r="L82">
        <v>9.203129999999998</v>
      </c>
      <c r="M82">
        <v>23.7669</v>
      </c>
      <c r="N82" s="93"/>
      <c r="O82" s="94"/>
      <c r="P82" s="94"/>
      <c r="Q82" s="95"/>
      <c r="R82" s="2"/>
    </row>
    <row r="83" spans="1:18" x14ac:dyDescent="0.25">
      <c r="A83" s="92" t="s">
        <v>71</v>
      </c>
      <c r="B83" s="92" t="s">
        <v>112</v>
      </c>
      <c r="C83" s="5" t="s">
        <v>111</v>
      </c>
      <c r="D83">
        <v>4.1890000000000001</v>
      </c>
      <c r="E83">
        <v>3.48</v>
      </c>
      <c r="F83">
        <v>21.95</v>
      </c>
      <c r="G83">
        <v>131.9</v>
      </c>
      <c r="H83">
        <v>14.577719999999999</v>
      </c>
      <c r="I83">
        <v>91.948549999999997</v>
      </c>
      <c r="J83">
        <v>552.52910000000008</v>
      </c>
      <c r="K83">
        <v>12.818339999999999</v>
      </c>
      <c r="L83">
        <v>89.518930000000012</v>
      </c>
      <c r="M83">
        <v>193.02912000000001</v>
      </c>
      <c r="N83" s="93">
        <f>(D84-D83)/D83</f>
        <v>0.12485079971353537</v>
      </c>
      <c r="O83" s="94">
        <f>(K84-K83)/K83</f>
        <v>0.11749883370233589</v>
      </c>
      <c r="P83" s="94">
        <f>(L84-L83)/L83</f>
        <v>3.0104358932797549E-2</v>
      </c>
      <c r="Q83" s="95">
        <f>(M84-M83)/M83</f>
        <v>4.1365779422296522E-2</v>
      </c>
      <c r="R83" s="2"/>
    </row>
    <row r="84" spans="1:18" x14ac:dyDescent="0.25">
      <c r="A84" s="92"/>
      <c r="B84" s="92"/>
      <c r="C84" s="5" t="s">
        <v>114</v>
      </c>
      <c r="D84">
        <v>4.7119999999999997</v>
      </c>
      <c r="E84">
        <v>3.46</v>
      </c>
      <c r="F84">
        <v>20.149999999999999</v>
      </c>
      <c r="G84">
        <v>128.49</v>
      </c>
      <c r="H84">
        <v>16.303519999999999</v>
      </c>
      <c r="I84">
        <v>94.946799999999982</v>
      </c>
      <c r="J84">
        <v>605.44488000000001</v>
      </c>
      <c r="K84">
        <v>14.324479999999999</v>
      </c>
      <c r="L84">
        <v>92.21383999999999</v>
      </c>
      <c r="M84">
        <v>201.01392000000001</v>
      </c>
      <c r="N84" s="93"/>
      <c r="O84" s="94"/>
      <c r="P84" s="94"/>
      <c r="Q84" s="95"/>
      <c r="R84" s="2"/>
    </row>
    <row r="85" spans="1:18" x14ac:dyDescent="0.25">
      <c r="A85" s="92"/>
      <c r="B85" s="92" t="s">
        <v>113</v>
      </c>
      <c r="C85" s="5" t="s">
        <v>111</v>
      </c>
      <c r="D85">
        <v>0.52400000000000002</v>
      </c>
      <c r="E85">
        <v>3.68</v>
      </c>
      <c r="F85">
        <v>6.88</v>
      </c>
      <c r="G85">
        <v>103.05</v>
      </c>
      <c r="H85">
        <v>1.92832</v>
      </c>
      <c r="I85">
        <v>3.6051199999999999</v>
      </c>
      <c r="J85">
        <v>53.998199999999997</v>
      </c>
      <c r="K85">
        <v>1.70824</v>
      </c>
      <c r="L85">
        <v>3.3012000000000001</v>
      </c>
      <c r="M85">
        <v>9.0232799999999997</v>
      </c>
      <c r="N85" s="93">
        <f>(D86-D85)/D85</f>
        <v>-1.9083969465648872E-3</v>
      </c>
      <c r="O85" s="94">
        <f>(K86-K85)/K85</f>
        <v>-1.9083969465649093E-3</v>
      </c>
      <c r="P85" s="94">
        <f>(L86-L85)/L85</f>
        <v>-6.6612141039622489E-3</v>
      </c>
      <c r="Q85" s="95">
        <f>(M86-M85)/M85</f>
        <v>2.4753748082737247E-2</v>
      </c>
      <c r="R85" s="2"/>
    </row>
    <row r="86" spans="1:18" x14ac:dyDescent="0.25">
      <c r="A86" s="92"/>
      <c r="B86" s="92"/>
      <c r="C86" s="5" t="s">
        <v>114</v>
      </c>
      <c r="D86">
        <v>0.52300000000000002</v>
      </c>
      <c r="E86">
        <v>3.68</v>
      </c>
      <c r="F86">
        <v>6.85</v>
      </c>
      <c r="G86">
        <v>103.51</v>
      </c>
      <c r="H86">
        <v>1.9246399999999999</v>
      </c>
      <c r="I86">
        <v>3.5825499999999999</v>
      </c>
      <c r="J86">
        <v>54.135730000000002</v>
      </c>
      <c r="K86">
        <v>1.7049799999999999</v>
      </c>
      <c r="L86">
        <v>3.27921</v>
      </c>
      <c r="M86">
        <v>9.2466400000000011</v>
      </c>
      <c r="N86" s="93"/>
      <c r="O86" s="94"/>
      <c r="P86" s="94"/>
      <c r="Q86" s="95"/>
      <c r="R86" s="2"/>
    </row>
    <row r="87" spans="1:18" x14ac:dyDescent="0.25">
      <c r="A87" s="92" t="s">
        <v>79</v>
      </c>
      <c r="B87" s="92" t="s">
        <v>112</v>
      </c>
      <c r="C87" s="5" t="s">
        <v>111</v>
      </c>
      <c r="D87">
        <v>11.519</v>
      </c>
      <c r="E87">
        <v>3.49</v>
      </c>
      <c r="F87">
        <v>25.26</v>
      </c>
      <c r="G87">
        <v>141.66999999999999</v>
      </c>
      <c r="H87">
        <v>40.201309999999999</v>
      </c>
      <c r="I87">
        <v>290.96994000000001</v>
      </c>
      <c r="J87">
        <v>1631.8967299999999</v>
      </c>
      <c r="K87">
        <v>35.363329999999998</v>
      </c>
      <c r="L87">
        <v>284.28892000000002</v>
      </c>
      <c r="M87">
        <v>695.97798</v>
      </c>
      <c r="N87" s="93">
        <f>(D88-D87)/D87</f>
        <v>-0.12987238475562118</v>
      </c>
      <c r="O87" s="94">
        <f>(K88-K87)/K87</f>
        <v>-0.13554096856828801</v>
      </c>
      <c r="P87" s="94">
        <f>(L88-L87)/L87</f>
        <v>-0.1626608240658835</v>
      </c>
      <c r="Q87" s="95">
        <f>(M88-M87)/M87</f>
        <v>-0.18286923388007192</v>
      </c>
      <c r="R87" s="2"/>
    </row>
    <row r="88" spans="1:18" x14ac:dyDescent="0.25">
      <c r="A88" s="92"/>
      <c r="B88" s="92"/>
      <c r="C88" s="5" t="s">
        <v>114</v>
      </c>
      <c r="D88">
        <v>10.023</v>
      </c>
      <c r="E88">
        <v>3.47</v>
      </c>
      <c r="F88">
        <v>24.33</v>
      </c>
      <c r="G88">
        <v>137.97999999999999</v>
      </c>
      <c r="H88">
        <v>34.779809999999998</v>
      </c>
      <c r="I88">
        <v>243.85959</v>
      </c>
      <c r="J88">
        <v>1382.97354</v>
      </c>
      <c r="K88">
        <v>30.570150000000002</v>
      </c>
      <c r="L88">
        <v>238.04624999999999</v>
      </c>
      <c r="M88">
        <v>568.70501999999999</v>
      </c>
      <c r="N88" s="93"/>
      <c r="O88" s="94"/>
      <c r="P88" s="94"/>
      <c r="Q88" s="95"/>
      <c r="R88" s="2"/>
    </row>
    <row r="89" spans="1:18" x14ac:dyDescent="0.25">
      <c r="A89" s="92"/>
      <c r="B89" s="92" t="s">
        <v>113</v>
      </c>
      <c r="C89" s="5" t="s">
        <v>111</v>
      </c>
      <c r="D89">
        <v>6.2149999999999999</v>
      </c>
      <c r="E89">
        <v>3.48</v>
      </c>
      <c r="F89">
        <v>22.44</v>
      </c>
      <c r="G89">
        <v>134.12</v>
      </c>
      <c r="H89">
        <v>21.6282</v>
      </c>
      <c r="I89">
        <v>139.46459999999999</v>
      </c>
      <c r="J89">
        <v>833.55579999999998</v>
      </c>
      <c r="K89">
        <v>19.017900000000001</v>
      </c>
      <c r="L89">
        <v>135.85990000000001</v>
      </c>
      <c r="M89">
        <v>328.64920000000001</v>
      </c>
      <c r="N89" s="93">
        <f>(D90-D89)/D89</f>
        <v>-0.74625905068382947</v>
      </c>
      <c r="O89" s="94">
        <f>(K90-K89)/K89</f>
        <v>-0.74211295674075473</v>
      </c>
      <c r="P89" s="94">
        <f>(L90-L89)/L89</f>
        <v>-0.79849300639850318</v>
      </c>
      <c r="Q89" s="95">
        <f>(M90-M89)/M89</f>
        <v>-0.80662329316487014</v>
      </c>
      <c r="R89" s="2"/>
    </row>
    <row r="90" spans="1:18" x14ac:dyDescent="0.25">
      <c r="A90" s="92"/>
      <c r="B90" s="92"/>
      <c r="C90" s="5" t="s">
        <v>114</v>
      </c>
      <c r="D90">
        <v>1.577</v>
      </c>
      <c r="E90">
        <v>3.53</v>
      </c>
      <c r="F90">
        <v>17.940000000000001</v>
      </c>
      <c r="G90">
        <v>121.54</v>
      </c>
      <c r="H90">
        <v>5.5668099999999994</v>
      </c>
      <c r="I90">
        <v>28.29138</v>
      </c>
      <c r="J90">
        <v>191.66857999999999</v>
      </c>
      <c r="K90">
        <v>4.9044699999999999</v>
      </c>
      <c r="L90">
        <v>27.376719999999999</v>
      </c>
      <c r="M90">
        <v>63.553099999999993</v>
      </c>
      <c r="N90" s="93"/>
      <c r="O90" s="94"/>
      <c r="P90" s="94"/>
      <c r="Q90" s="95"/>
      <c r="R90" s="2"/>
    </row>
    <row r="91" spans="1:18" x14ac:dyDescent="0.25">
      <c r="A91" s="92" t="s">
        <v>87</v>
      </c>
      <c r="B91" s="92" t="s">
        <v>112</v>
      </c>
      <c r="C91" s="5" t="s">
        <v>111</v>
      </c>
      <c r="D91">
        <v>1.0469999999999999</v>
      </c>
      <c r="E91">
        <v>3.58</v>
      </c>
      <c r="F91">
        <v>7.18</v>
      </c>
      <c r="G91">
        <v>114.08</v>
      </c>
      <c r="H91">
        <v>3.7482600000000001</v>
      </c>
      <c r="I91">
        <v>7.5174599999999989</v>
      </c>
      <c r="J91">
        <v>119.44176</v>
      </c>
      <c r="K91">
        <v>3.3085200000000001</v>
      </c>
      <c r="L91">
        <v>6.9101999999999988</v>
      </c>
      <c r="M91">
        <v>23.787839999999999</v>
      </c>
      <c r="N91" s="93">
        <f>(D92-D91)/D91</f>
        <v>0</v>
      </c>
      <c r="O91" s="94">
        <f>(K92-K91)/K91</f>
        <v>6.3291139240506198E-3</v>
      </c>
      <c r="P91" s="94">
        <f>(L92-L91)/L91</f>
        <v>3.4848484848484948E-2</v>
      </c>
      <c r="Q91" s="95">
        <f>(M92-M91)/M91</f>
        <v>-2.2887323943661889E-2</v>
      </c>
      <c r="R91" s="2"/>
    </row>
    <row r="92" spans="1:18" x14ac:dyDescent="0.25">
      <c r="A92" s="92"/>
      <c r="B92" s="92"/>
      <c r="C92" s="5" t="s">
        <v>114</v>
      </c>
      <c r="D92">
        <v>1.0469999999999999</v>
      </c>
      <c r="E92">
        <v>3.6</v>
      </c>
      <c r="F92">
        <v>7.41</v>
      </c>
      <c r="G92">
        <v>113.56</v>
      </c>
      <c r="H92">
        <v>3.7692000000000001</v>
      </c>
      <c r="I92">
        <v>7.7582700000000004</v>
      </c>
      <c r="J92">
        <v>118.89731999999999</v>
      </c>
      <c r="K92">
        <v>3.3294600000000001</v>
      </c>
      <c r="L92">
        <v>7.1510099999999994</v>
      </c>
      <c r="M92">
        <v>23.243400000000001</v>
      </c>
      <c r="N92" s="93"/>
      <c r="O92" s="94"/>
      <c r="P92" s="94"/>
      <c r="Q92" s="95"/>
      <c r="R92" s="2"/>
    </row>
    <row r="93" spans="1:18" x14ac:dyDescent="0.25">
      <c r="A93" s="92"/>
      <c r="B93" s="92" t="s">
        <v>113</v>
      </c>
      <c r="C93" s="5" t="s">
        <v>111</v>
      </c>
      <c r="D93">
        <v>0.54100000000000004</v>
      </c>
      <c r="E93">
        <v>3.71</v>
      </c>
      <c r="F93">
        <v>6.77</v>
      </c>
      <c r="G93">
        <v>112.3</v>
      </c>
      <c r="H93">
        <v>2.0071099999999999</v>
      </c>
      <c r="I93">
        <v>3.6625700000000001</v>
      </c>
      <c r="J93">
        <v>60.754300000000001</v>
      </c>
      <c r="K93">
        <v>1.77989</v>
      </c>
      <c r="L93">
        <v>3.348790000000001</v>
      </c>
      <c r="M93">
        <v>11.32854</v>
      </c>
      <c r="N93" s="93">
        <f>(D94-D93)/D93</f>
        <v>-3.3271719038817031E-2</v>
      </c>
      <c r="O93" s="94">
        <f>(K94-K93)/K93</f>
        <v>-3.6210102871525714E-2</v>
      </c>
      <c r="P93" s="94">
        <f>(L94-L93)/L93</f>
        <v>-6.7218308702549009E-3</v>
      </c>
      <c r="Q93" s="95">
        <f>(M94-M93)/M93</f>
        <v>-4.8045026102216219E-2</v>
      </c>
      <c r="R93" s="2"/>
    </row>
    <row r="94" spans="1:18" x14ac:dyDescent="0.25">
      <c r="A94" s="92"/>
      <c r="B94" s="92"/>
      <c r="C94" s="5" t="s">
        <v>114</v>
      </c>
      <c r="D94">
        <v>0.52300000000000002</v>
      </c>
      <c r="E94">
        <v>3.7</v>
      </c>
      <c r="F94">
        <v>6.94</v>
      </c>
      <c r="G94">
        <v>111.98</v>
      </c>
      <c r="H94">
        <v>1.9351</v>
      </c>
      <c r="I94">
        <v>3.629620000000001</v>
      </c>
      <c r="J94">
        <v>58.565540000000013</v>
      </c>
      <c r="K94">
        <v>1.7154400000000001</v>
      </c>
      <c r="L94">
        <v>3.3262800000000001</v>
      </c>
      <c r="M94">
        <v>10.78426</v>
      </c>
      <c r="N94" s="93"/>
      <c r="O94" s="94"/>
      <c r="P94" s="94"/>
      <c r="Q94" s="95"/>
      <c r="R94" s="2"/>
    </row>
    <row r="95" spans="1:18" x14ac:dyDescent="0.25">
      <c r="A95" s="92" t="s">
        <v>91</v>
      </c>
      <c r="B95" s="92" t="s">
        <v>112</v>
      </c>
      <c r="C95" s="5" t="s">
        <v>111</v>
      </c>
      <c r="D95">
        <v>4.7119999999999997</v>
      </c>
      <c r="E95">
        <v>3.47</v>
      </c>
      <c r="F95">
        <v>20.059999999999999</v>
      </c>
      <c r="G95">
        <v>128.91</v>
      </c>
      <c r="H95">
        <v>16.350639999999999</v>
      </c>
      <c r="I95">
        <v>94.522719999999993</v>
      </c>
      <c r="J95">
        <v>607.42391999999995</v>
      </c>
      <c r="K95">
        <v>14.371600000000001</v>
      </c>
      <c r="L95">
        <v>91.789760000000001</v>
      </c>
      <c r="M95">
        <v>230.88800000000001</v>
      </c>
      <c r="N95" s="93">
        <f>(D96-D95)/D95</f>
        <v>-0.11099320882852286</v>
      </c>
      <c r="O95" s="94">
        <f>(K96-K95)/K95</f>
        <v>-0.10807843246402639</v>
      </c>
      <c r="P95" s="94">
        <f>(L96-L95)/L95</f>
        <v>-0.11144957781783077</v>
      </c>
      <c r="Q95" s="95">
        <f>(M96-M95)/M95</f>
        <v>-0.12895477460933444</v>
      </c>
      <c r="R95" s="2"/>
    </row>
    <row r="96" spans="1:18" x14ac:dyDescent="0.25">
      <c r="A96" s="92"/>
      <c r="B96" s="92"/>
      <c r="C96" s="5" t="s">
        <v>114</v>
      </c>
      <c r="D96">
        <v>4.1890000000000001</v>
      </c>
      <c r="E96">
        <v>3.48</v>
      </c>
      <c r="F96">
        <v>20.05</v>
      </c>
      <c r="G96">
        <v>127.93</v>
      </c>
      <c r="H96">
        <v>14.577719999999999</v>
      </c>
      <c r="I96">
        <v>83.989450000000005</v>
      </c>
      <c r="J96">
        <v>535.89877000000001</v>
      </c>
      <c r="K96">
        <v>12.818339999999999</v>
      </c>
      <c r="L96">
        <v>81.559829999999991</v>
      </c>
      <c r="M96">
        <v>201.11389</v>
      </c>
      <c r="N96" s="93"/>
      <c r="O96" s="94"/>
      <c r="P96" s="94"/>
      <c r="Q96" s="95"/>
      <c r="R96" s="2"/>
    </row>
    <row r="97" spans="1:18" x14ac:dyDescent="0.25">
      <c r="A97" s="92"/>
      <c r="B97" s="92" t="s">
        <v>113</v>
      </c>
      <c r="C97" s="5" t="s">
        <v>111</v>
      </c>
      <c r="D97">
        <v>0.52300000000000002</v>
      </c>
      <c r="E97">
        <v>3.7</v>
      </c>
      <c r="F97">
        <v>6.83</v>
      </c>
      <c r="G97">
        <v>102.48</v>
      </c>
      <c r="H97">
        <v>1.9351</v>
      </c>
      <c r="I97">
        <v>3.5720900000000002</v>
      </c>
      <c r="J97">
        <v>53.597040000000007</v>
      </c>
      <c r="K97">
        <v>1.7154400000000001</v>
      </c>
      <c r="L97">
        <v>3.2687499999999998</v>
      </c>
      <c r="M97">
        <v>11.79888</v>
      </c>
      <c r="N97" s="93">
        <f>(D98-D97)/D97</f>
        <v>2.0038240917782026</v>
      </c>
      <c r="O97" s="94">
        <f>(K98-K97)/K97</f>
        <v>1.8572960873012168</v>
      </c>
      <c r="P97" s="94">
        <f>(L98-L97)/L97</f>
        <v>4.8250156787762908</v>
      </c>
      <c r="Q97" s="95">
        <f>(M98-M97)/M97</f>
        <v>3.5776361824173146</v>
      </c>
      <c r="R97" s="2"/>
    </row>
    <row r="98" spans="1:18" x14ac:dyDescent="0.25">
      <c r="A98" s="92"/>
      <c r="B98" s="92"/>
      <c r="C98" s="5" t="s">
        <v>114</v>
      </c>
      <c r="D98">
        <v>1.571</v>
      </c>
      <c r="E98">
        <v>3.54</v>
      </c>
      <c r="F98">
        <v>12.7</v>
      </c>
      <c r="G98">
        <v>114.3</v>
      </c>
      <c r="H98">
        <v>5.5613400000000004</v>
      </c>
      <c r="I98">
        <v>19.951699999999999</v>
      </c>
      <c r="J98">
        <v>179.56530000000001</v>
      </c>
      <c r="K98">
        <v>4.9015199999999997</v>
      </c>
      <c r="L98">
        <v>19.040520000000001</v>
      </c>
      <c r="M98">
        <v>54.010980000000004</v>
      </c>
      <c r="N98" s="93"/>
      <c r="O98" s="94"/>
      <c r="P98" s="94"/>
      <c r="Q98" s="95"/>
      <c r="R98" s="2"/>
    </row>
    <row r="99" spans="1:18" x14ac:dyDescent="0.25">
      <c r="A99" s="92" t="s">
        <v>93</v>
      </c>
      <c r="B99" s="92" t="s">
        <v>112</v>
      </c>
      <c r="C99" s="5" t="s">
        <v>111</v>
      </c>
      <c r="D99">
        <v>403.29399999999998</v>
      </c>
      <c r="E99">
        <v>3.49</v>
      </c>
      <c r="F99">
        <v>25.55</v>
      </c>
      <c r="G99">
        <v>144.57</v>
      </c>
      <c r="H99">
        <v>1407.4960599999999</v>
      </c>
      <c r="I99">
        <v>10304.161700000001</v>
      </c>
      <c r="J99">
        <v>58304.213580000003</v>
      </c>
      <c r="K99">
        <v>1407.4960599999999</v>
      </c>
      <c r="L99">
        <v>10070.251179999999</v>
      </c>
      <c r="M99">
        <v>23673.357800000002</v>
      </c>
      <c r="N99" s="93">
        <f>(D100-D99)/D99</f>
        <v>-0.61395160850396979</v>
      </c>
      <c r="O99" s="94">
        <f>(K100-K99)/K99</f>
        <v>-0.61395160850396968</v>
      </c>
      <c r="P99" s="94">
        <f>(L100-L99)/L99</f>
        <v>-0.59199771519502453</v>
      </c>
      <c r="Q99" s="95">
        <f>(M100-M99)/M99</f>
        <v>-0.59481360476881739</v>
      </c>
      <c r="R99" s="2"/>
    </row>
    <row r="100" spans="1:18" x14ac:dyDescent="0.25">
      <c r="A100" s="92"/>
      <c r="B100" s="92"/>
      <c r="C100" s="5" t="s">
        <v>114</v>
      </c>
      <c r="D100">
        <v>155.691</v>
      </c>
      <c r="E100">
        <v>3.49</v>
      </c>
      <c r="F100">
        <v>26.97</v>
      </c>
      <c r="G100">
        <v>147.47</v>
      </c>
      <c r="H100">
        <v>543.36159000000009</v>
      </c>
      <c r="I100">
        <v>4198.9862700000003</v>
      </c>
      <c r="J100">
        <v>22959.751769999999</v>
      </c>
      <c r="K100">
        <v>543.36159000000009</v>
      </c>
      <c r="L100">
        <v>4108.6854899999998</v>
      </c>
      <c r="M100">
        <v>9592.1225099999992</v>
      </c>
      <c r="N100" s="93"/>
      <c r="O100" s="94"/>
      <c r="P100" s="94"/>
      <c r="Q100" s="95"/>
      <c r="R100" s="2"/>
    </row>
    <row r="101" spans="1:18" x14ac:dyDescent="0.25">
      <c r="A101" s="92"/>
      <c r="B101" s="92" t="s">
        <v>113</v>
      </c>
      <c r="C101" s="5" t="s">
        <v>111</v>
      </c>
      <c r="D101">
        <v>16.832999999999998</v>
      </c>
      <c r="E101">
        <v>3.5</v>
      </c>
      <c r="F101">
        <v>24.93</v>
      </c>
      <c r="G101">
        <v>142.12</v>
      </c>
      <c r="H101">
        <v>58.915499999999987</v>
      </c>
      <c r="I101">
        <v>419.64668999999998</v>
      </c>
      <c r="J101">
        <v>2392.3059600000001</v>
      </c>
      <c r="K101">
        <v>58.915499999999987</v>
      </c>
      <c r="L101">
        <v>409.88355000000001</v>
      </c>
      <c r="M101">
        <v>947.0245799999999</v>
      </c>
      <c r="N101" s="93">
        <f>(D102-D101)/D101</f>
        <v>-0.15612190340402771</v>
      </c>
      <c r="O101" s="94">
        <f>(K102-K101)/K101</f>
        <v>-0.1561219034040276</v>
      </c>
      <c r="P101" s="94">
        <f>(L102-L101)/L101</f>
        <v>-0.14815098093104737</v>
      </c>
      <c r="Q101" s="95">
        <f>(M102-M101)/M101</f>
        <v>-0.16272173210118784</v>
      </c>
      <c r="R101" s="2"/>
    </row>
    <row r="102" spans="1:18" x14ac:dyDescent="0.25">
      <c r="A102" s="92"/>
      <c r="B102" s="92"/>
      <c r="C102" s="5" t="s">
        <v>114</v>
      </c>
      <c r="D102">
        <v>14.205</v>
      </c>
      <c r="E102">
        <v>3.5</v>
      </c>
      <c r="F102">
        <v>25.16</v>
      </c>
      <c r="G102">
        <v>141.69</v>
      </c>
      <c r="H102">
        <v>49.717500000000001</v>
      </c>
      <c r="I102">
        <v>357.39780000000002</v>
      </c>
      <c r="J102">
        <v>2012.7064499999999</v>
      </c>
      <c r="K102">
        <v>49.717500000000001</v>
      </c>
      <c r="L102">
        <v>349.15890000000002</v>
      </c>
      <c r="M102">
        <v>792.92309999999998</v>
      </c>
      <c r="N102" s="93"/>
      <c r="O102" s="94"/>
      <c r="P102" s="94"/>
      <c r="Q102" s="95"/>
      <c r="R102" s="2"/>
    </row>
    <row r="103" spans="1:18" x14ac:dyDescent="0.25">
      <c r="A103" s="92" t="s">
        <v>95</v>
      </c>
      <c r="B103" s="92" t="s">
        <v>112</v>
      </c>
      <c r="C103" s="5" t="s">
        <v>111</v>
      </c>
      <c r="D103">
        <v>90.43</v>
      </c>
      <c r="E103">
        <v>3.55</v>
      </c>
      <c r="F103">
        <v>27.48</v>
      </c>
      <c r="G103">
        <v>149.91</v>
      </c>
      <c r="H103">
        <v>321.0265</v>
      </c>
      <c r="I103">
        <v>2485.0164</v>
      </c>
      <c r="J103">
        <v>13556.3613</v>
      </c>
      <c r="K103">
        <v>283.04590000000002</v>
      </c>
      <c r="L103">
        <v>2432.567</v>
      </c>
      <c r="M103">
        <v>5767.6254000000008</v>
      </c>
      <c r="N103" s="93">
        <f>(D104-D103)/D103</f>
        <v>-0.26895941612296803</v>
      </c>
      <c r="O103" s="94">
        <f>(K104-K103)/K103</f>
        <v>-0.26895941612296814</v>
      </c>
      <c r="P103" s="94">
        <f>(L104-L103)/L103</f>
        <v>-0.26624179313457763</v>
      </c>
      <c r="Q103" s="95">
        <f>(M104-M103)/M103</f>
        <v>-0.27514884721882255</v>
      </c>
      <c r="R103" s="2"/>
    </row>
    <row r="104" spans="1:18" x14ac:dyDescent="0.25">
      <c r="A104" s="92"/>
      <c r="B104" s="92"/>
      <c r="C104" s="5" t="s">
        <v>114</v>
      </c>
      <c r="D104">
        <v>66.108000000000004</v>
      </c>
      <c r="E104">
        <v>3.55</v>
      </c>
      <c r="F104">
        <v>27.58</v>
      </c>
      <c r="G104">
        <v>149.37</v>
      </c>
      <c r="H104">
        <v>234.68340000000001</v>
      </c>
      <c r="I104">
        <v>1823.25864</v>
      </c>
      <c r="J104">
        <v>9874.5519600000007</v>
      </c>
      <c r="K104">
        <v>206.91803999999999</v>
      </c>
      <c r="L104">
        <v>1784.9159999999999</v>
      </c>
      <c r="M104">
        <v>4180.6699200000003</v>
      </c>
      <c r="N104" s="93"/>
      <c r="O104" s="94"/>
      <c r="P104" s="94"/>
      <c r="Q104" s="95"/>
      <c r="R104" s="2"/>
    </row>
    <row r="105" spans="1:18" x14ac:dyDescent="0.25">
      <c r="A105" s="92"/>
      <c r="B105" s="92" t="s">
        <v>113</v>
      </c>
      <c r="C105" s="5" t="s">
        <v>111</v>
      </c>
      <c r="D105">
        <v>33.162999999999997</v>
      </c>
      <c r="E105">
        <v>3.54</v>
      </c>
      <c r="F105">
        <v>28.42</v>
      </c>
      <c r="G105">
        <v>150.29</v>
      </c>
      <c r="H105">
        <v>117.39702</v>
      </c>
      <c r="I105">
        <v>942.49245999999994</v>
      </c>
      <c r="J105">
        <v>4984.0672699999996</v>
      </c>
      <c r="K105">
        <v>103.46856</v>
      </c>
      <c r="L105">
        <v>923.2579199999999</v>
      </c>
      <c r="M105">
        <v>2127.7380800000001</v>
      </c>
      <c r="N105" s="93">
        <f>(D106-D105)/D105</f>
        <v>-0.27045200976992428</v>
      </c>
      <c r="O105" s="94">
        <f>(K106-K105)/K105</f>
        <v>-0.27045200976992428</v>
      </c>
      <c r="P105" s="94">
        <f>(L106-L105)/L105</f>
        <v>-0.29534678673539022</v>
      </c>
      <c r="Q105" s="95">
        <f>(M106-M105)/M105</f>
        <v>-0.28978230252851422</v>
      </c>
      <c r="R105" s="2"/>
    </row>
    <row r="106" spans="1:18" x14ac:dyDescent="0.25">
      <c r="A106" s="92"/>
      <c r="B106" s="92"/>
      <c r="C106" s="5" t="s">
        <v>114</v>
      </c>
      <c r="D106">
        <v>24.193999999999999</v>
      </c>
      <c r="E106">
        <v>3.54</v>
      </c>
      <c r="F106">
        <v>27.47</v>
      </c>
      <c r="G106">
        <v>148.59</v>
      </c>
      <c r="H106">
        <v>85.64676</v>
      </c>
      <c r="I106">
        <v>664.60917999999992</v>
      </c>
      <c r="J106">
        <v>3594.9864600000001</v>
      </c>
      <c r="K106">
        <v>75.485280000000003</v>
      </c>
      <c r="L106">
        <v>650.57665999999995</v>
      </c>
      <c r="M106">
        <v>1511.15724</v>
      </c>
      <c r="N106" s="96"/>
      <c r="O106" s="97"/>
      <c r="P106" s="97"/>
      <c r="Q106" s="98"/>
      <c r="R106" s="2"/>
    </row>
    <row r="107" spans="1:18" x14ac:dyDescent="0.25">
      <c r="D107" s="1"/>
      <c r="E107" s="1"/>
      <c r="F107" s="1"/>
      <c r="G107" s="1"/>
      <c r="H107" s="1"/>
      <c r="I107" s="1"/>
      <c r="J107" s="1"/>
      <c r="K107" s="1"/>
      <c r="L107" s="1"/>
      <c r="M107" s="1"/>
    </row>
  </sheetData>
  <mergeCells count="294">
    <mergeCell ref="K1:M1"/>
    <mergeCell ref="N1:Q1"/>
    <mergeCell ref="A3:A6"/>
    <mergeCell ref="B3:B4"/>
    <mergeCell ref="N3:N4"/>
    <mergeCell ref="O3:O4"/>
    <mergeCell ref="P3:P4"/>
    <mergeCell ref="Q3:Q4"/>
    <mergeCell ref="B5:B6"/>
    <mergeCell ref="N5:N6"/>
    <mergeCell ref="A1:A2"/>
    <mergeCell ref="B1:B2"/>
    <mergeCell ref="C1:C2"/>
    <mergeCell ref="D1:D2"/>
    <mergeCell ref="E1:G1"/>
    <mergeCell ref="H1:J1"/>
    <mergeCell ref="O5:O6"/>
    <mergeCell ref="P5:P6"/>
    <mergeCell ref="Q5:Q6"/>
    <mergeCell ref="A7:A10"/>
    <mergeCell ref="B7:B8"/>
    <mergeCell ref="N7:N8"/>
    <mergeCell ref="O7:O8"/>
    <mergeCell ref="P7:P8"/>
    <mergeCell ref="Q7:Q8"/>
    <mergeCell ref="B9:B10"/>
    <mergeCell ref="A15:A18"/>
    <mergeCell ref="B15:B16"/>
    <mergeCell ref="N15:N16"/>
    <mergeCell ref="O15:O16"/>
    <mergeCell ref="P15:P16"/>
    <mergeCell ref="N9:N10"/>
    <mergeCell ref="O9:O10"/>
    <mergeCell ref="P9:P10"/>
    <mergeCell ref="Q9:Q10"/>
    <mergeCell ref="A11:A14"/>
    <mergeCell ref="B11:B12"/>
    <mergeCell ref="N11:N12"/>
    <mergeCell ref="O11:O12"/>
    <mergeCell ref="P11:P12"/>
    <mergeCell ref="Q11:Q12"/>
    <mergeCell ref="Q15:Q16"/>
    <mergeCell ref="B17:B18"/>
    <mergeCell ref="N17:N18"/>
    <mergeCell ref="O17:O18"/>
    <mergeCell ref="P17:P18"/>
    <mergeCell ref="Q17:Q18"/>
    <mergeCell ref="B13:B14"/>
    <mergeCell ref="N13:N14"/>
    <mergeCell ref="O13:O14"/>
    <mergeCell ref="P13:P14"/>
    <mergeCell ref="Q13:Q14"/>
    <mergeCell ref="Q21:Q22"/>
    <mergeCell ref="A23:A26"/>
    <mergeCell ref="B23:B24"/>
    <mergeCell ref="N23:N24"/>
    <mergeCell ref="O23:O24"/>
    <mergeCell ref="P23:P24"/>
    <mergeCell ref="Q23:Q24"/>
    <mergeCell ref="B25:B26"/>
    <mergeCell ref="N25:N26"/>
    <mergeCell ref="O25:O26"/>
    <mergeCell ref="A19:A22"/>
    <mergeCell ref="B19:B20"/>
    <mergeCell ref="N19:N20"/>
    <mergeCell ref="O19:O20"/>
    <mergeCell ref="P19:P20"/>
    <mergeCell ref="Q19:Q20"/>
    <mergeCell ref="B21:B22"/>
    <mergeCell ref="N21:N22"/>
    <mergeCell ref="O21:O22"/>
    <mergeCell ref="P21:P22"/>
    <mergeCell ref="P25:P26"/>
    <mergeCell ref="Q25:Q26"/>
    <mergeCell ref="A27:A30"/>
    <mergeCell ref="B27:B28"/>
    <mergeCell ref="N27:N28"/>
    <mergeCell ref="O27:O28"/>
    <mergeCell ref="P27:P28"/>
    <mergeCell ref="Q27:Q28"/>
    <mergeCell ref="B29:B30"/>
    <mergeCell ref="N29:N30"/>
    <mergeCell ref="O29:O30"/>
    <mergeCell ref="P29:P30"/>
    <mergeCell ref="Q29:Q30"/>
    <mergeCell ref="A31:A34"/>
    <mergeCell ref="B31:B32"/>
    <mergeCell ref="N31:N32"/>
    <mergeCell ref="O31:O32"/>
    <mergeCell ref="P31:P32"/>
    <mergeCell ref="Q31:Q32"/>
    <mergeCell ref="B33:B34"/>
    <mergeCell ref="A39:A42"/>
    <mergeCell ref="B39:B40"/>
    <mergeCell ref="N39:N40"/>
    <mergeCell ref="O39:O40"/>
    <mergeCell ref="P39:P40"/>
    <mergeCell ref="N33:N34"/>
    <mergeCell ref="O33:O34"/>
    <mergeCell ref="P33:P34"/>
    <mergeCell ref="Q33:Q34"/>
    <mergeCell ref="A35:A38"/>
    <mergeCell ref="B35:B36"/>
    <mergeCell ref="N35:N36"/>
    <mergeCell ref="O35:O36"/>
    <mergeCell ref="P35:P36"/>
    <mergeCell ref="Q35:Q36"/>
    <mergeCell ref="Q39:Q40"/>
    <mergeCell ref="B41:B42"/>
    <mergeCell ref="N41:N42"/>
    <mergeCell ref="O41:O42"/>
    <mergeCell ref="P41:P42"/>
    <mergeCell ref="Q41:Q42"/>
    <mergeCell ref="B37:B38"/>
    <mergeCell ref="N37:N38"/>
    <mergeCell ref="O37:O38"/>
    <mergeCell ref="P37:P38"/>
    <mergeCell ref="Q37:Q38"/>
    <mergeCell ref="Q45:Q46"/>
    <mergeCell ref="A47:A50"/>
    <mergeCell ref="B47:B48"/>
    <mergeCell ref="N47:N48"/>
    <mergeCell ref="O47:O48"/>
    <mergeCell ref="P47:P48"/>
    <mergeCell ref="Q47:Q48"/>
    <mergeCell ref="B49:B50"/>
    <mergeCell ref="N49:N50"/>
    <mergeCell ref="O49:O50"/>
    <mergeCell ref="A43:A46"/>
    <mergeCell ref="B43:B44"/>
    <mergeCell ref="N43:N44"/>
    <mergeCell ref="O43:O44"/>
    <mergeCell ref="P43:P44"/>
    <mergeCell ref="Q43:Q44"/>
    <mergeCell ref="B45:B46"/>
    <mergeCell ref="N45:N46"/>
    <mergeCell ref="O45:O46"/>
    <mergeCell ref="P45:P46"/>
    <mergeCell ref="P49:P50"/>
    <mergeCell ref="Q49:Q50"/>
    <mergeCell ref="A51:A54"/>
    <mergeCell ref="B51:B52"/>
    <mergeCell ref="N51:N52"/>
    <mergeCell ref="O51:O52"/>
    <mergeCell ref="P51:P52"/>
    <mergeCell ref="Q51:Q52"/>
    <mergeCell ref="B53:B54"/>
    <mergeCell ref="N53:N54"/>
    <mergeCell ref="O53:O54"/>
    <mergeCell ref="P53:P54"/>
    <mergeCell ref="Q53:Q54"/>
    <mergeCell ref="A55:A58"/>
    <mergeCell ref="B55:B56"/>
    <mergeCell ref="N55:N56"/>
    <mergeCell ref="O55:O56"/>
    <mergeCell ref="P55:P56"/>
    <mergeCell ref="Q55:Q56"/>
    <mergeCell ref="B57:B58"/>
    <mergeCell ref="A63:A66"/>
    <mergeCell ref="B63:B64"/>
    <mergeCell ref="N63:N64"/>
    <mergeCell ref="O63:O64"/>
    <mergeCell ref="P63:P64"/>
    <mergeCell ref="N57:N58"/>
    <mergeCell ref="O57:O58"/>
    <mergeCell ref="P57:P58"/>
    <mergeCell ref="Q57:Q58"/>
    <mergeCell ref="A59:A62"/>
    <mergeCell ref="B59:B60"/>
    <mergeCell ref="N59:N60"/>
    <mergeCell ref="O59:O60"/>
    <mergeCell ref="P59:P60"/>
    <mergeCell ref="Q59:Q60"/>
    <mergeCell ref="Q63:Q64"/>
    <mergeCell ref="B65:B66"/>
    <mergeCell ref="N65:N66"/>
    <mergeCell ref="O65:O66"/>
    <mergeCell ref="P65:P66"/>
    <mergeCell ref="Q65:Q66"/>
    <mergeCell ref="B61:B62"/>
    <mergeCell ref="N61:N62"/>
    <mergeCell ref="O61:O62"/>
    <mergeCell ref="P61:P62"/>
    <mergeCell ref="Q61:Q62"/>
    <mergeCell ref="Q69:Q70"/>
    <mergeCell ref="A71:A74"/>
    <mergeCell ref="B71:B72"/>
    <mergeCell ref="N71:N72"/>
    <mergeCell ref="O71:O72"/>
    <mergeCell ref="P71:P72"/>
    <mergeCell ref="Q71:Q72"/>
    <mergeCell ref="B73:B74"/>
    <mergeCell ref="N73:N74"/>
    <mergeCell ref="O73:O74"/>
    <mergeCell ref="A67:A70"/>
    <mergeCell ref="B67:B68"/>
    <mergeCell ref="N67:N68"/>
    <mergeCell ref="O67:O68"/>
    <mergeCell ref="P67:P68"/>
    <mergeCell ref="Q67:Q68"/>
    <mergeCell ref="B69:B70"/>
    <mergeCell ref="N69:N70"/>
    <mergeCell ref="O69:O70"/>
    <mergeCell ref="P69:P70"/>
    <mergeCell ref="P73:P74"/>
    <mergeCell ref="Q73:Q74"/>
    <mergeCell ref="A75:A78"/>
    <mergeCell ref="B75:B76"/>
    <mergeCell ref="N75:N76"/>
    <mergeCell ref="O75:O76"/>
    <mergeCell ref="P75:P76"/>
    <mergeCell ref="Q75:Q76"/>
    <mergeCell ref="B77:B78"/>
    <mergeCell ref="N77:N78"/>
    <mergeCell ref="O77:O78"/>
    <mergeCell ref="P77:P78"/>
    <mergeCell ref="Q77:Q78"/>
    <mergeCell ref="A79:A82"/>
    <mergeCell ref="B79:B80"/>
    <mergeCell ref="N79:N80"/>
    <mergeCell ref="O79:O80"/>
    <mergeCell ref="P79:P80"/>
    <mergeCell ref="Q79:Q80"/>
    <mergeCell ref="B81:B82"/>
    <mergeCell ref="A87:A90"/>
    <mergeCell ref="B87:B88"/>
    <mergeCell ref="N87:N88"/>
    <mergeCell ref="O87:O88"/>
    <mergeCell ref="P87:P88"/>
    <mergeCell ref="N81:N82"/>
    <mergeCell ref="O81:O82"/>
    <mergeCell ref="P81:P82"/>
    <mergeCell ref="Q81:Q82"/>
    <mergeCell ref="A83:A86"/>
    <mergeCell ref="B83:B84"/>
    <mergeCell ref="N83:N84"/>
    <mergeCell ref="O83:O84"/>
    <mergeCell ref="P83:P84"/>
    <mergeCell ref="Q83:Q84"/>
    <mergeCell ref="Q87:Q88"/>
    <mergeCell ref="B89:B90"/>
    <mergeCell ref="N89:N90"/>
    <mergeCell ref="O89:O90"/>
    <mergeCell ref="P89:P90"/>
    <mergeCell ref="Q89:Q90"/>
    <mergeCell ref="B85:B86"/>
    <mergeCell ref="N85:N86"/>
    <mergeCell ref="O85:O86"/>
    <mergeCell ref="P85:P86"/>
    <mergeCell ref="Q85:Q86"/>
    <mergeCell ref="Q93:Q94"/>
    <mergeCell ref="A95:A98"/>
    <mergeCell ref="B95:B96"/>
    <mergeCell ref="N95:N96"/>
    <mergeCell ref="O95:O96"/>
    <mergeCell ref="P95:P96"/>
    <mergeCell ref="Q95:Q96"/>
    <mergeCell ref="B97:B98"/>
    <mergeCell ref="N97:N98"/>
    <mergeCell ref="O97:O98"/>
    <mergeCell ref="A91:A94"/>
    <mergeCell ref="B91:B92"/>
    <mergeCell ref="N91:N92"/>
    <mergeCell ref="O91:O92"/>
    <mergeCell ref="P91:P92"/>
    <mergeCell ref="Q91:Q92"/>
    <mergeCell ref="B93:B94"/>
    <mergeCell ref="N93:N94"/>
    <mergeCell ref="O93:O94"/>
    <mergeCell ref="P93:P94"/>
    <mergeCell ref="P97:P98"/>
    <mergeCell ref="Q97:Q98"/>
    <mergeCell ref="A99:A102"/>
    <mergeCell ref="B99:B100"/>
    <mergeCell ref="N99:N100"/>
    <mergeCell ref="O99:O100"/>
    <mergeCell ref="P99:P100"/>
    <mergeCell ref="Q99:Q100"/>
    <mergeCell ref="B101:B102"/>
    <mergeCell ref="N101:N102"/>
    <mergeCell ref="N105:N106"/>
    <mergeCell ref="O105:O106"/>
    <mergeCell ref="P105:P106"/>
    <mergeCell ref="Q105:Q106"/>
    <mergeCell ref="O101:O102"/>
    <mergeCell ref="P101:P102"/>
    <mergeCell ref="Q101:Q102"/>
    <mergeCell ref="A103:A106"/>
    <mergeCell ref="B103:B104"/>
    <mergeCell ref="N103:N104"/>
    <mergeCell ref="O103:O104"/>
    <mergeCell ref="P103:P104"/>
    <mergeCell ref="Q103:Q104"/>
    <mergeCell ref="B105:B106"/>
  </mergeCells>
  <conditionalFormatting sqref="N3:Q106">
    <cfRule type="colorScale" priority="1">
      <colorScale>
        <cfvo type="num" val="-1"/>
        <cfvo type="num" val="0"/>
        <cfvo type="num" val="1"/>
        <color rgb="FF92D050"/>
        <color rgb="FFFFC000"/>
        <color rgb="FFFF0000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5E1C6-61C7-4443-98E2-8CDA54C5356E}">
  <dimension ref="A1:Q106"/>
  <sheetViews>
    <sheetView zoomScale="85" zoomScaleNormal="85" workbookViewId="0">
      <selection activeCell="D3" sqref="D3:M106"/>
    </sheetView>
  </sheetViews>
  <sheetFormatPr baseColWidth="10" defaultColWidth="9.140625" defaultRowHeight="15" x14ac:dyDescent="0.25"/>
  <cols>
    <col min="1" max="1" width="10.28515625" bestFit="1" customWidth="1"/>
    <col min="3" max="3" width="12.7109375" bestFit="1" customWidth="1"/>
    <col min="10" max="10" width="9" bestFit="1" customWidth="1"/>
    <col min="13" max="13" width="11.85546875" customWidth="1"/>
    <col min="17" max="17" width="8.140625" bestFit="1" customWidth="1"/>
  </cols>
  <sheetData>
    <row r="1" spans="1:17" x14ac:dyDescent="0.25">
      <c r="A1" s="88" t="s">
        <v>97</v>
      </c>
      <c r="B1" s="88" t="s">
        <v>98</v>
      </c>
      <c r="C1" s="88" t="s">
        <v>99</v>
      </c>
      <c r="D1" s="88" t="s">
        <v>100</v>
      </c>
      <c r="E1" s="88" t="s">
        <v>101</v>
      </c>
      <c r="F1" s="88"/>
      <c r="G1" s="88"/>
      <c r="H1" s="88" t="s">
        <v>102</v>
      </c>
      <c r="I1" s="88"/>
      <c r="J1" s="88"/>
      <c r="K1" s="88" t="s">
        <v>103</v>
      </c>
      <c r="L1" s="88"/>
      <c r="M1" s="88"/>
      <c r="N1" s="88" t="s">
        <v>104</v>
      </c>
      <c r="O1" s="88"/>
      <c r="P1" s="88"/>
      <c r="Q1" s="88"/>
    </row>
    <row r="2" spans="1:17" x14ac:dyDescent="0.25">
      <c r="A2" s="88"/>
      <c r="B2" s="88"/>
      <c r="C2" s="88"/>
      <c r="D2" s="88"/>
      <c r="E2" s="15" t="s">
        <v>105</v>
      </c>
      <c r="F2" s="15" t="s">
        <v>106</v>
      </c>
      <c r="G2" s="15" t="s">
        <v>107</v>
      </c>
      <c r="H2" s="15" t="s">
        <v>108</v>
      </c>
      <c r="I2" s="15" t="s">
        <v>109</v>
      </c>
      <c r="J2" s="15" t="s">
        <v>110</v>
      </c>
      <c r="K2" s="15" t="s">
        <v>108</v>
      </c>
      <c r="L2" s="15" t="s">
        <v>109</v>
      </c>
      <c r="M2" s="15" t="s">
        <v>110</v>
      </c>
      <c r="N2" s="15" t="s">
        <v>100</v>
      </c>
      <c r="O2" s="15" t="s">
        <v>108</v>
      </c>
      <c r="P2" s="15" t="s">
        <v>109</v>
      </c>
      <c r="Q2" s="15" t="s">
        <v>110</v>
      </c>
    </row>
    <row r="3" spans="1:17" x14ac:dyDescent="0.25">
      <c r="A3" s="92" t="s">
        <v>7</v>
      </c>
      <c r="B3" s="92" t="s">
        <v>111</v>
      </c>
      <c r="C3" s="5" t="s">
        <v>112</v>
      </c>
      <c r="D3">
        <v>4.7130000000000001</v>
      </c>
      <c r="E3">
        <v>3.48</v>
      </c>
      <c r="F3">
        <v>22.78</v>
      </c>
      <c r="G3">
        <v>132.94</v>
      </c>
      <c r="H3">
        <v>16.401240000000001</v>
      </c>
      <c r="I3">
        <v>107.36214</v>
      </c>
      <c r="J3">
        <v>626.54621999999995</v>
      </c>
      <c r="K3">
        <v>14.42178</v>
      </c>
      <c r="L3">
        <v>104.62860000000001</v>
      </c>
      <c r="M3">
        <v>242.2482</v>
      </c>
      <c r="N3" s="93">
        <f>(D4-D3)/D3</f>
        <v>-0.34839804795247187</v>
      </c>
      <c r="O3" s="94">
        <f>(K4-K3)/K3</f>
        <v>-0.34200979352063338</v>
      </c>
      <c r="P3" s="94">
        <f>(L4-L3)/L3</f>
        <v>-0.43880048093924601</v>
      </c>
      <c r="Q3" s="95">
        <f>(M4-M3)/M3</f>
        <v>-0.42826365686102097</v>
      </c>
    </row>
    <row r="4" spans="1:17" x14ac:dyDescent="0.25">
      <c r="A4" s="92"/>
      <c r="B4" s="92"/>
      <c r="C4" s="5" t="s">
        <v>113</v>
      </c>
      <c r="D4">
        <v>3.0710000000000002</v>
      </c>
      <c r="E4">
        <v>3.51</v>
      </c>
      <c r="F4">
        <v>19.7</v>
      </c>
      <c r="G4">
        <v>126.64</v>
      </c>
      <c r="H4">
        <v>10.779210000000001</v>
      </c>
      <c r="I4">
        <v>60.498699999999999</v>
      </c>
      <c r="J4">
        <v>388.91144000000003</v>
      </c>
      <c r="K4">
        <v>9.4893900000000002</v>
      </c>
      <c r="L4">
        <v>58.717520000000007</v>
      </c>
      <c r="M4">
        <v>138.50210000000001</v>
      </c>
      <c r="N4" s="93"/>
      <c r="O4" s="94"/>
      <c r="P4" s="94"/>
      <c r="Q4" s="95"/>
    </row>
    <row r="5" spans="1:17" x14ac:dyDescent="0.25">
      <c r="A5" s="92"/>
      <c r="B5" s="92" t="s">
        <v>114</v>
      </c>
      <c r="C5" s="5" t="s">
        <v>112</v>
      </c>
      <c r="D5">
        <v>3.665</v>
      </c>
      <c r="E5">
        <v>3.5</v>
      </c>
      <c r="F5">
        <v>19.79</v>
      </c>
      <c r="G5">
        <v>126.47</v>
      </c>
      <c r="H5">
        <v>12.827500000000001</v>
      </c>
      <c r="I5">
        <v>72.530349999999999</v>
      </c>
      <c r="J5">
        <v>463.51254999999998</v>
      </c>
      <c r="K5">
        <v>11.2882</v>
      </c>
      <c r="L5">
        <v>70.404650000000004</v>
      </c>
      <c r="M5">
        <v>164.66845000000001</v>
      </c>
      <c r="N5" s="93">
        <f>(D6-D5)/D5</f>
        <v>-0.71405184174624825</v>
      </c>
      <c r="O5" s="94">
        <f>(K6-K5)/K5</f>
        <v>-0.70662461685654043</v>
      </c>
      <c r="P5" s="94">
        <f>(L6-L5)/L5</f>
        <v>-0.83358144668001333</v>
      </c>
      <c r="Q5" s="95">
        <f>(M6-M5)/M5</f>
        <v>-0.80703431653118729</v>
      </c>
    </row>
    <row r="6" spans="1:17" x14ac:dyDescent="0.25">
      <c r="A6" s="92"/>
      <c r="B6" s="92"/>
      <c r="C6" s="5" t="s">
        <v>113</v>
      </c>
      <c r="D6">
        <v>1.048</v>
      </c>
      <c r="E6">
        <v>3.58</v>
      </c>
      <c r="F6">
        <v>11.76</v>
      </c>
      <c r="G6">
        <v>111.86</v>
      </c>
      <c r="H6">
        <v>3.7518400000000001</v>
      </c>
      <c r="I6">
        <v>12.324479999999999</v>
      </c>
      <c r="J6">
        <v>117.22928</v>
      </c>
      <c r="K6">
        <v>3.31168</v>
      </c>
      <c r="L6">
        <v>11.71664</v>
      </c>
      <c r="M6">
        <v>31.775359999999999</v>
      </c>
      <c r="N6" s="93"/>
      <c r="O6" s="94"/>
      <c r="P6" s="94"/>
      <c r="Q6" s="95"/>
    </row>
    <row r="7" spans="1:17" x14ac:dyDescent="0.25">
      <c r="A7" s="92" t="s">
        <v>9</v>
      </c>
      <c r="B7" s="92" t="s">
        <v>111</v>
      </c>
      <c r="C7" s="5" t="s">
        <v>112</v>
      </c>
      <c r="D7">
        <v>409.73099999999999</v>
      </c>
      <c r="E7">
        <v>3.5</v>
      </c>
      <c r="F7">
        <v>26.81</v>
      </c>
      <c r="G7">
        <v>147.47999999999999</v>
      </c>
      <c r="H7">
        <v>1434.0585000000001</v>
      </c>
      <c r="I7">
        <v>10984.88811</v>
      </c>
      <c r="J7">
        <v>60427.127879999993</v>
      </c>
      <c r="K7">
        <v>1327.52844</v>
      </c>
      <c r="L7">
        <v>10820.995709999999</v>
      </c>
      <c r="M7">
        <v>24903.45018</v>
      </c>
      <c r="N7" s="93">
        <f>(D8-D7)/D7</f>
        <v>-0.94735814473398394</v>
      </c>
      <c r="O7" s="94">
        <f>(K8-K7)/K7</f>
        <v>-0.94703319501011973</v>
      </c>
      <c r="P7" s="94">
        <f>(L8-L7)/L7</f>
        <v>-0.95343757141180874</v>
      </c>
      <c r="Q7" s="95">
        <f>(M8-M7)/M7</f>
        <v>-0.95443422169224901</v>
      </c>
    </row>
    <row r="8" spans="1:17" x14ac:dyDescent="0.25">
      <c r="A8" s="92"/>
      <c r="B8" s="92"/>
      <c r="C8" s="5" t="s">
        <v>113</v>
      </c>
      <c r="D8">
        <v>21.568999999999999</v>
      </c>
      <c r="E8">
        <v>3.52</v>
      </c>
      <c r="F8">
        <v>23.76</v>
      </c>
      <c r="G8">
        <v>139.30000000000001</v>
      </c>
      <c r="H8">
        <v>75.922879999999992</v>
      </c>
      <c r="I8">
        <v>512.47944000000007</v>
      </c>
      <c r="J8">
        <v>3004.5617000000002</v>
      </c>
      <c r="K8">
        <v>70.314939999999993</v>
      </c>
      <c r="L8">
        <v>503.85183999999998</v>
      </c>
      <c r="M8">
        <v>1134.7450899999999</v>
      </c>
      <c r="N8" s="93"/>
      <c r="O8" s="94"/>
      <c r="P8" s="94"/>
      <c r="Q8" s="95"/>
    </row>
    <row r="9" spans="1:17" x14ac:dyDescent="0.25">
      <c r="A9" s="92"/>
      <c r="B9" s="92" t="s">
        <v>114</v>
      </c>
      <c r="C9" s="5" t="s">
        <v>112</v>
      </c>
      <c r="D9">
        <v>400.36200000000002</v>
      </c>
      <c r="E9">
        <v>3.5</v>
      </c>
      <c r="F9">
        <v>26.83</v>
      </c>
      <c r="G9">
        <v>147.52000000000001</v>
      </c>
      <c r="H9">
        <v>1401.2670000000001</v>
      </c>
      <c r="I9">
        <v>10741.712460000001</v>
      </c>
      <c r="J9">
        <v>59061.40224000001</v>
      </c>
      <c r="K9">
        <v>1297.1728800000001</v>
      </c>
      <c r="L9">
        <v>10581.567660000001</v>
      </c>
      <c r="M9">
        <v>24354.02046</v>
      </c>
      <c r="N9" s="93">
        <f>(D10-D9)/D9</f>
        <v>-0.94882131670837888</v>
      </c>
      <c r="O9" s="94">
        <f>(K10-K9)/K9</f>
        <v>-0.94882131670837888</v>
      </c>
      <c r="P9" s="94">
        <f>(L10-L9)/L9</f>
        <v>-0.94870513354540131</v>
      </c>
      <c r="Q9" s="95">
        <f>(M10-M9)/M9</f>
        <v>-0.95036096803870385</v>
      </c>
    </row>
    <row r="10" spans="1:17" x14ac:dyDescent="0.25">
      <c r="A10" s="92"/>
      <c r="B10" s="92"/>
      <c r="C10" s="5" t="s">
        <v>113</v>
      </c>
      <c r="D10">
        <v>20.49</v>
      </c>
      <c r="E10">
        <v>3.5</v>
      </c>
      <c r="F10">
        <v>26.89</v>
      </c>
      <c r="G10">
        <v>145.69999999999999</v>
      </c>
      <c r="H10">
        <v>71.714999999999989</v>
      </c>
      <c r="I10">
        <v>550.97609999999997</v>
      </c>
      <c r="J10">
        <v>2985.393</v>
      </c>
      <c r="K10">
        <v>66.387600000000006</v>
      </c>
      <c r="L10">
        <v>542.78009999999995</v>
      </c>
      <c r="M10">
        <v>1208.9100000000001</v>
      </c>
      <c r="N10" s="93"/>
      <c r="O10" s="94"/>
      <c r="P10" s="94"/>
      <c r="Q10" s="95"/>
    </row>
    <row r="11" spans="1:17" x14ac:dyDescent="0.25">
      <c r="A11" s="92" t="s">
        <v>13</v>
      </c>
      <c r="B11" s="92" t="s">
        <v>111</v>
      </c>
      <c r="C11" s="5" t="s">
        <v>112</v>
      </c>
      <c r="D11">
        <v>2.0939999999999999</v>
      </c>
      <c r="E11">
        <v>3.55</v>
      </c>
      <c r="F11">
        <v>15.94</v>
      </c>
      <c r="G11">
        <v>121.5</v>
      </c>
      <c r="H11">
        <v>7.4336999999999991</v>
      </c>
      <c r="I11">
        <v>33.378359999999986</v>
      </c>
      <c r="J11">
        <v>254.42099999999999</v>
      </c>
      <c r="K11">
        <v>6.554219999999999</v>
      </c>
      <c r="L11">
        <v>32.163839999999993</v>
      </c>
      <c r="M11">
        <v>71.719499999999996</v>
      </c>
      <c r="N11" s="93">
        <f>(D12-D11)/D11</f>
        <v>0</v>
      </c>
      <c r="O11" s="94">
        <f>(K12-K11)/K11</f>
        <v>0</v>
      </c>
      <c r="P11" s="94">
        <f>(L12-L11)/L11</f>
        <v>-2.2135416666666491E-2</v>
      </c>
      <c r="Q11" s="95">
        <f>(M12-M11)/M11</f>
        <v>-4.5255474452554741E-2</v>
      </c>
    </row>
    <row r="12" spans="1:17" x14ac:dyDescent="0.25">
      <c r="A12" s="92"/>
      <c r="B12" s="92"/>
      <c r="C12" s="5" t="s">
        <v>113</v>
      </c>
      <c r="D12">
        <v>2.0939999999999999</v>
      </c>
      <c r="E12">
        <v>3.55</v>
      </c>
      <c r="F12">
        <v>15.6</v>
      </c>
      <c r="G12">
        <v>119.95</v>
      </c>
      <c r="H12">
        <v>7.4336999999999991</v>
      </c>
      <c r="I12">
        <v>32.666400000000003</v>
      </c>
      <c r="J12">
        <v>251.17529999999999</v>
      </c>
      <c r="K12">
        <v>6.554219999999999</v>
      </c>
      <c r="L12">
        <v>31.451879999999999</v>
      </c>
      <c r="M12">
        <v>68.473799999999997</v>
      </c>
      <c r="N12" s="93"/>
      <c r="O12" s="94"/>
      <c r="P12" s="94"/>
      <c r="Q12" s="95"/>
    </row>
    <row r="13" spans="1:17" x14ac:dyDescent="0.25">
      <c r="A13" s="92"/>
      <c r="B13" s="92" t="s">
        <v>114</v>
      </c>
      <c r="C13" s="5" t="s">
        <v>112</v>
      </c>
      <c r="D13">
        <v>1.0469999999999999</v>
      </c>
      <c r="E13">
        <v>3.62</v>
      </c>
      <c r="F13">
        <v>15.23</v>
      </c>
      <c r="G13">
        <v>117.27</v>
      </c>
      <c r="H13">
        <v>3.7901400000000001</v>
      </c>
      <c r="I13">
        <v>15.94581</v>
      </c>
      <c r="J13">
        <v>122.78169</v>
      </c>
      <c r="K13">
        <v>3.3504</v>
      </c>
      <c r="L13">
        <v>15.33855</v>
      </c>
      <c r="M13">
        <v>31.43094</v>
      </c>
      <c r="N13" s="93">
        <f>(D14-D13)/D13</f>
        <v>0</v>
      </c>
      <c r="O13" s="94">
        <f>(K14-K13)/K13</f>
        <v>3.1249999999999273E-3</v>
      </c>
      <c r="P13" s="94">
        <f>(L14-L13)/L13</f>
        <v>-3.344709897610925E-2</v>
      </c>
      <c r="Q13" s="95">
        <f>(M14-M13)/M13</f>
        <v>-3.6309127248501008E-2</v>
      </c>
    </row>
    <row r="14" spans="1:17" x14ac:dyDescent="0.25">
      <c r="A14" s="92"/>
      <c r="B14" s="92"/>
      <c r="C14" s="5" t="s">
        <v>113</v>
      </c>
      <c r="D14">
        <v>1.0469999999999999</v>
      </c>
      <c r="E14">
        <v>3.63</v>
      </c>
      <c r="F14">
        <v>14.74</v>
      </c>
      <c r="G14">
        <v>116.19</v>
      </c>
      <c r="H14">
        <v>3.8006099999999998</v>
      </c>
      <c r="I14">
        <v>15.432779999999999</v>
      </c>
      <c r="J14">
        <v>121.65093</v>
      </c>
      <c r="K14">
        <v>3.3608699999999998</v>
      </c>
      <c r="L14">
        <v>14.825519999999999</v>
      </c>
      <c r="M14">
        <v>30.289709999999999</v>
      </c>
      <c r="N14" s="93"/>
      <c r="O14" s="94"/>
      <c r="P14" s="94"/>
      <c r="Q14" s="95"/>
    </row>
    <row r="15" spans="1:17" x14ac:dyDescent="0.25">
      <c r="A15" s="92" t="s">
        <v>15</v>
      </c>
      <c r="B15" s="92" t="s">
        <v>111</v>
      </c>
      <c r="C15" s="5" t="s">
        <v>112</v>
      </c>
      <c r="D15">
        <v>4.7469999999999999</v>
      </c>
      <c r="E15">
        <v>3.52</v>
      </c>
      <c r="F15">
        <v>26.91</v>
      </c>
      <c r="G15">
        <v>142.41</v>
      </c>
      <c r="H15">
        <v>16.709440000000001</v>
      </c>
      <c r="I15">
        <v>127.74177</v>
      </c>
      <c r="J15">
        <v>676.02026999999998</v>
      </c>
      <c r="K15">
        <v>14.7157</v>
      </c>
      <c r="L15">
        <v>124.98851000000001</v>
      </c>
      <c r="M15">
        <v>261.13247000000001</v>
      </c>
      <c r="N15" s="93">
        <f>(D16-D15)/D15</f>
        <v>3.7550031598904572</v>
      </c>
      <c r="O15" s="94">
        <f>(K16-K15)/K15</f>
        <v>3.7396644400198427</v>
      </c>
      <c r="P15" s="94">
        <f>(L16-L15)/L15</f>
        <v>3.2023898036707532</v>
      </c>
      <c r="Q15" s="95">
        <f>(M16-M15)/M15</f>
        <v>3.5233469434115179</v>
      </c>
    </row>
    <row r="16" spans="1:17" x14ac:dyDescent="0.25">
      <c r="A16" s="92"/>
      <c r="B16" s="92"/>
      <c r="C16" s="5" t="s">
        <v>113</v>
      </c>
      <c r="D16">
        <v>22.571999999999999</v>
      </c>
      <c r="E16">
        <v>3.51</v>
      </c>
      <c r="F16">
        <v>23.85</v>
      </c>
      <c r="G16">
        <v>139.72999999999999</v>
      </c>
      <c r="H16">
        <v>79.227719999999991</v>
      </c>
      <c r="I16">
        <v>538.34220000000005</v>
      </c>
      <c r="J16">
        <v>3153.9855600000001</v>
      </c>
      <c r="K16">
        <v>69.747479999999996</v>
      </c>
      <c r="L16">
        <v>525.25044000000003</v>
      </c>
      <c r="M16">
        <v>1181.1927599999999</v>
      </c>
      <c r="N16" s="93"/>
      <c r="O16" s="94"/>
      <c r="P16" s="94"/>
      <c r="Q16" s="95"/>
    </row>
    <row r="17" spans="1:17" x14ac:dyDescent="0.25">
      <c r="A17" s="92"/>
      <c r="B17" s="92" t="s">
        <v>114</v>
      </c>
      <c r="C17" s="5" t="s">
        <v>112</v>
      </c>
      <c r="D17">
        <v>6.8869999999999996</v>
      </c>
      <c r="E17">
        <v>3.55</v>
      </c>
      <c r="F17">
        <v>27.61</v>
      </c>
      <c r="G17">
        <v>145.59</v>
      </c>
      <c r="H17">
        <v>24.44885</v>
      </c>
      <c r="I17">
        <v>190.15007</v>
      </c>
      <c r="J17">
        <v>1002.67833</v>
      </c>
      <c r="K17">
        <v>21.55631</v>
      </c>
      <c r="L17">
        <v>186.15561</v>
      </c>
      <c r="M17">
        <v>400.75452999999987</v>
      </c>
      <c r="N17" s="93">
        <f>(D18-D17)/D17</f>
        <v>1.0309278350515554E-2</v>
      </c>
      <c r="O17" s="94">
        <f>(K18-K17)/K17</f>
        <v>3.8536280096175698E-3</v>
      </c>
      <c r="P17" s="94">
        <f>(L18-L17)/L17</f>
        <v>2.3017571159955941E-2</v>
      </c>
      <c r="Q17" s="95">
        <f>(M18-M17)/M17</f>
        <v>2.1768362793054687E-2</v>
      </c>
    </row>
    <row r="18" spans="1:17" x14ac:dyDescent="0.25">
      <c r="A18" s="92"/>
      <c r="B18" s="92"/>
      <c r="C18" s="5" t="s">
        <v>113</v>
      </c>
      <c r="D18">
        <v>6.9580000000000002</v>
      </c>
      <c r="E18">
        <v>3.53</v>
      </c>
      <c r="F18">
        <v>27.95</v>
      </c>
      <c r="G18">
        <v>146.25</v>
      </c>
      <c r="H18">
        <v>24.56174</v>
      </c>
      <c r="I18">
        <v>194.4761</v>
      </c>
      <c r="J18">
        <v>1017.6075</v>
      </c>
      <c r="K18">
        <v>21.639379999999999</v>
      </c>
      <c r="L18">
        <v>190.44046</v>
      </c>
      <c r="M18">
        <v>409.47829999999999</v>
      </c>
      <c r="N18" s="93"/>
      <c r="O18" s="94"/>
      <c r="P18" s="94"/>
      <c r="Q18" s="95"/>
    </row>
    <row r="19" spans="1:17" x14ac:dyDescent="0.25">
      <c r="A19" s="92" t="s">
        <v>17</v>
      </c>
      <c r="B19" s="92" t="s">
        <v>111</v>
      </c>
      <c r="C19" s="5" t="s">
        <v>112</v>
      </c>
      <c r="D19">
        <v>0.54100000000000004</v>
      </c>
      <c r="E19">
        <v>3.72</v>
      </c>
      <c r="F19">
        <v>8.06</v>
      </c>
      <c r="G19">
        <v>119.19</v>
      </c>
      <c r="H19">
        <v>2.0125199999999999</v>
      </c>
      <c r="I19">
        <v>4.3604600000000007</v>
      </c>
      <c r="J19">
        <v>64.481790000000004</v>
      </c>
      <c r="K19">
        <v>1.7853000000000001</v>
      </c>
      <c r="L19">
        <v>4.0466800000000003</v>
      </c>
      <c r="M19">
        <v>11.47461</v>
      </c>
      <c r="N19" s="93">
        <f>(D20-D19)/D19</f>
        <v>-3.1423290203327195E-2</v>
      </c>
      <c r="O19" s="94">
        <f>(K20-K19)/K19</f>
        <v>-2.8488209264549445E-2</v>
      </c>
      <c r="P19" s="94">
        <f>(L20-L19)/L19</f>
        <v>-6.8975061037690216E-2</v>
      </c>
      <c r="Q19" s="95">
        <f>(M20-M19)/M19</f>
        <v>-7.9829292673127883E-2</v>
      </c>
    </row>
    <row r="20" spans="1:17" x14ac:dyDescent="0.25">
      <c r="A20" s="92"/>
      <c r="B20" s="92"/>
      <c r="C20" s="5" t="s">
        <v>113</v>
      </c>
      <c r="D20">
        <v>0.52400000000000002</v>
      </c>
      <c r="E20">
        <v>3.73</v>
      </c>
      <c r="F20">
        <v>7.77</v>
      </c>
      <c r="G20">
        <v>118.13</v>
      </c>
      <c r="H20">
        <v>1.95452</v>
      </c>
      <c r="I20">
        <v>4.0714800000000002</v>
      </c>
      <c r="J20">
        <v>61.900120000000001</v>
      </c>
      <c r="K20">
        <v>1.73444</v>
      </c>
      <c r="L20">
        <v>3.76756</v>
      </c>
      <c r="M20">
        <v>10.5586</v>
      </c>
      <c r="N20" s="93"/>
      <c r="O20" s="94"/>
      <c r="P20" s="94"/>
      <c r="Q20" s="95"/>
    </row>
    <row r="21" spans="1:17" x14ac:dyDescent="0.25">
      <c r="A21" s="92"/>
      <c r="B21" s="92" t="s">
        <v>114</v>
      </c>
      <c r="C21" s="5" t="s">
        <v>112</v>
      </c>
      <c r="D21">
        <v>0.52300000000000002</v>
      </c>
      <c r="E21">
        <v>3.73</v>
      </c>
      <c r="F21">
        <v>7.09</v>
      </c>
      <c r="G21">
        <v>117.7</v>
      </c>
      <c r="H21">
        <v>1.95079</v>
      </c>
      <c r="I21">
        <v>3.7080700000000002</v>
      </c>
      <c r="J21">
        <v>61.557100000000013</v>
      </c>
      <c r="K21">
        <v>1.7311300000000001</v>
      </c>
      <c r="L21">
        <v>3.4047299999999998</v>
      </c>
      <c r="M21">
        <v>10.31879</v>
      </c>
      <c r="N21" s="93">
        <f>(D22-D21)/D21</f>
        <v>0</v>
      </c>
      <c r="O21" s="94">
        <f>(K22-K21)/K21</f>
        <v>-3.0211480362538155E-3</v>
      </c>
      <c r="P21" s="94">
        <f>(L22-L21)/L21</f>
        <v>0.10599078341013833</v>
      </c>
      <c r="Q21" s="95">
        <f>(M22-M21)/M21</f>
        <v>3.1931069437404952E-2</v>
      </c>
    </row>
    <row r="22" spans="1:17" x14ac:dyDescent="0.25">
      <c r="A22" s="92"/>
      <c r="B22" s="92"/>
      <c r="C22" s="5" t="s">
        <v>113</v>
      </c>
      <c r="D22">
        <v>0.52300000000000002</v>
      </c>
      <c r="E22">
        <v>3.72</v>
      </c>
      <c r="F22">
        <v>7.78</v>
      </c>
      <c r="G22">
        <v>118.33</v>
      </c>
      <c r="H22">
        <v>1.94556</v>
      </c>
      <c r="I22">
        <v>4.0689399999999996</v>
      </c>
      <c r="J22">
        <v>61.886589999999998</v>
      </c>
      <c r="K22">
        <v>1.7259</v>
      </c>
      <c r="L22">
        <v>3.7656000000000001</v>
      </c>
      <c r="M22">
        <v>10.64828</v>
      </c>
      <c r="N22" s="93"/>
      <c r="O22" s="94"/>
      <c r="P22" s="94"/>
      <c r="Q22" s="95"/>
    </row>
    <row r="23" spans="1:17" x14ac:dyDescent="0.25">
      <c r="A23" s="92" t="s">
        <v>19</v>
      </c>
      <c r="B23" s="92" t="s">
        <v>111</v>
      </c>
      <c r="C23" s="5" t="s">
        <v>112</v>
      </c>
      <c r="D23">
        <v>81.870999999999995</v>
      </c>
      <c r="E23">
        <v>3.51</v>
      </c>
      <c r="F23">
        <v>28.92</v>
      </c>
      <c r="G23">
        <v>151.16999999999999</v>
      </c>
      <c r="H23">
        <v>287.36720999999989</v>
      </c>
      <c r="I23">
        <v>2367.7093199999999</v>
      </c>
      <c r="J23">
        <v>12376.43907</v>
      </c>
      <c r="K23">
        <v>252.98139</v>
      </c>
      <c r="L23">
        <v>2320.2241399999998</v>
      </c>
      <c r="M23">
        <v>5473.8950599999998</v>
      </c>
      <c r="N23" s="93">
        <f>(D24-D23)/D23</f>
        <v>-3.7253728426426039E-3</v>
      </c>
      <c r="O23" s="94">
        <f>(K24-K23)/K23</f>
        <v>-5.0118311074186022E-4</v>
      </c>
      <c r="P23" s="94">
        <f>(L24-L23)/L23</f>
        <v>-5.1315473340433401E-3</v>
      </c>
      <c r="Q23" s="95">
        <f>(M24-M23)/M23</f>
        <v>1.2963642748387096E-2</v>
      </c>
    </row>
    <row r="24" spans="1:17" x14ac:dyDescent="0.25">
      <c r="A24" s="92"/>
      <c r="B24" s="92"/>
      <c r="C24" s="5" t="s">
        <v>113</v>
      </c>
      <c r="D24">
        <v>81.566000000000003</v>
      </c>
      <c r="E24">
        <v>3.52</v>
      </c>
      <c r="F24">
        <v>28.88</v>
      </c>
      <c r="G24">
        <v>152.29</v>
      </c>
      <c r="H24">
        <v>287.11232000000001</v>
      </c>
      <c r="I24">
        <v>2355.62608</v>
      </c>
      <c r="J24">
        <v>12421.68614</v>
      </c>
      <c r="K24">
        <v>252.8546</v>
      </c>
      <c r="L24">
        <v>2308.3177999999998</v>
      </c>
      <c r="M24">
        <v>5544.8566800000008</v>
      </c>
      <c r="N24" s="93"/>
      <c r="O24" s="94"/>
      <c r="P24" s="94"/>
      <c r="Q24" s="95"/>
    </row>
    <row r="25" spans="1:17" x14ac:dyDescent="0.25">
      <c r="A25" s="92"/>
      <c r="B25" s="92" t="s">
        <v>114</v>
      </c>
      <c r="C25" s="5" t="s">
        <v>112</v>
      </c>
      <c r="D25">
        <v>1.052</v>
      </c>
      <c r="E25">
        <v>3.63</v>
      </c>
      <c r="F25">
        <v>8.19</v>
      </c>
      <c r="G25">
        <v>107.31</v>
      </c>
      <c r="H25">
        <v>3.8187600000000002</v>
      </c>
      <c r="I25">
        <v>8.6158800000000006</v>
      </c>
      <c r="J25">
        <v>112.89012</v>
      </c>
      <c r="K25">
        <v>3.3769200000000001</v>
      </c>
      <c r="L25">
        <v>8.0057200000000002</v>
      </c>
      <c r="M25">
        <v>24.196000000000002</v>
      </c>
      <c r="N25" s="93">
        <f>(D26-D25)/D25</f>
        <v>-0.5</v>
      </c>
      <c r="O25" s="94">
        <f>(K26-K25)/K25</f>
        <v>-0.48598130841121495</v>
      </c>
      <c r="P25" s="94">
        <f>(L26-L25)/L25</f>
        <v>-0.58541392904073586</v>
      </c>
      <c r="Q25" s="95">
        <f>(M26-M25)/M25</f>
        <v>-0.56586956521739129</v>
      </c>
    </row>
    <row r="26" spans="1:17" x14ac:dyDescent="0.25">
      <c r="A26" s="92"/>
      <c r="B26" s="92"/>
      <c r="C26" s="5" t="s">
        <v>113</v>
      </c>
      <c r="D26">
        <v>0.52600000000000002</v>
      </c>
      <c r="E26">
        <v>3.72</v>
      </c>
      <c r="F26">
        <v>6.89</v>
      </c>
      <c r="G26">
        <v>104.28</v>
      </c>
      <c r="H26">
        <v>1.95672</v>
      </c>
      <c r="I26">
        <v>3.6241400000000001</v>
      </c>
      <c r="J26">
        <v>54.851280000000003</v>
      </c>
      <c r="K26">
        <v>1.7358</v>
      </c>
      <c r="L26">
        <v>3.3190599999999999</v>
      </c>
      <c r="M26">
        <v>10.50422</v>
      </c>
      <c r="N26" s="93"/>
      <c r="O26" s="94"/>
      <c r="P26" s="94"/>
      <c r="Q26" s="95"/>
    </row>
    <row r="27" spans="1:17" x14ac:dyDescent="0.25">
      <c r="A27" s="92" t="s">
        <v>21</v>
      </c>
      <c r="B27" s="92" t="s">
        <v>111</v>
      </c>
      <c r="C27" s="5" t="s">
        <v>112</v>
      </c>
      <c r="D27">
        <v>2.0950000000000002</v>
      </c>
      <c r="E27">
        <v>3.54</v>
      </c>
      <c r="F27">
        <v>17.14</v>
      </c>
      <c r="G27">
        <v>123.05</v>
      </c>
      <c r="H27">
        <v>7.4163000000000006</v>
      </c>
      <c r="I27">
        <v>35.908299999999997</v>
      </c>
      <c r="J27">
        <v>257.78975000000003</v>
      </c>
      <c r="K27">
        <v>6.5364000000000004</v>
      </c>
      <c r="L27">
        <v>34.693199999999997</v>
      </c>
      <c r="M27">
        <v>79.861400000000003</v>
      </c>
      <c r="N27" s="93">
        <f>(D28-D27)/D27</f>
        <v>-0.50023866348448698</v>
      </c>
      <c r="O27" s="94">
        <f>(K28-K27)/K27</f>
        <v>-0.48902606939599785</v>
      </c>
      <c r="P27" s="94">
        <f>(L28-L27)/L27</f>
        <v>-0.62940403306699866</v>
      </c>
      <c r="Q27" s="95">
        <f>(M28-M27)/M27</f>
        <v>-0.61482192899197863</v>
      </c>
    </row>
    <row r="28" spans="1:17" x14ac:dyDescent="0.25">
      <c r="A28" s="92"/>
      <c r="B28" s="92"/>
      <c r="C28" s="5" t="s">
        <v>113</v>
      </c>
      <c r="D28">
        <v>1.0469999999999999</v>
      </c>
      <c r="E28">
        <v>3.61</v>
      </c>
      <c r="F28">
        <v>12.86</v>
      </c>
      <c r="G28">
        <v>114.3</v>
      </c>
      <c r="H28">
        <v>3.779669999999999</v>
      </c>
      <c r="I28">
        <v>13.46442</v>
      </c>
      <c r="J28">
        <v>119.6721</v>
      </c>
      <c r="K28">
        <v>3.3399299999999998</v>
      </c>
      <c r="L28">
        <v>12.85716</v>
      </c>
      <c r="M28">
        <v>30.760860000000001</v>
      </c>
      <c r="N28" s="93"/>
      <c r="O28" s="94"/>
      <c r="P28" s="94"/>
      <c r="Q28" s="95"/>
    </row>
    <row r="29" spans="1:17" x14ac:dyDescent="0.25">
      <c r="A29" s="92"/>
      <c r="B29" s="92" t="s">
        <v>114</v>
      </c>
      <c r="C29" s="5" t="s">
        <v>112</v>
      </c>
      <c r="D29">
        <v>2.0939999999999999</v>
      </c>
      <c r="E29">
        <v>3.53</v>
      </c>
      <c r="F29">
        <v>17.57</v>
      </c>
      <c r="G29">
        <v>123</v>
      </c>
      <c r="H29">
        <v>7.3918199999999992</v>
      </c>
      <c r="I29">
        <v>36.791580000000003</v>
      </c>
      <c r="J29">
        <v>257.56200000000001</v>
      </c>
      <c r="K29">
        <v>6.5123399999999991</v>
      </c>
      <c r="L29">
        <v>35.577060000000003</v>
      </c>
      <c r="M29">
        <v>79.739519999999985</v>
      </c>
      <c r="N29" s="93">
        <f>(D30-D29)/D29</f>
        <v>-0.5</v>
      </c>
      <c r="O29" s="94">
        <f>(K30-K29)/K29</f>
        <v>-0.48713826366559482</v>
      </c>
      <c r="P29" s="94">
        <f>(L30-L29)/L29</f>
        <v>-0.72866391995291346</v>
      </c>
      <c r="Q29" s="95">
        <f>(M30-M29)/M29</f>
        <v>-0.69432773109243684</v>
      </c>
    </row>
    <row r="30" spans="1:17" x14ac:dyDescent="0.25">
      <c r="A30" s="92"/>
      <c r="B30" s="92"/>
      <c r="C30" s="5" t="s">
        <v>113</v>
      </c>
      <c r="D30">
        <v>1.0469999999999999</v>
      </c>
      <c r="E30">
        <v>3.61</v>
      </c>
      <c r="F30">
        <v>9.8000000000000007</v>
      </c>
      <c r="G30">
        <v>108.2</v>
      </c>
      <c r="H30">
        <v>3.779669999999999</v>
      </c>
      <c r="I30">
        <v>10.2606</v>
      </c>
      <c r="J30">
        <v>113.2854</v>
      </c>
      <c r="K30">
        <v>3.3399299999999998</v>
      </c>
      <c r="L30">
        <v>9.65334</v>
      </c>
      <c r="M30">
        <v>24.37416</v>
      </c>
      <c r="N30" s="93"/>
      <c r="O30" s="94"/>
      <c r="P30" s="94"/>
      <c r="Q30" s="95"/>
    </row>
    <row r="31" spans="1:17" x14ac:dyDescent="0.25">
      <c r="A31" s="92" t="s">
        <v>23</v>
      </c>
      <c r="B31" s="92" t="s">
        <v>111</v>
      </c>
      <c r="C31" s="5" t="s">
        <v>112</v>
      </c>
      <c r="D31">
        <v>1.0469999999999999</v>
      </c>
      <c r="E31">
        <v>3.59</v>
      </c>
      <c r="F31">
        <v>13.32</v>
      </c>
      <c r="G31">
        <v>114.16</v>
      </c>
      <c r="H31">
        <v>3.758729999999999</v>
      </c>
      <c r="I31">
        <v>13.94604</v>
      </c>
      <c r="J31">
        <v>119.52552</v>
      </c>
      <c r="K31">
        <v>3.3189899999999999</v>
      </c>
      <c r="L31">
        <v>13.33878</v>
      </c>
      <c r="M31">
        <v>27.389520000000001</v>
      </c>
      <c r="N31" s="93">
        <f>(D32-D31)/D31</f>
        <v>0</v>
      </c>
      <c r="O31" s="94">
        <f>(K32-K31)/K31</f>
        <v>6.3091482649842148E-3</v>
      </c>
      <c r="P31" s="94">
        <f>(L32-L31)/L31</f>
        <v>-0.16405023547880684</v>
      </c>
      <c r="Q31" s="95">
        <f>(M32-M31)/M31</f>
        <v>-7.9128440366972516E-2</v>
      </c>
    </row>
    <row r="32" spans="1:17" x14ac:dyDescent="0.25">
      <c r="A32" s="92"/>
      <c r="B32" s="92"/>
      <c r="C32" s="5" t="s">
        <v>113</v>
      </c>
      <c r="D32">
        <v>1.0469999999999999</v>
      </c>
      <c r="E32">
        <v>3.61</v>
      </c>
      <c r="F32">
        <v>11.23</v>
      </c>
      <c r="G32">
        <v>112.08</v>
      </c>
      <c r="H32">
        <v>3.779669999999999</v>
      </c>
      <c r="I32">
        <v>11.757809999999999</v>
      </c>
      <c r="J32">
        <v>117.34775999999999</v>
      </c>
      <c r="K32">
        <v>3.3399299999999998</v>
      </c>
      <c r="L32">
        <v>11.150550000000001</v>
      </c>
      <c r="M32">
        <v>25.22223</v>
      </c>
      <c r="N32" s="93"/>
      <c r="O32" s="94"/>
      <c r="P32" s="94"/>
      <c r="Q32" s="95"/>
    </row>
    <row r="33" spans="1:17" x14ac:dyDescent="0.25">
      <c r="A33" s="92"/>
      <c r="B33" s="92" t="s">
        <v>114</v>
      </c>
      <c r="C33" s="5" t="s">
        <v>112</v>
      </c>
      <c r="D33">
        <v>1.0469999999999999</v>
      </c>
      <c r="E33">
        <v>3.6</v>
      </c>
      <c r="F33">
        <v>9.69</v>
      </c>
      <c r="G33">
        <v>110.47</v>
      </c>
      <c r="H33">
        <v>3.7692000000000001</v>
      </c>
      <c r="I33">
        <v>10.145429999999999</v>
      </c>
      <c r="J33">
        <v>115.66209000000001</v>
      </c>
      <c r="K33">
        <v>3.3294600000000001</v>
      </c>
      <c r="L33">
        <v>9.5381699999999991</v>
      </c>
      <c r="M33">
        <v>23.52609</v>
      </c>
      <c r="N33" s="93">
        <f>(D34-D33)/D33</f>
        <v>-0.41642788920725882</v>
      </c>
      <c r="O33" s="94">
        <f>(K34-K33)/K33</f>
        <v>-0.39440630012074024</v>
      </c>
      <c r="P33" s="94">
        <f>(L34-L33)/L33</f>
        <v>-0.54390412416637568</v>
      </c>
      <c r="Q33" s="95">
        <f>(M34-M33)/M33</f>
        <v>-0.53277871503509511</v>
      </c>
    </row>
    <row r="34" spans="1:17" x14ac:dyDescent="0.25">
      <c r="A34" s="92"/>
      <c r="B34" s="92"/>
      <c r="C34" s="5" t="s">
        <v>113</v>
      </c>
      <c r="D34">
        <v>0.61099999999999999</v>
      </c>
      <c r="E34">
        <v>3.72</v>
      </c>
      <c r="F34">
        <v>7.7</v>
      </c>
      <c r="G34">
        <v>105.98</v>
      </c>
      <c r="H34">
        <v>2.2729200000000001</v>
      </c>
      <c r="I34">
        <v>4.7046999999999999</v>
      </c>
      <c r="J34">
        <v>64.753780000000006</v>
      </c>
      <c r="K34">
        <v>2.0163000000000002</v>
      </c>
      <c r="L34">
        <v>4.35032</v>
      </c>
      <c r="M34">
        <v>10.99189</v>
      </c>
      <c r="N34" s="93"/>
      <c r="O34" s="94"/>
      <c r="P34" s="94"/>
      <c r="Q34" s="95"/>
    </row>
    <row r="35" spans="1:17" x14ac:dyDescent="0.25">
      <c r="A35" s="92" t="s">
        <v>25</v>
      </c>
      <c r="B35" s="92" t="s">
        <v>111</v>
      </c>
      <c r="C35" s="5" t="s">
        <v>112</v>
      </c>
      <c r="D35">
        <v>8.3780000000000001</v>
      </c>
      <c r="E35">
        <v>3.49</v>
      </c>
      <c r="F35">
        <v>24.17</v>
      </c>
      <c r="G35">
        <v>139.41999999999999</v>
      </c>
      <c r="H35">
        <v>29.23922</v>
      </c>
      <c r="I35">
        <v>202.49626000000001</v>
      </c>
      <c r="J35">
        <v>1168.0607600000001</v>
      </c>
      <c r="K35">
        <v>25.720459999999999</v>
      </c>
      <c r="L35">
        <v>197.63702000000001</v>
      </c>
      <c r="M35">
        <v>455.00918000000001</v>
      </c>
      <c r="N35" s="93">
        <f>(D36-D35)/D35</f>
        <v>-0.25005968011458579</v>
      </c>
      <c r="O35" s="94">
        <f>(K36-K35)/K35</f>
        <v>-0.25005968011458574</v>
      </c>
      <c r="P35" s="94">
        <f>(L36-L35)/L35</f>
        <v>-0.28280400099131225</v>
      </c>
      <c r="Q35" s="95">
        <f>(M36-M35)/M35</f>
        <v>-0.28112883348859025</v>
      </c>
    </row>
    <row r="36" spans="1:17" x14ac:dyDescent="0.25">
      <c r="A36" s="92"/>
      <c r="B36" s="92"/>
      <c r="C36" s="5" t="s">
        <v>113</v>
      </c>
      <c r="D36">
        <v>6.2830000000000004</v>
      </c>
      <c r="E36">
        <v>3.49</v>
      </c>
      <c r="F36">
        <v>23.14</v>
      </c>
      <c r="G36">
        <v>137.16</v>
      </c>
      <c r="H36">
        <v>21.927669999999999</v>
      </c>
      <c r="I36">
        <v>145.38862</v>
      </c>
      <c r="J36">
        <v>861.77628000000004</v>
      </c>
      <c r="K36">
        <v>19.288810000000002</v>
      </c>
      <c r="L36">
        <v>141.74448000000001</v>
      </c>
      <c r="M36">
        <v>327.09298000000001</v>
      </c>
      <c r="N36" s="93"/>
      <c r="O36" s="94"/>
      <c r="P36" s="94"/>
      <c r="Q36" s="95"/>
    </row>
    <row r="37" spans="1:17" x14ac:dyDescent="0.25">
      <c r="A37" s="92"/>
      <c r="B37" s="92" t="s">
        <v>114</v>
      </c>
      <c r="C37" s="5" t="s">
        <v>112</v>
      </c>
      <c r="D37">
        <v>8.4740000000000002</v>
      </c>
      <c r="E37">
        <v>3.48</v>
      </c>
      <c r="F37">
        <v>24.25</v>
      </c>
      <c r="G37">
        <v>138.47</v>
      </c>
      <c r="H37">
        <v>29.489519999999999</v>
      </c>
      <c r="I37">
        <v>205.49449999999999</v>
      </c>
      <c r="J37">
        <v>1173.3947800000001</v>
      </c>
      <c r="K37">
        <v>25.930440000000001</v>
      </c>
      <c r="L37">
        <v>200.57957999999999</v>
      </c>
      <c r="M37">
        <v>452.17264</v>
      </c>
      <c r="N37" s="93">
        <f>(D38-D37)/D37</f>
        <v>-0.2556053811659193</v>
      </c>
      <c r="O37" s="94">
        <f>(K38-K37)/K37</f>
        <v>-0.25560538116591935</v>
      </c>
      <c r="P37" s="94">
        <f>(L38-L37)/L37</f>
        <v>-0.34208975809003089</v>
      </c>
      <c r="Q37" s="95">
        <f>(M38-M37)/M37</f>
        <v>-0.33791288212396042</v>
      </c>
    </row>
    <row r="38" spans="1:17" x14ac:dyDescent="0.25">
      <c r="A38" s="92"/>
      <c r="B38" s="92"/>
      <c r="C38" s="5" t="s">
        <v>113</v>
      </c>
      <c r="D38">
        <v>6.3079999999999998</v>
      </c>
      <c r="E38">
        <v>3.48</v>
      </c>
      <c r="F38">
        <v>21.5</v>
      </c>
      <c r="G38">
        <v>132.57</v>
      </c>
      <c r="H38">
        <v>21.951840000000001</v>
      </c>
      <c r="I38">
        <v>135.62200000000001</v>
      </c>
      <c r="J38">
        <v>836.25155999999993</v>
      </c>
      <c r="K38">
        <v>19.302479999999999</v>
      </c>
      <c r="L38">
        <v>131.96335999999999</v>
      </c>
      <c r="M38">
        <v>299.37768</v>
      </c>
      <c r="N38" s="93"/>
      <c r="O38" s="94"/>
      <c r="P38" s="94"/>
      <c r="Q38" s="95"/>
    </row>
    <row r="39" spans="1:17" x14ac:dyDescent="0.25">
      <c r="A39" s="92" t="s">
        <v>31</v>
      </c>
      <c r="B39" s="92" t="s">
        <v>111</v>
      </c>
      <c r="C39" s="5" t="s">
        <v>112</v>
      </c>
      <c r="D39">
        <v>1.0469999999999999</v>
      </c>
      <c r="E39">
        <v>3.57</v>
      </c>
      <c r="F39">
        <v>10.62</v>
      </c>
      <c r="G39">
        <v>112.06</v>
      </c>
      <c r="H39">
        <v>3.7377899999999999</v>
      </c>
      <c r="I39">
        <v>11.11914</v>
      </c>
      <c r="J39">
        <v>117.32682</v>
      </c>
      <c r="K39">
        <v>3.298049999999999</v>
      </c>
      <c r="L39">
        <v>10.51188</v>
      </c>
      <c r="M39">
        <v>24.269459999999999</v>
      </c>
      <c r="N39" s="93">
        <f>(D40-D39)/D39</f>
        <v>0</v>
      </c>
      <c r="O39" s="94">
        <f>(K40-K39)/K39</f>
        <v>9.5238095238098439E-3</v>
      </c>
      <c r="P39" s="94">
        <f>(L40-L39)/L39</f>
        <v>9.9601593625495708E-4</v>
      </c>
      <c r="Q39" s="95">
        <f>(M40-M39)/M39</f>
        <v>-2.9335634167385584E-2</v>
      </c>
    </row>
    <row r="40" spans="1:17" x14ac:dyDescent="0.25">
      <c r="A40" s="92"/>
      <c r="B40" s="92"/>
      <c r="C40" s="5" t="s">
        <v>113</v>
      </c>
      <c r="D40">
        <v>1.0469999999999999</v>
      </c>
      <c r="E40">
        <v>3.6</v>
      </c>
      <c r="F40">
        <v>10.63</v>
      </c>
      <c r="G40">
        <v>111.38</v>
      </c>
      <c r="H40">
        <v>3.7692000000000001</v>
      </c>
      <c r="I40">
        <v>11.12961</v>
      </c>
      <c r="J40">
        <v>116.61485999999999</v>
      </c>
      <c r="K40">
        <v>3.3294600000000001</v>
      </c>
      <c r="L40">
        <v>10.522349999999999</v>
      </c>
      <c r="M40">
        <v>23.557500000000001</v>
      </c>
      <c r="N40" s="93"/>
      <c r="O40" s="94"/>
      <c r="P40" s="94"/>
      <c r="Q40" s="95"/>
    </row>
    <row r="41" spans="1:17" x14ac:dyDescent="0.25">
      <c r="A41" s="92"/>
      <c r="B41" s="92" t="s">
        <v>114</v>
      </c>
      <c r="C41" s="5" t="s">
        <v>112</v>
      </c>
      <c r="D41">
        <v>1.0469999999999999</v>
      </c>
      <c r="E41">
        <v>3.59</v>
      </c>
      <c r="F41">
        <v>9.9</v>
      </c>
      <c r="G41">
        <v>110.14</v>
      </c>
      <c r="H41">
        <v>3.758729999999999</v>
      </c>
      <c r="I41">
        <v>10.3653</v>
      </c>
      <c r="J41">
        <v>115.31658</v>
      </c>
      <c r="K41">
        <v>3.3189899999999999</v>
      </c>
      <c r="L41">
        <v>9.7580399999999994</v>
      </c>
      <c r="M41">
        <v>22.259219999999999</v>
      </c>
      <c r="N41" s="93">
        <f>(D42-D41)/D41</f>
        <v>0</v>
      </c>
      <c r="O41" s="94">
        <f>(K42-K41)/K41</f>
        <v>3.1545741324921742E-3</v>
      </c>
      <c r="P41" s="94">
        <f>(L42-L41)/L41</f>
        <v>-2.3605150214592276E-2</v>
      </c>
      <c r="Q41" s="95">
        <f>(M42-M41)/M41</f>
        <v>-1.7403574788334899E-2</v>
      </c>
    </row>
    <row r="42" spans="1:17" x14ac:dyDescent="0.25">
      <c r="A42" s="92"/>
      <c r="B42" s="92"/>
      <c r="C42" s="5" t="s">
        <v>113</v>
      </c>
      <c r="D42">
        <v>1.0469999999999999</v>
      </c>
      <c r="E42">
        <v>3.6</v>
      </c>
      <c r="F42">
        <v>9.68</v>
      </c>
      <c r="G42">
        <v>109.77</v>
      </c>
      <c r="H42">
        <v>3.7692000000000001</v>
      </c>
      <c r="I42">
        <v>10.13496</v>
      </c>
      <c r="J42">
        <v>114.92919000000001</v>
      </c>
      <c r="K42">
        <v>3.3294600000000001</v>
      </c>
      <c r="L42">
        <v>9.5276999999999994</v>
      </c>
      <c r="M42">
        <v>21.871829999999999</v>
      </c>
      <c r="N42" s="93"/>
      <c r="O42" s="94"/>
      <c r="P42" s="94"/>
      <c r="Q42" s="95"/>
    </row>
    <row r="43" spans="1:17" x14ac:dyDescent="0.25">
      <c r="A43" s="92" t="s">
        <v>33</v>
      </c>
      <c r="B43" s="92" t="s">
        <v>111</v>
      </c>
      <c r="C43" s="5" t="s">
        <v>112</v>
      </c>
      <c r="D43">
        <v>1.0469999999999999</v>
      </c>
      <c r="E43">
        <v>3.59</v>
      </c>
      <c r="F43">
        <v>10.53</v>
      </c>
      <c r="G43">
        <v>111.09</v>
      </c>
      <c r="H43">
        <v>3.758729999999999</v>
      </c>
      <c r="I43">
        <v>11.02491</v>
      </c>
      <c r="J43">
        <v>116.31122999999999</v>
      </c>
      <c r="K43">
        <v>3.3189899999999999</v>
      </c>
      <c r="L43">
        <v>10.41765</v>
      </c>
      <c r="M43">
        <v>24.489329999999999</v>
      </c>
      <c r="N43" s="93">
        <f>(D44-D43)/D43</f>
        <v>0</v>
      </c>
      <c r="O43" s="94">
        <f>(K44-K43)/K43</f>
        <v>6.3091482649842148E-3</v>
      </c>
      <c r="P43" s="94">
        <f>(L44-L43)/L43</f>
        <v>-3.2160804020100436E-2</v>
      </c>
      <c r="Q43" s="95">
        <f>(M44-M43)/M43</f>
        <v>-2.4796921761436518E-2</v>
      </c>
    </row>
    <row r="44" spans="1:17" x14ac:dyDescent="0.25">
      <c r="A44" s="92"/>
      <c r="B44" s="92"/>
      <c r="C44" s="5" t="s">
        <v>113</v>
      </c>
      <c r="D44">
        <v>1.0469999999999999</v>
      </c>
      <c r="E44">
        <v>3.61</v>
      </c>
      <c r="F44">
        <v>10.210000000000001</v>
      </c>
      <c r="G44">
        <v>110.51</v>
      </c>
      <c r="H44">
        <v>3.779669999999999</v>
      </c>
      <c r="I44">
        <v>10.689870000000001</v>
      </c>
      <c r="J44">
        <v>115.70397</v>
      </c>
      <c r="K44">
        <v>3.3399299999999998</v>
      </c>
      <c r="L44">
        <v>10.082610000000001</v>
      </c>
      <c r="M44">
        <v>23.882069999999999</v>
      </c>
      <c r="N44" s="93"/>
      <c r="O44" s="94"/>
      <c r="P44" s="94"/>
      <c r="Q44" s="95"/>
    </row>
    <row r="45" spans="1:17" x14ac:dyDescent="0.25">
      <c r="A45" s="92"/>
      <c r="B45" s="92" t="s">
        <v>114</v>
      </c>
      <c r="C45" s="5" t="s">
        <v>112</v>
      </c>
      <c r="D45">
        <v>1.0469999999999999</v>
      </c>
      <c r="E45">
        <v>3.59</v>
      </c>
      <c r="F45">
        <v>9.83</v>
      </c>
      <c r="G45">
        <v>110.66</v>
      </c>
      <c r="H45">
        <v>3.758729999999999</v>
      </c>
      <c r="I45">
        <v>10.292009999999999</v>
      </c>
      <c r="J45">
        <v>115.86102</v>
      </c>
      <c r="K45">
        <v>3.3189899999999999</v>
      </c>
      <c r="L45">
        <v>9.6847499999999993</v>
      </c>
      <c r="M45">
        <v>24.03912</v>
      </c>
      <c r="N45" s="93">
        <f>(D46-D45)/D45</f>
        <v>0</v>
      </c>
      <c r="O45" s="94">
        <f>(K46-K45)/K45</f>
        <v>3.1545741324921742E-3</v>
      </c>
      <c r="P45" s="94">
        <f>(L46-L45)/L45</f>
        <v>-2.486486486486484E-2</v>
      </c>
      <c r="Q45" s="95">
        <f>(M46-M45)/M45</f>
        <v>-1.3501742160278801E-2</v>
      </c>
    </row>
    <row r="46" spans="1:17" x14ac:dyDescent="0.25">
      <c r="A46" s="92"/>
      <c r="B46" s="92"/>
      <c r="C46" s="5" t="s">
        <v>113</v>
      </c>
      <c r="D46">
        <v>1.0469999999999999</v>
      </c>
      <c r="E46">
        <v>3.6</v>
      </c>
      <c r="F46">
        <v>9.6</v>
      </c>
      <c r="G46">
        <v>110.35</v>
      </c>
      <c r="H46">
        <v>3.7692000000000001</v>
      </c>
      <c r="I46">
        <v>10.0512</v>
      </c>
      <c r="J46">
        <v>115.53645</v>
      </c>
      <c r="K46">
        <v>3.3294600000000001</v>
      </c>
      <c r="L46">
        <v>9.4439399999999996</v>
      </c>
      <c r="M46">
        <v>23.714549999999999</v>
      </c>
      <c r="N46" s="93"/>
      <c r="O46" s="94"/>
      <c r="P46" s="94"/>
      <c r="Q46" s="95"/>
    </row>
    <row r="47" spans="1:17" x14ac:dyDescent="0.25">
      <c r="A47" s="92" t="s">
        <v>37</v>
      </c>
      <c r="B47" s="92" t="s">
        <v>111</v>
      </c>
      <c r="C47" s="5" t="s">
        <v>112</v>
      </c>
      <c r="D47">
        <v>12.95</v>
      </c>
      <c r="E47">
        <v>3.45</v>
      </c>
      <c r="F47">
        <v>23.3</v>
      </c>
      <c r="G47">
        <v>137.33000000000001</v>
      </c>
      <c r="H47">
        <v>44.677500000000002</v>
      </c>
      <c r="I47">
        <v>301.73500000000001</v>
      </c>
      <c r="J47">
        <v>1778.4235000000001</v>
      </c>
      <c r="K47">
        <v>39.238499999999988</v>
      </c>
      <c r="L47">
        <v>294.22399999999999</v>
      </c>
      <c r="M47">
        <v>661.6155</v>
      </c>
      <c r="N47" s="93">
        <f>(D48-D47)/D47</f>
        <v>-0.87876447876447872</v>
      </c>
      <c r="O47" s="94">
        <f>(K48-K47)/K47</f>
        <v>-0.87596365814187604</v>
      </c>
      <c r="P47" s="94">
        <f>(L48-L47)/L47</f>
        <v>-0.91979886073195927</v>
      </c>
      <c r="Q47" s="95">
        <f>(M48-M47)/M47</f>
        <v>-0.92245103084797742</v>
      </c>
    </row>
    <row r="48" spans="1:17" x14ac:dyDescent="0.25">
      <c r="A48" s="92"/>
      <c r="B48" s="92"/>
      <c r="C48" s="5" t="s">
        <v>113</v>
      </c>
      <c r="D48">
        <v>1.57</v>
      </c>
      <c r="E48">
        <v>3.52</v>
      </c>
      <c r="F48">
        <v>15.61</v>
      </c>
      <c r="G48">
        <v>118.92</v>
      </c>
      <c r="H48">
        <v>5.5264000000000006</v>
      </c>
      <c r="I48">
        <v>24.5077</v>
      </c>
      <c r="J48">
        <v>186.70439999999999</v>
      </c>
      <c r="K48">
        <v>4.867</v>
      </c>
      <c r="L48">
        <v>23.597100000000001</v>
      </c>
      <c r="M48">
        <v>51.307600000000001</v>
      </c>
      <c r="N48" s="93"/>
      <c r="O48" s="94"/>
      <c r="P48" s="94"/>
      <c r="Q48" s="95"/>
    </row>
    <row r="49" spans="1:17" x14ac:dyDescent="0.25">
      <c r="A49" s="92"/>
      <c r="B49" s="92" t="s">
        <v>114</v>
      </c>
      <c r="C49" s="5" t="s">
        <v>112</v>
      </c>
      <c r="D49">
        <v>12.733000000000001</v>
      </c>
      <c r="E49">
        <v>3.46</v>
      </c>
      <c r="F49">
        <v>24.3</v>
      </c>
      <c r="G49">
        <v>139.80000000000001</v>
      </c>
      <c r="H49">
        <v>44.056179999999998</v>
      </c>
      <c r="I49">
        <v>309.4119</v>
      </c>
      <c r="J49">
        <v>1780.0734</v>
      </c>
      <c r="K49">
        <v>38.708320000000001</v>
      </c>
      <c r="L49">
        <v>302.02676000000002</v>
      </c>
      <c r="M49">
        <v>681.97948000000008</v>
      </c>
      <c r="N49" s="93">
        <f>(D50-D49)/D49</f>
        <v>-0.87614859027723235</v>
      </c>
      <c r="O49" s="94">
        <f>(K50-K49)/K49</f>
        <v>-0.87288934265294904</v>
      </c>
      <c r="P49" s="94">
        <f>(L50-L49)/L49</f>
        <v>-0.91123634210425586</v>
      </c>
      <c r="Q49" s="95">
        <f>(M50-M49)/M49</f>
        <v>-0.91499667995875777</v>
      </c>
    </row>
    <row r="50" spans="1:17" x14ac:dyDescent="0.25">
      <c r="A50" s="92"/>
      <c r="B50" s="92"/>
      <c r="C50" s="5" t="s">
        <v>113</v>
      </c>
      <c r="D50">
        <v>1.577</v>
      </c>
      <c r="E50">
        <v>3.54</v>
      </c>
      <c r="F50">
        <v>17.579999999999998</v>
      </c>
      <c r="G50">
        <v>123</v>
      </c>
      <c r="H50">
        <v>5.5825800000000001</v>
      </c>
      <c r="I50">
        <v>27.723659999999999</v>
      </c>
      <c r="J50">
        <v>193.971</v>
      </c>
      <c r="K50">
        <v>4.9202399999999997</v>
      </c>
      <c r="L50">
        <v>26.809000000000001</v>
      </c>
      <c r="M50">
        <v>57.970519999999993</v>
      </c>
      <c r="N50" s="93"/>
      <c r="O50" s="94"/>
      <c r="P50" s="94"/>
      <c r="Q50" s="95"/>
    </row>
    <row r="51" spans="1:17" x14ac:dyDescent="0.25">
      <c r="A51" s="92" t="s">
        <v>39</v>
      </c>
      <c r="B51" s="92" t="s">
        <v>111</v>
      </c>
      <c r="C51" s="5" t="s">
        <v>112</v>
      </c>
      <c r="D51">
        <v>8.9009999999999998</v>
      </c>
      <c r="E51">
        <v>3.52</v>
      </c>
      <c r="F51">
        <v>22.77</v>
      </c>
      <c r="G51">
        <v>147.15</v>
      </c>
      <c r="H51">
        <v>31.331520000000001</v>
      </c>
      <c r="I51">
        <v>202.67577</v>
      </c>
      <c r="J51">
        <v>1309.78215</v>
      </c>
      <c r="K51">
        <v>27.5931</v>
      </c>
      <c r="L51">
        <v>197.51319000000001</v>
      </c>
      <c r="M51">
        <v>423.06452999999999</v>
      </c>
      <c r="N51" s="93">
        <f>(D52-D51)/D51</f>
        <v>-0.8764183799573082</v>
      </c>
      <c r="O51" s="94">
        <f>(K52-K51)/K51</f>
        <v>-0.87203322569772879</v>
      </c>
      <c r="P51" s="94">
        <f>(L52-L51)/L51</f>
        <v>-0.92715423207938663</v>
      </c>
      <c r="Q51" s="95">
        <f>(M52-M51)/M51</f>
        <v>-0.9302919580613388</v>
      </c>
    </row>
    <row r="52" spans="1:17" x14ac:dyDescent="0.25">
      <c r="A52" s="92"/>
      <c r="B52" s="92"/>
      <c r="C52" s="5" t="s">
        <v>113</v>
      </c>
      <c r="D52">
        <v>1.1000000000000001</v>
      </c>
      <c r="E52">
        <v>3.63</v>
      </c>
      <c r="F52">
        <v>13.66</v>
      </c>
      <c r="G52">
        <v>126.43</v>
      </c>
      <c r="H52">
        <v>3.9929999999999999</v>
      </c>
      <c r="I52">
        <v>15.026</v>
      </c>
      <c r="J52">
        <v>139.07300000000001</v>
      </c>
      <c r="K52">
        <v>3.5310000000000001</v>
      </c>
      <c r="L52">
        <v>14.388</v>
      </c>
      <c r="M52">
        <v>29.491</v>
      </c>
      <c r="N52" s="93"/>
      <c r="O52" s="94"/>
      <c r="P52" s="94"/>
      <c r="Q52" s="95"/>
    </row>
    <row r="53" spans="1:17" x14ac:dyDescent="0.25">
      <c r="A53" s="92"/>
      <c r="B53" s="92" t="s">
        <v>114</v>
      </c>
      <c r="C53" s="5" t="s">
        <v>112</v>
      </c>
      <c r="D53">
        <v>3.1419999999999999</v>
      </c>
      <c r="E53">
        <v>3.52</v>
      </c>
      <c r="F53">
        <v>22.17</v>
      </c>
      <c r="G53">
        <v>143.80000000000001</v>
      </c>
      <c r="H53">
        <v>11.059839999999999</v>
      </c>
      <c r="I53">
        <v>69.658140000000003</v>
      </c>
      <c r="J53">
        <v>451.81959999999998</v>
      </c>
      <c r="K53">
        <v>9.7401999999999997</v>
      </c>
      <c r="L53">
        <v>67.83578</v>
      </c>
      <c r="M53">
        <v>138.84497999999999</v>
      </c>
      <c r="N53" s="93">
        <f>(D54-D53)/D53</f>
        <v>-0.49840865690642899</v>
      </c>
      <c r="O53" s="94">
        <f>(K54-K53)/K53</f>
        <v>-0.48870043736268243</v>
      </c>
      <c r="P53" s="94">
        <f>(L54-L53)/L53</f>
        <v>-0.69565323786355815</v>
      </c>
      <c r="Q53" s="95">
        <f>(M54-M53)/M53</f>
        <v>-0.6817238909177703</v>
      </c>
    </row>
    <row r="54" spans="1:17" x14ac:dyDescent="0.25">
      <c r="A54" s="92"/>
      <c r="B54" s="92"/>
      <c r="C54" s="5" t="s">
        <v>113</v>
      </c>
      <c r="D54">
        <v>1.5760000000000001</v>
      </c>
      <c r="E54">
        <v>3.58</v>
      </c>
      <c r="F54">
        <v>13.68</v>
      </c>
      <c r="G54">
        <v>127.65</v>
      </c>
      <c r="H54">
        <v>5.64208</v>
      </c>
      <c r="I54">
        <v>21.55968</v>
      </c>
      <c r="J54">
        <v>201.1764</v>
      </c>
      <c r="K54">
        <v>4.9801600000000006</v>
      </c>
      <c r="L54">
        <v>20.645600000000002</v>
      </c>
      <c r="M54">
        <v>44.191040000000001</v>
      </c>
      <c r="N54" s="93"/>
      <c r="O54" s="94"/>
      <c r="P54" s="94"/>
      <c r="Q54" s="95"/>
    </row>
    <row r="55" spans="1:17" x14ac:dyDescent="0.25">
      <c r="A55" s="92" t="s">
        <v>49</v>
      </c>
      <c r="B55" s="92" t="s">
        <v>111</v>
      </c>
      <c r="C55" s="5" t="s">
        <v>112</v>
      </c>
      <c r="D55">
        <v>18.850000000000001</v>
      </c>
      <c r="E55">
        <v>3.45</v>
      </c>
      <c r="F55">
        <v>23.08</v>
      </c>
      <c r="G55">
        <v>136.18</v>
      </c>
      <c r="H55">
        <v>65.032500000000013</v>
      </c>
      <c r="I55">
        <v>435.05799999999999</v>
      </c>
      <c r="J55">
        <v>2566.9929999999999</v>
      </c>
      <c r="K55">
        <v>57.115499999999997</v>
      </c>
      <c r="L55">
        <v>424.12500000000011</v>
      </c>
      <c r="M55">
        <v>1018.0885</v>
      </c>
      <c r="N55" s="93">
        <f>(D56-D55)/D55</f>
        <v>-0.74912466843501335</v>
      </c>
      <c r="O55" s="94">
        <f>(K56-K55)/K55</f>
        <v>-0.74995263982631688</v>
      </c>
      <c r="P55" s="94">
        <f>(L56-L55)/L55</f>
        <v>-0.77532720306513414</v>
      </c>
      <c r="Q55" s="95">
        <f>(M56-M55)/M55</f>
        <v>-0.78108212596449134</v>
      </c>
    </row>
    <row r="56" spans="1:17" x14ac:dyDescent="0.25">
      <c r="A56" s="92"/>
      <c r="B56" s="92"/>
      <c r="C56" s="5" t="s">
        <v>113</v>
      </c>
      <c r="D56">
        <v>4.7290000000000001</v>
      </c>
      <c r="E56">
        <v>3.44</v>
      </c>
      <c r="F56">
        <v>20.73</v>
      </c>
      <c r="G56">
        <v>129.30000000000001</v>
      </c>
      <c r="H56">
        <v>16.267759999999999</v>
      </c>
      <c r="I56">
        <v>98.032170000000008</v>
      </c>
      <c r="J56">
        <v>611.45970000000011</v>
      </c>
      <c r="K56">
        <v>14.28158</v>
      </c>
      <c r="L56">
        <v>95.289349999999999</v>
      </c>
      <c r="M56">
        <v>222.87777</v>
      </c>
      <c r="N56" s="93"/>
      <c r="O56" s="94"/>
      <c r="P56" s="94"/>
      <c r="Q56" s="95"/>
    </row>
    <row r="57" spans="1:17" x14ac:dyDescent="0.25">
      <c r="A57" s="92"/>
      <c r="B57" s="92" t="s">
        <v>114</v>
      </c>
      <c r="C57" s="5" t="s">
        <v>112</v>
      </c>
      <c r="D57">
        <v>15.737</v>
      </c>
      <c r="E57">
        <v>3.46</v>
      </c>
      <c r="F57">
        <v>22.7</v>
      </c>
      <c r="G57">
        <v>135.36000000000001</v>
      </c>
      <c r="H57">
        <v>54.450020000000002</v>
      </c>
      <c r="I57">
        <v>357.22989999999999</v>
      </c>
      <c r="J57">
        <v>2130.16032</v>
      </c>
      <c r="K57">
        <v>47.840479999999999</v>
      </c>
      <c r="L57">
        <v>348.10244</v>
      </c>
      <c r="M57">
        <v>837.05102999999997</v>
      </c>
      <c r="N57" s="93">
        <f>(D58-D57)/D57</f>
        <v>-0.76602910338692254</v>
      </c>
      <c r="O57" s="94">
        <f>(K58-K57)/K57</f>
        <v>-0.76372018006508302</v>
      </c>
      <c r="P57" s="94">
        <f>(L58-L57)/L57</f>
        <v>-0.78929926489455227</v>
      </c>
      <c r="Q57" s="95">
        <f>(M58-M57)/M57</f>
        <v>-0.79787624178659688</v>
      </c>
    </row>
    <row r="58" spans="1:17" x14ac:dyDescent="0.25">
      <c r="A58" s="92"/>
      <c r="B58" s="92"/>
      <c r="C58" s="5" t="s">
        <v>113</v>
      </c>
      <c r="D58">
        <v>3.6819999999999999</v>
      </c>
      <c r="E58">
        <v>3.49</v>
      </c>
      <c r="F58">
        <v>20.5</v>
      </c>
      <c r="G58">
        <v>128.12</v>
      </c>
      <c r="H58">
        <v>12.85018</v>
      </c>
      <c r="I58">
        <v>75.480999999999995</v>
      </c>
      <c r="J58">
        <v>471.73784000000001</v>
      </c>
      <c r="K58">
        <v>11.303739999999999</v>
      </c>
      <c r="L58">
        <v>73.345440000000011</v>
      </c>
      <c r="M58">
        <v>169.18790000000001</v>
      </c>
      <c r="N58" s="93"/>
      <c r="O58" s="94"/>
      <c r="P58" s="94"/>
      <c r="Q58" s="95"/>
    </row>
    <row r="59" spans="1:17" x14ac:dyDescent="0.25">
      <c r="A59" s="92" t="s">
        <v>51</v>
      </c>
      <c r="B59" s="92" t="s">
        <v>111</v>
      </c>
      <c r="C59" s="5" t="s">
        <v>112</v>
      </c>
      <c r="D59">
        <v>18.324999999999999</v>
      </c>
      <c r="E59">
        <v>3.46</v>
      </c>
      <c r="F59">
        <v>23.88</v>
      </c>
      <c r="G59">
        <v>139.07</v>
      </c>
      <c r="H59">
        <v>63.404499999999999</v>
      </c>
      <c r="I59">
        <v>437.60099999999989</v>
      </c>
      <c r="J59">
        <v>2548.45775</v>
      </c>
      <c r="K59">
        <v>55.707999999999998</v>
      </c>
      <c r="L59">
        <v>426.97250000000003</v>
      </c>
      <c r="M59">
        <v>918.44899999999996</v>
      </c>
      <c r="N59" s="93">
        <f>(D60-D59)/D59</f>
        <v>-0.71328785811732609</v>
      </c>
      <c r="O59" s="94">
        <f>(K60-K59)/K59</f>
        <v>-0.71423099016299274</v>
      </c>
      <c r="P59" s="94">
        <f>(L60-L59)/L59</f>
        <v>-0.72534699541539571</v>
      </c>
      <c r="Q59" s="95">
        <f>(M60-M59)/M59</f>
        <v>-0.74177601587023334</v>
      </c>
    </row>
    <row r="60" spans="1:17" x14ac:dyDescent="0.25">
      <c r="A60" s="92"/>
      <c r="B60" s="92"/>
      <c r="C60" s="5" t="s">
        <v>113</v>
      </c>
      <c r="D60">
        <v>5.2539999999999996</v>
      </c>
      <c r="E60">
        <v>3.45</v>
      </c>
      <c r="F60">
        <v>22.9</v>
      </c>
      <c r="G60">
        <v>134.09</v>
      </c>
      <c r="H60">
        <v>18.126300000000001</v>
      </c>
      <c r="I60">
        <v>120.31659999999999</v>
      </c>
      <c r="J60">
        <v>704.50885999999991</v>
      </c>
      <c r="K60">
        <v>15.91962</v>
      </c>
      <c r="L60">
        <v>117.26927999999999</v>
      </c>
      <c r="M60">
        <v>237.16556</v>
      </c>
      <c r="N60" s="93"/>
      <c r="O60" s="94"/>
      <c r="P60" s="94"/>
      <c r="Q60" s="95"/>
    </row>
    <row r="61" spans="1:17" x14ac:dyDescent="0.25">
      <c r="A61" s="92"/>
      <c r="B61" s="92" t="s">
        <v>114</v>
      </c>
      <c r="C61" s="5" t="s">
        <v>112</v>
      </c>
      <c r="D61">
        <v>18.927</v>
      </c>
      <c r="E61">
        <v>3.45</v>
      </c>
      <c r="F61">
        <v>23.19</v>
      </c>
      <c r="G61">
        <v>136.91999999999999</v>
      </c>
      <c r="H61">
        <v>65.298150000000007</v>
      </c>
      <c r="I61">
        <v>438.91712999999999</v>
      </c>
      <c r="J61">
        <v>2591.4848400000001</v>
      </c>
      <c r="K61">
        <v>57.348809999999993</v>
      </c>
      <c r="L61">
        <v>427.93946999999997</v>
      </c>
      <c r="M61">
        <v>907.73892000000001</v>
      </c>
      <c r="N61" s="93">
        <f>(D62-D61)/D61</f>
        <v>-0.94256881703386697</v>
      </c>
      <c r="O61" s="94">
        <f>(K62-K61)/K61</f>
        <v>-0.94048385659615263</v>
      </c>
      <c r="P61" s="94">
        <f>(L62-L61)/L61</f>
        <v>-0.96890943478525127</v>
      </c>
      <c r="Q61" s="95">
        <f>(M62-M61)/M61</f>
        <v>-0.9714161314136448</v>
      </c>
    </row>
    <row r="62" spans="1:17" x14ac:dyDescent="0.25">
      <c r="A62" s="92"/>
      <c r="B62" s="92"/>
      <c r="C62" s="5" t="s">
        <v>113</v>
      </c>
      <c r="D62">
        <v>1.087</v>
      </c>
      <c r="E62">
        <v>3.56</v>
      </c>
      <c r="F62">
        <v>12.82</v>
      </c>
      <c r="G62">
        <v>112.82</v>
      </c>
      <c r="H62">
        <v>3.86972</v>
      </c>
      <c r="I62">
        <v>13.93534</v>
      </c>
      <c r="J62">
        <v>122.63534</v>
      </c>
      <c r="K62">
        <v>3.4131800000000001</v>
      </c>
      <c r="L62">
        <v>13.304880000000001</v>
      </c>
      <c r="M62">
        <v>25.94669</v>
      </c>
      <c r="N62" s="93"/>
      <c r="O62" s="94"/>
      <c r="P62" s="94"/>
      <c r="Q62" s="95"/>
    </row>
    <row r="63" spans="1:17" x14ac:dyDescent="0.25">
      <c r="A63" s="92" t="s">
        <v>55</v>
      </c>
      <c r="B63" s="92" t="s">
        <v>111</v>
      </c>
      <c r="C63" s="5" t="s">
        <v>112</v>
      </c>
      <c r="D63">
        <v>9.9480000000000004</v>
      </c>
      <c r="E63">
        <v>3.45</v>
      </c>
      <c r="F63">
        <v>24.33</v>
      </c>
      <c r="G63">
        <v>137.76</v>
      </c>
      <c r="H63">
        <v>34.320600000000013</v>
      </c>
      <c r="I63">
        <v>242.03484</v>
      </c>
      <c r="J63">
        <v>1370.4364800000001</v>
      </c>
      <c r="K63">
        <v>30.142440000000001</v>
      </c>
      <c r="L63">
        <v>236.26499999999999</v>
      </c>
      <c r="M63">
        <v>531.42216000000008</v>
      </c>
      <c r="N63" s="93">
        <f>(D64-D63)/D63</f>
        <v>-0.72808604744672301</v>
      </c>
      <c r="O63" s="94">
        <f>(K64-K63)/K63</f>
        <v>-0.72539383009471026</v>
      </c>
      <c r="P63" s="94">
        <f>(L64-L63)/L63</f>
        <v>-0.76998941866124904</v>
      </c>
      <c r="Q63" s="95">
        <f>(M64-M63)/M63</f>
        <v>-0.78056513488259505</v>
      </c>
    </row>
    <row r="64" spans="1:17" x14ac:dyDescent="0.25">
      <c r="A64" s="92"/>
      <c r="B64" s="92"/>
      <c r="C64" s="5" t="s">
        <v>113</v>
      </c>
      <c r="D64">
        <v>2.7050000000000001</v>
      </c>
      <c r="E64">
        <v>3.48</v>
      </c>
      <c r="F64">
        <v>20.67</v>
      </c>
      <c r="G64">
        <v>127.46</v>
      </c>
      <c r="H64">
        <v>9.4133999999999993</v>
      </c>
      <c r="I64">
        <v>55.912350000000004</v>
      </c>
      <c r="J64">
        <v>344.77929999999998</v>
      </c>
      <c r="K64">
        <v>8.2773000000000003</v>
      </c>
      <c r="L64">
        <v>54.343449999999997</v>
      </c>
      <c r="M64">
        <v>116.61255</v>
      </c>
      <c r="N64" s="93"/>
      <c r="O64" s="94"/>
      <c r="P64" s="94"/>
      <c r="Q64" s="95"/>
    </row>
    <row r="65" spans="1:17" x14ac:dyDescent="0.25">
      <c r="A65" s="92"/>
      <c r="B65" s="92" t="s">
        <v>114</v>
      </c>
      <c r="C65" s="5" t="s">
        <v>112</v>
      </c>
      <c r="D65">
        <v>13.654999999999999</v>
      </c>
      <c r="E65">
        <v>3.45</v>
      </c>
      <c r="F65">
        <v>24.32</v>
      </c>
      <c r="G65">
        <v>139.06</v>
      </c>
      <c r="H65">
        <v>47.109749999999998</v>
      </c>
      <c r="I65">
        <v>332.08960000000002</v>
      </c>
      <c r="J65">
        <v>1898.8643</v>
      </c>
      <c r="K65">
        <v>41.374650000000003</v>
      </c>
      <c r="L65">
        <v>324.16969999999998</v>
      </c>
      <c r="M65">
        <v>747.06504999999993</v>
      </c>
      <c r="N65" s="93">
        <f>(D66-D65)/D65</f>
        <v>-0.76909556938850232</v>
      </c>
      <c r="O65" s="94">
        <f>(K66-K65)/K65</f>
        <v>-0.76757144773430108</v>
      </c>
      <c r="P65" s="94">
        <f>(L66-L65)/L65</f>
        <v>-0.812377992144238</v>
      </c>
      <c r="Q65" s="95">
        <f>(M66-M65)/M65</f>
        <v>-0.82062806980463077</v>
      </c>
    </row>
    <row r="66" spans="1:17" x14ac:dyDescent="0.25">
      <c r="A66" s="92"/>
      <c r="B66" s="92"/>
      <c r="C66" s="5" t="s">
        <v>113</v>
      </c>
      <c r="D66">
        <v>3.153</v>
      </c>
      <c r="E66">
        <v>3.47</v>
      </c>
      <c r="F66">
        <v>19.87</v>
      </c>
      <c r="G66">
        <v>126.85</v>
      </c>
      <c r="H66">
        <v>10.940910000000001</v>
      </c>
      <c r="I66">
        <v>62.650110000000012</v>
      </c>
      <c r="J66">
        <v>399.95805000000001</v>
      </c>
      <c r="K66">
        <v>9.6166499999999999</v>
      </c>
      <c r="L66">
        <v>60.821369999999987</v>
      </c>
      <c r="M66">
        <v>134.0025</v>
      </c>
      <c r="N66" s="93"/>
      <c r="O66" s="94"/>
      <c r="P66" s="94"/>
      <c r="Q66" s="95"/>
    </row>
    <row r="67" spans="1:17" x14ac:dyDescent="0.25">
      <c r="A67" s="92" t="s">
        <v>57</v>
      </c>
      <c r="B67" s="92" t="s">
        <v>111</v>
      </c>
      <c r="C67" s="5" t="s">
        <v>112</v>
      </c>
      <c r="D67">
        <v>1.0469999999999999</v>
      </c>
      <c r="E67">
        <v>3.61</v>
      </c>
      <c r="F67">
        <v>6.87</v>
      </c>
      <c r="G67">
        <v>115.63</v>
      </c>
      <c r="H67">
        <v>3.779669999999999</v>
      </c>
      <c r="I67">
        <v>7.1928899999999993</v>
      </c>
      <c r="J67">
        <v>121.06461</v>
      </c>
      <c r="K67">
        <v>3.3399299999999998</v>
      </c>
      <c r="L67">
        <v>6.5856299999999992</v>
      </c>
      <c r="M67">
        <v>20.898119999999999</v>
      </c>
      <c r="N67" s="93">
        <f>(D68-D67)/D67</f>
        <v>-0.49952244508118426</v>
      </c>
      <c r="O67" s="94">
        <f>(K68-K67)/K67</f>
        <v>-0.48069570320336052</v>
      </c>
      <c r="P67" s="94">
        <f>(L68-L67)/L67</f>
        <v>-0.49872677329276005</v>
      </c>
      <c r="Q67" s="95">
        <f>(M68-M67)/M67</f>
        <v>-0.51205945797995223</v>
      </c>
    </row>
    <row r="68" spans="1:17" x14ac:dyDescent="0.25">
      <c r="A68" s="92"/>
      <c r="B68" s="92"/>
      <c r="C68" s="5" t="s">
        <v>113</v>
      </c>
      <c r="D68">
        <v>0.52400000000000002</v>
      </c>
      <c r="E68">
        <v>3.73</v>
      </c>
      <c r="F68">
        <v>6.88</v>
      </c>
      <c r="G68">
        <v>115.12</v>
      </c>
      <c r="H68">
        <v>1.95452</v>
      </c>
      <c r="I68">
        <v>3.6051199999999999</v>
      </c>
      <c r="J68">
        <v>60.322879999999998</v>
      </c>
      <c r="K68">
        <v>1.73444</v>
      </c>
      <c r="L68">
        <v>3.3012000000000001</v>
      </c>
      <c r="M68">
        <v>10.197039999999999</v>
      </c>
      <c r="N68" s="93"/>
      <c r="O68" s="94"/>
      <c r="P68" s="94"/>
      <c r="Q68" s="95"/>
    </row>
    <row r="69" spans="1:17" x14ac:dyDescent="0.25">
      <c r="A69" s="92"/>
      <c r="B69" s="92" t="s">
        <v>114</v>
      </c>
      <c r="C69" s="5" t="s">
        <v>112</v>
      </c>
      <c r="D69">
        <v>1.0469999999999999</v>
      </c>
      <c r="E69">
        <v>3.61</v>
      </c>
      <c r="F69">
        <v>6.8</v>
      </c>
      <c r="G69">
        <v>115.87</v>
      </c>
      <c r="H69">
        <v>3.779669999999999</v>
      </c>
      <c r="I69">
        <v>7.1195999999999993</v>
      </c>
      <c r="J69">
        <v>121.31589</v>
      </c>
      <c r="K69">
        <v>3.3399299999999998</v>
      </c>
      <c r="L69">
        <v>6.5123399999999991</v>
      </c>
      <c r="M69">
        <v>21.159870000000002</v>
      </c>
      <c r="N69" s="93">
        <f>(D70-D69)/D69</f>
        <v>-0.50047755491881563</v>
      </c>
      <c r="O69" s="94">
        <f>(K70-K69)/K69</f>
        <v>-0.48012084085594608</v>
      </c>
      <c r="P69" s="94">
        <f>(L70-L69)/L69</f>
        <v>-0.49003737519846929</v>
      </c>
      <c r="Q69" s="95">
        <f>(M70-M69)/M69</f>
        <v>-0.51506034772425358</v>
      </c>
    </row>
    <row r="70" spans="1:17" x14ac:dyDescent="0.25">
      <c r="A70" s="92"/>
      <c r="B70" s="92"/>
      <c r="C70" s="5" t="s">
        <v>113</v>
      </c>
      <c r="D70">
        <v>0.52300000000000002</v>
      </c>
      <c r="E70">
        <v>3.74</v>
      </c>
      <c r="F70">
        <v>6.93</v>
      </c>
      <c r="G70">
        <v>115.29</v>
      </c>
      <c r="H70">
        <v>1.9560200000000001</v>
      </c>
      <c r="I70">
        <v>3.62439</v>
      </c>
      <c r="J70">
        <v>60.296670000000013</v>
      </c>
      <c r="K70">
        <v>1.7363599999999999</v>
      </c>
      <c r="L70">
        <v>3.3210500000000001</v>
      </c>
      <c r="M70">
        <v>10.26126</v>
      </c>
      <c r="N70" s="93"/>
      <c r="O70" s="94"/>
      <c r="P70" s="94"/>
      <c r="Q70" s="95"/>
    </row>
    <row r="71" spans="1:17" x14ac:dyDescent="0.25">
      <c r="A71" s="92" t="s">
        <v>61</v>
      </c>
      <c r="B71" s="92" t="s">
        <v>111</v>
      </c>
      <c r="C71" s="5" t="s">
        <v>112</v>
      </c>
      <c r="D71">
        <v>16.18</v>
      </c>
      <c r="E71">
        <v>4.29</v>
      </c>
      <c r="F71">
        <v>27.43</v>
      </c>
      <c r="G71">
        <v>147.84</v>
      </c>
      <c r="H71">
        <v>69.412199999999999</v>
      </c>
      <c r="I71">
        <v>443.81740000000002</v>
      </c>
      <c r="J71">
        <v>2392.0511999999999</v>
      </c>
      <c r="K71">
        <v>62.616599999999998</v>
      </c>
      <c r="L71">
        <v>434.43299999999999</v>
      </c>
      <c r="M71">
        <v>1067.2328</v>
      </c>
      <c r="N71" s="93">
        <f>(D72-D71)/D71</f>
        <v>-0.22948084054388129</v>
      </c>
      <c r="O71" s="94">
        <f>(K72-K71)/K71</f>
        <v>-0.16377765640421221</v>
      </c>
      <c r="P71" s="94">
        <f>(L72-L71)/L71</f>
        <v>-0.20939281776476465</v>
      </c>
      <c r="Q71" s="95">
        <f>(M72-M71)/M71</f>
        <v>-0.20296358020480626</v>
      </c>
    </row>
    <row r="72" spans="1:17" x14ac:dyDescent="0.25">
      <c r="A72" s="92"/>
      <c r="B72" s="92"/>
      <c r="C72" s="5" t="s">
        <v>113</v>
      </c>
      <c r="D72">
        <v>12.467000000000001</v>
      </c>
      <c r="E72">
        <v>4.62</v>
      </c>
      <c r="F72">
        <v>28.13</v>
      </c>
      <c r="G72">
        <v>150.11000000000001</v>
      </c>
      <c r="H72">
        <v>57.597540000000002</v>
      </c>
      <c r="I72">
        <v>350.69671</v>
      </c>
      <c r="J72">
        <v>1871.42137</v>
      </c>
      <c r="K72">
        <v>52.361400000000003</v>
      </c>
      <c r="L72">
        <v>343.46584999999999</v>
      </c>
      <c r="M72">
        <v>850.62341000000004</v>
      </c>
      <c r="N72" s="93"/>
      <c r="O72" s="94"/>
      <c r="P72" s="94"/>
      <c r="Q72" s="95"/>
    </row>
    <row r="73" spans="1:17" x14ac:dyDescent="0.25">
      <c r="A73" s="92"/>
      <c r="B73" s="92" t="s">
        <v>114</v>
      </c>
      <c r="C73" s="5" t="s">
        <v>112</v>
      </c>
      <c r="D73">
        <v>23.395</v>
      </c>
      <c r="E73">
        <v>4.13</v>
      </c>
      <c r="F73">
        <v>28.21</v>
      </c>
      <c r="G73">
        <v>149.91999999999999</v>
      </c>
      <c r="H73">
        <v>96.621349999999993</v>
      </c>
      <c r="I73">
        <v>659.97294999999997</v>
      </c>
      <c r="J73">
        <v>3507.3784000000001</v>
      </c>
      <c r="K73">
        <v>86.795450000000002</v>
      </c>
      <c r="L73">
        <v>646.40384999999992</v>
      </c>
      <c r="M73">
        <v>1591.7958000000001</v>
      </c>
      <c r="N73" s="93">
        <f>(D74-D73)/D73</f>
        <v>-0.23509296858303055</v>
      </c>
      <c r="O73" s="94">
        <f>(K74-K73)/K73</f>
        <v>-0.18148762406324301</v>
      </c>
      <c r="P73" s="94">
        <f>(L74-L73)/L73</f>
        <v>-0.25087280962203434</v>
      </c>
      <c r="Q73" s="95">
        <f>(M74-M73)/M73</f>
        <v>-0.24284996228787648</v>
      </c>
    </row>
    <row r="74" spans="1:17" x14ac:dyDescent="0.25">
      <c r="A74" s="92"/>
      <c r="B74" s="92"/>
      <c r="C74" s="5" t="s">
        <v>113</v>
      </c>
      <c r="D74">
        <v>17.895</v>
      </c>
      <c r="E74">
        <v>4.3899999999999997</v>
      </c>
      <c r="F74">
        <v>27.64</v>
      </c>
      <c r="G74">
        <v>149.22999999999999</v>
      </c>
      <c r="H74">
        <v>78.559049999999999</v>
      </c>
      <c r="I74">
        <v>494.61779999999999</v>
      </c>
      <c r="J74">
        <v>2670.4708500000002</v>
      </c>
      <c r="K74">
        <v>71.043149999999997</v>
      </c>
      <c r="L74">
        <v>484.23869999999988</v>
      </c>
      <c r="M74">
        <v>1205.2282499999999</v>
      </c>
      <c r="N74" s="93"/>
      <c r="O74" s="94"/>
      <c r="P74" s="94"/>
      <c r="Q74" s="95"/>
    </row>
    <row r="75" spans="1:17" x14ac:dyDescent="0.25">
      <c r="A75" s="92" t="s">
        <v>63</v>
      </c>
      <c r="B75" s="92" t="s">
        <v>111</v>
      </c>
      <c r="C75" s="5" t="s">
        <v>112</v>
      </c>
      <c r="D75">
        <v>1.0469999999999999</v>
      </c>
      <c r="E75">
        <v>3.56</v>
      </c>
      <c r="F75">
        <v>9.4700000000000006</v>
      </c>
      <c r="G75">
        <v>108.68</v>
      </c>
      <c r="H75">
        <v>3.7273200000000002</v>
      </c>
      <c r="I75">
        <v>9.9150899999999993</v>
      </c>
      <c r="J75">
        <v>113.78796</v>
      </c>
      <c r="K75">
        <v>3.2875800000000002</v>
      </c>
      <c r="L75">
        <v>9.3078299999999992</v>
      </c>
      <c r="M75">
        <v>32.226660000000003</v>
      </c>
      <c r="N75" s="93">
        <f>(D76-D75)/D75</f>
        <v>0</v>
      </c>
      <c r="O75" s="94">
        <f>(K76-K75)/K75</f>
        <v>3.1847133757958342E-3</v>
      </c>
      <c r="P75" s="94">
        <f>(L76-L75)/L75</f>
        <v>-0.42857142857142849</v>
      </c>
      <c r="Q75" s="95">
        <f>(M76-M75)/M75</f>
        <v>-0.21669915529564662</v>
      </c>
    </row>
    <row r="76" spans="1:17" x14ac:dyDescent="0.25">
      <c r="A76" s="92"/>
      <c r="B76" s="92"/>
      <c r="C76" s="5" t="s">
        <v>113</v>
      </c>
      <c r="D76">
        <v>1.0469999999999999</v>
      </c>
      <c r="E76">
        <v>3.57</v>
      </c>
      <c r="F76">
        <v>5.66</v>
      </c>
      <c r="G76">
        <v>102.01</v>
      </c>
      <c r="H76">
        <v>3.7377899999999999</v>
      </c>
      <c r="I76">
        <v>5.9260199999999994</v>
      </c>
      <c r="J76">
        <v>106.80446999999999</v>
      </c>
      <c r="K76">
        <v>3.298049999999999</v>
      </c>
      <c r="L76">
        <v>5.3187600000000002</v>
      </c>
      <c r="M76">
        <v>25.243169999999999</v>
      </c>
      <c r="N76" s="93"/>
      <c r="O76" s="94"/>
      <c r="P76" s="94"/>
      <c r="Q76" s="95"/>
    </row>
    <row r="77" spans="1:17" x14ac:dyDescent="0.25">
      <c r="A77" s="92"/>
      <c r="B77" s="92" t="s">
        <v>114</v>
      </c>
      <c r="C77" s="5" t="s">
        <v>112</v>
      </c>
      <c r="D77">
        <v>1.048</v>
      </c>
      <c r="E77">
        <v>3.56</v>
      </c>
      <c r="F77">
        <v>10.029999999999999</v>
      </c>
      <c r="G77">
        <v>108.19</v>
      </c>
      <c r="H77">
        <v>3.73088</v>
      </c>
      <c r="I77">
        <v>10.51144</v>
      </c>
      <c r="J77">
        <v>113.38312000000001</v>
      </c>
      <c r="K77">
        <v>3.2907199999999999</v>
      </c>
      <c r="L77">
        <v>9.9035999999999991</v>
      </c>
      <c r="M77">
        <v>31.743919999999999</v>
      </c>
      <c r="N77" s="93">
        <f>(D78-D77)/D77</f>
        <v>-9.541984732825495E-4</v>
      </c>
      <c r="O77" s="94">
        <f>(K78-K77)/K77</f>
        <v>-9.541984732823512E-4</v>
      </c>
      <c r="P77" s="94">
        <f>(L78-L77)/L77</f>
        <v>-0.46188961589724942</v>
      </c>
      <c r="Q77" s="95">
        <f>(M78-M77)/M77</f>
        <v>-0.2239172099728074</v>
      </c>
    </row>
    <row r="78" spans="1:17" x14ac:dyDescent="0.25">
      <c r="A78" s="92"/>
      <c r="B78" s="92"/>
      <c r="C78" s="5" t="s">
        <v>113</v>
      </c>
      <c r="D78">
        <v>1.0469999999999999</v>
      </c>
      <c r="E78">
        <v>3.56</v>
      </c>
      <c r="F78">
        <v>5.67</v>
      </c>
      <c r="G78">
        <v>101.43</v>
      </c>
      <c r="H78">
        <v>3.7273200000000002</v>
      </c>
      <c r="I78">
        <v>5.9364899999999992</v>
      </c>
      <c r="J78">
        <v>106.19721</v>
      </c>
      <c r="K78">
        <v>3.2875800000000002</v>
      </c>
      <c r="L78">
        <v>5.3292299999999999</v>
      </c>
      <c r="M78">
        <v>24.635909999999999</v>
      </c>
      <c r="N78" s="93"/>
      <c r="O78" s="94"/>
      <c r="P78" s="94"/>
      <c r="Q78" s="95"/>
    </row>
    <row r="79" spans="1:17" x14ac:dyDescent="0.25">
      <c r="A79" s="92" t="s">
        <v>65</v>
      </c>
      <c r="B79" s="92" t="s">
        <v>111</v>
      </c>
      <c r="C79" s="5" t="s">
        <v>112</v>
      </c>
      <c r="D79">
        <v>1.0469999999999999</v>
      </c>
      <c r="E79">
        <v>3.59</v>
      </c>
      <c r="F79">
        <v>12.6</v>
      </c>
      <c r="G79">
        <v>127.12</v>
      </c>
      <c r="H79">
        <v>3.758729999999999</v>
      </c>
      <c r="I79">
        <v>13.1922</v>
      </c>
      <c r="J79">
        <v>133.09464</v>
      </c>
      <c r="K79">
        <v>3.3189899999999999</v>
      </c>
      <c r="L79">
        <v>12.58494</v>
      </c>
      <c r="M79">
        <v>27.399989999999999</v>
      </c>
      <c r="N79" s="93">
        <f>(D80-D79)/D79</f>
        <v>0</v>
      </c>
      <c r="O79" s="94">
        <f>(K80-K79)/K79</f>
        <v>0</v>
      </c>
      <c r="P79" s="94">
        <f>(L80-L79)/L79</f>
        <v>-0.26539101497504164</v>
      </c>
      <c r="Q79" s="95">
        <f>(M80-M79)/M79</f>
        <v>-0.18800152846771104</v>
      </c>
    </row>
    <row r="80" spans="1:17" x14ac:dyDescent="0.25">
      <c r="A80" s="92"/>
      <c r="B80" s="92"/>
      <c r="C80" s="5" t="s">
        <v>113</v>
      </c>
      <c r="D80">
        <v>1.0469999999999999</v>
      </c>
      <c r="E80">
        <v>3.59</v>
      </c>
      <c r="F80">
        <v>9.41</v>
      </c>
      <c r="G80">
        <v>122.19</v>
      </c>
      <c r="H80">
        <v>3.758729999999999</v>
      </c>
      <c r="I80">
        <v>9.852269999999999</v>
      </c>
      <c r="J80">
        <v>127.93293</v>
      </c>
      <c r="K80">
        <v>3.3189899999999999</v>
      </c>
      <c r="L80">
        <v>9.2450099999999988</v>
      </c>
      <c r="M80">
        <v>22.248750000000001</v>
      </c>
      <c r="N80" s="93"/>
      <c r="O80" s="94"/>
      <c r="P80" s="94"/>
      <c r="Q80" s="95"/>
    </row>
    <row r="81" spans="1:17" x14ac:dyDescent="0.25">
      <c r="A81" s="92"/>
      <c r="B81" s="92" t="s">
        <v>114</v>
      </c>
      <c r="C81" s="5" t="s">
        <v>112</v>
      </c>
      <c r="D81">
        <v>1.0469999999999999</v>
      </c>
      <c r="E81">
        <v>3.59</v>
      </c>
      <c r="F81">
        <v>12.44</v>
      </c>
      <c r="G81">
        <v>126.73</v>
      </c>
      <c r="H81">
        <v>3.758729999999999</v>
      </c>
      <c r="I81">
        <v>13.02468</v>
      </c>
      <c r="J81">
        <v>132.68630999999999</v>
      </c>
      <c r="K81">
        <v>3.3189899999999999</v>
      </c>
      <c r="L81">
        <v>12.41742</v>
      </c>
      <c r="M81">
        <v>27.002130000000001</v>
      </c>
      <c r="N81" s="93">
        <f>(D82-D81)/D81</f>
        <v>0</v>
      </c>
      <c r="O81" s="94">
        <f>(K82-K81)/K81</f>
        <v>3.1545741324921742E-3</v>
      </c>
      <c r="P81" s="94">
        <f>(L82-L81)/L81</f>
        <v>-0.25885328836424976</v>
      </c>
      <c r="Q81" s="95">
        <f>(M82-M81)/M81</f>
        <v>-0.11981388134936026</v>
      </c>
    </row>
    <row r="82" spans="1:17" x14ac:dyDescent="0.25">
      <c r="A82" s="92"/>
      <c r="B82" s="92"/>
      <c r="C82" s="5" t="s">
        <v>113</v>
      </c>
      <c r="D82">
        <v>1.0469999999999999</v>
      </c>
      <c r="E82">
        <v>3.6</v>
      </c>
      <c r="F82">
        <v>9.3699999999999992</v>
      </c>
      <c r="G82">
        <v>123.64</v>
      </c>
      <c r="H82">
        <v>3.7692000000000001</v>
      </c>
      <c r="I82">
        <v>9.8103899999999982</v>
      </c>
      <c r="J82">
        <v>129.45107999999999</v>
      </c>
      <c r="K82">
        <v>3.3294600000000001</v>
      </c>
      <c r="L82">
        <v>9.203129999999998</v>
      </c>
      <c r="M82">
        <v>23.7669</v>
      </c>
      <c r="N82" s="93"/>
      <c r="O82" s="94"/>
      <c r="P82" s="94"/>
      <c r="Q82" s="95"/>
    </row>
    <row r="83" spans="1:17" x14ac:dyDescent="0.25">
      <c r="A83" s="92" t="s">
        <v>71</v>
      </c>
      <c r="B83" s="92" t="s">
        <v>111</v>
      </c>
      <c r="C83" s="5" t="s">
        <v>112</v>
      </c>
      <c r="D83">
        <v>4.1890000000000001</v>
      </c>
      <c r="E83">
        <v>3.48</v>
      </c>
      <c r="F83">
        <v>21.95</v>
      </c>
      <c r="G83">
        <v>131.9</v>
      </c>
      <c r="H83">
        <v>14.577719999999999</v>
      </c>
      <c r="I83">
        <v>91.948549999999997</v>
      </c>
      <c r="J83">
        <v>552.52910000000008</v>
      </c>
      <c r="K83">
        <v>12.818339999999999</v>
      </c>
      <c r="L83">
        <v>89.518930000000012</v>
      </c>
      <c r="M83">
        <v>193.02912000000001</v>
      </c>
      <c r="N83" s="93">
        <f>(D84-D83)/D83</f>
        <v>-0.87491047982812131</v>
      </c>
      <c r="O83" s="94">
        <f>(K84-K83)/K83</f>
        <v>-0.86673469419597238</v>
      </c>
      <c r="P83" s="94">
        <f>(L84-L83)/L83</f>
        <v>-0.96312288361802367</v>
      </c>
      <c r="Q83" s="95">
        <f>(M84-M83)/M83</f>
        <v>-0.95325430691493596</v>
      </c>
    </row>
    <row r="84" spans="1:17" x14ac:dyDescent="0.25">
      <c r="A84" s="92"/>
      <c r="B84" s="92"/>
      <c r="C84" s="5" t="s">
        <v>113</v>
      </c>
      <c r="D84">
        <v>0.52400000000000002</v>
      </c>
      <c r="E84">
        <v>3.68</v>
      </c>
      <c r="F84">
        <v>6.88</v>
      </c>
      <c r="G84">
        <v>103.05</v>
      </c>
      <c r="H84">
        <v>1.92832</v>
      </c>
      <c r="I84">
        <v>3.6051199999999999</v>
      </c>
      <c r="J84">
        <v>53.998199999999997</v>
      </c>
      <c r="K84">
        <v>1.70824</v>
      </c>
      <c r="L84">
        <v>3.3012000000000001</v>
      </c>
      <c r="M84">
        <v>9.0232799999999997</v>
      </c>
      <c r="N84" s="93"/>
      <c r="O84" s="94"/>
      <c r="P84" s="94"/>
      <c r="Q84" s="95"/>
    </row>
    <row r="85" spans="1:17" x14ac:dyDescent="0.25">
      <c r="A85" s="92"/>
      <c r="B85" s="92" t="s">
        <v>114</v>
      </c>
      <c r="C85" s="5" t="s">
        <v>112</v>
      </c>
      <c r="D85">
        <v>4.7119999999999997</v>
      </c>
      <c r="E85">
        <v>3.46</v>
      </c>
      <c r="F85">
        <v>20.149999999999999</v>
      </c>
      <c r="G85">
        <v>128.49</v>
      </c>
      <c r="H85">
        <v>16.303519999999999</v>
      </c>
      <c r="I85">
        <v>94.946799999999982</v>
      </c>
      <c r="J85">
        <v>605.44488000000001</v>
      </c>
      <c r="K85">
        <v>14.324479999999999</v>
      </c>
      <c r="L85">
        <v>92.21383999999999</v>
      </c>
      <c r="M85">
        <v>201.01392000000001</v>
      </c>
      <c r="N85" s="93">
        <f>(D86-D85)/D85</f>
        <v>-0.88900679117147718</v>
      </c>
      <c r="O85" s="94">
        <f>(K86-K85)/K85</f>
        <v>-0.88097438790099181</v>
      </c>
      <c r="P85" s="94">
        <f>(L86-L85)/L85</f>
        <v>-0.96443906901610421</v>
      </c>
      <c r="Q85" s="95">
        <f>(M86-M85)/M85</f>
        <v>-0.95400000159192944</v>
      </c>
    </row>
    <row r="86" spans="1:17" x14ac:dyDescent="0.25">
      <c r="A86" s="92"/>
      <c r="B86" s="92"/>
      <c r="C86" s="5" t="s">
        <v>113</v>
      </c>
      <c r="D86">
        <v>0.52300000000000002</v>
      </c>
      <c r="E86">
        <v>3.68</v>
      </c>
      <c r="F86">
        <v>6.85</v>
      </c>
      <c r="G86">
        <v>103.51</v>
      </c>
      <c r="H86">
        <v>1.9246399999999999</v>
      </c>
      <c r="I86">
        <v>3.5825499999999999</v>
      </c>
      <c r="J86">
        <v>54.135730000000002</v>
      </c>
      <c r="K86">
        <v>1.7049799999999999</v>
      </c>
      <c r="L86">
        <v>3.27921</v>
      </c>
      <c r="M86">
        <v>9.2466400000000011</v>
      </c>
      <c r="N86" s="93"/>
      <c r="O86" s="94"/>
      <c r="P86" s="94"/>
      <c r="Q86" s="95"/>
    </row>
    <row r="87" spans="1:17" x14ac:dyDescent="0.25">
      <c r="A87" s="92" t="s">
        <v>79</v>
      </c>
      <c r="B87" s="92" t="s">
        <v>111</v>
      </c>
      <c r="C87" s="5" t="s">
        <v>112</v>
      </c>
      <c r="D87">
        <v>11.519</v>
      </c>
      <c r="E87">
        <v>3.49</v>
      </c>
      <c r="F87">
        <v>25.26</v>
      </c>
      <c r="G87">
        <v>141.66999999999999</v>
      </c>
      <c r="H87">
        <v>40.201309999999999</v>
      </c>
      <c r="I87">
        <v>290.96994000000001</v>
      </c>
      <c r="J87">
        <v>1631.8967299999999</v>
      </c>
      <c r="K87">
        <v>35.363329999999998</v>
      </c>
      <c r="L87">
        <v>284.28892000000002</v>
      </c>
      <c r="M87">
        <v>695.97798</v>
      </c>
      <c r="N87" s="93">
        <f>(D88-D87)/D87</f>
        <v>-0.46045663686083865</v>
      </c>
      <c r="O87" s="94">
        <f>(K88-K87)/K87</f>
        <v>-0.46221410709907684</v>
      </c>
      <c r="P87" s="94">
        <f>(L88-L87)/L87</f>
        <v>-0.52210624318387078</v>
      </c>
      <c r="Q87" s="95">
        <f>(M88-M87)/M87</f>
        <v>-0.52778793375043276</v>
      </c>
    </row>
    <row r="88" spans="1:17" x14ac:dyDescent="0.25">
      <c r="A88" s="92"/>
      <c r="B88" s="92"/>
      <c r="C88" s="5" t="s">
        <v>113</v>
      </c>
      <c r="D88">
        <v>6.2149999999999999</v>
      </c>
      <c r="E88">
        <v>3.48</v>
      </c>
      <c r="F88">
        <v>22.44</v>
      </c>
      <c r="G88">
        <v>134.12</v>
      </c>
      <c r="H88">
        <v>21.6282</v>
      </c>
      <c r="I88">
        <v>139.46459999999999</v>
      </c>
      <c r="J88">
        <v>833.55579999999998</v>
      </c>
      <c r="K88">
        <v>19.017900000000001</v>
      </c>
      <c r="L88">
        <v>135.85990000000001</v>
      </c>
      <c r="M88">
        <v>328.64920000000001</v>
      </c>
      <c r="N88" s="93"/>
      <c r="O88" s="94"/>
      <c r="P88" s="94"/>
      <c r="Q88" s="95"/>
    </row>
    <row r="89" spans="1:17" x14ac:dyDescent="0.25">
      <c r="A89" s="92"/>
      <c r="B89" s="92" t="s">
        <v>114</v>
      </c>
      <c r="C89" s="5" t="s">
        <v>112</v>
      </c>
      <c r="D89">
        <v>10.023</v>
      </c>
      <c r="E89">
        <v>3.47</v>
      </c>
      <c r="F89">
        <v>24.33</v>
      </c>
      <c r="G89">
        <v>137.97999999999999</v>
      </c>
      <c r="H89">
        <v>34.779809999999998</v>
      </c>
      <c r="I89">
        <v>243.85959</v>
      </c>
      <c r="J89">
        <v>1382.97354</v>
      </c>
      <c r="K89">
        <v>30.570150000000002</v>
      </c>
      <c r="L89">
        <v>238.04624999999999</v>
      </c>
      <c r="M89">
        <v>568.70501999999999</v>
      </c>
      <c r="N89" s="93">
        <f>(D90-D89)/D89</f>
        <v>-0.84266187768133294</v>
      </c>
      <c r="O89" s="94">
        <f>(K90-K89)/K89</f>
        <v>-0.83956670150457224</v>
      </c>
      <c r="P89" s="94">
        <f>(L90-L89)/L89</f>
        <v>-0.88499411353886059</v>
      </c>
      <c r="Q89" s="95">
        <f>(M90-M89)/M89</f>
        <v>-0.88824944784204651</v>
      </c>
    </row>
    <row r="90" spans="1:17" x14ac:dyDescent="0.25">
      <c r="A90" s="92"/>
      <c r="B90" s="92"/>
      <c r="C90" s="5" t="s">
        <v>113</v>
      </c>
      <c r="D90">
        <v>1.577</v>
      </c>
      <c r="E90">
        <v>3.53</v>
      </c>
      <c r="F90">
        <v>17.940000000000001</v>
      </c>
      <c r="G90">
        <v>121.54</v>
      </c>
      <c r="H90">
        <v>5.5668099999999994</v>
      </c>
      <c r="I90">
        <v>28.29138</v>
      </c>
      <c r="J90">
        <v>191.66857999999999</v>
      </c>
      <c r="K90">
        <v>4.9044699999999999</v>
      </c>
      <c r="L90">
        <v>27.376719999999999</v>
      </c>
      <c r="M90">
        <v>63.553099999999993</v>
      </c>
      <c r="N90" s="93"/>
      <c r="O90" s="94"/>
      <c r="P90" s="94"/>
      <c r="Q90" s="95"/>
    </row>
    <row r="91" spans="1:17" x14ac:dyDescent="0.25">
      <c r="A91" s="92" t="s">
        <v>87</v>
      </c>
      <c r="B91" s="92" t="s">
        <v>111</v>
      </c>
      <c r="C91" s="5" t="s">
        <v>112</v>
      </c>
      <c r="D91">
        <v>1.0469999999999999</v>
      </c>
      <c r="E91">
        <v>3.58</v>
      </c>
      <c r="F91">
        <v>7.18</v>
      </c>
      <c r="G91">
        <v>114.08</v>
      </c>
      <c r="H91">
        <v>3.7482600000000001</v>
      </c>
      <c r="I91">
        <v>7.5174599999999989</v>
      </c>
      <c r="J91">
        <v>119.44176</v>
      </c>
      <c r="K91">
        <v>3.3085200000000001</v>
      </c>
      <c r="L91">
        <v>6.9101999999999988</v>
      </c>
      <c r="M91">
        <v>23.787839999999999</v>
      </c>
      <c r="N91" s="93">
        <f>(D92-D91)/D91</f>
        <v>-0.48328557784145171</v>
      </c>
      <c r="O91" s="94">
        <f>(K92-K91)/K91</f>
        <v>-0.46202833895518242</v>
      </c>
      <c r="P91" s="94">
        <f>(L92-L91)/L91</f>
        <v>-0.51538450406645231</v>
      </c>
      <c r="Q91" s="95">
        <f>(M92-M91)/M91</f>
        <v>-0.52376760563380276</v>
      </c>
    </row>
    <row r="92" spans="1:17" x14ac:dyDescent="0.25">
      <c r="A92" s="92"/>
      <c r="B92" s="92"/>
      <c r="C92" s="5" t="s">
        <v>113</v>
      </c>
      <c r="D92">
        <v>0.54100000000000004</v>
      </c>
      <c r="E92">
        <v>3.71</v>
      </c>
      <c r="F92">
        <v>6.77</v>
      </c>
      <c r="G92">
        <v>112.3</v>
      </c>
      <c r="H92">
        <v>2.0071099999999999</v>
      </c>
      <c r="I92">
        <v>3.6625700000000001</v>
      </c>
      <c r="J92">
        <v>60.754300000000001</v>
      </c>
      <c r="K92">
        <v>1.77989</v>
      </c>
      <c r="L92">
        <v>3.348790000000001</v>
      </c>
      <c r="M92">
        <v>11.32854</v>
      </c>
      <c r="N92" s="93"/>
      <c r="O92" s="94"/>
      <c r="P92" s="94"/>
      <c r="Q92" s="95"/>
    </row>
    <row r="93" spans="1:17" x14ac:dyDescent="0.25">
      <c r="A93" s="92"/>
      <c r="B93" s="92" t="s">
        <v>114</v>
      </c>
      <c r="C93" s="5" t="s">
        <v>112</v>
      </c>
      <c r="D93">
        <v>1.0469999999999999</v>
      </c>
      <c r="E93">
        <v>3.6</v>
      </c>
      <c r="F93">
        <v>7.41</v>
      </c>
      <c r="G93">
        <v>113.56</v>
      </c>
      <c r="H93">
        <v>3.7692000000000001</v>
      </c>
      <c r="I93">
        <v>7.7582700000000004</v>
      </c>
      <c r="J93">
        <v>118.89731999999999</v>
      </c>
      <c r="K93">
        <v>3.3294600000000001</v>
      </c>
      <c r="L93">
        <v>7.1510099999999994</v>
      </c>
      <c r="M93">
        <v>23.243400000000001</v>
      </c>
      <c r="N93" s="93">
        <f>(D94-D93)/D93</f>
        <v>-0.50047755491881563</v>
      </c>
      <c r="O93" s="94">
        <f>(K94-K93)/K93</f>
        <v>-0.48476930192884132</v>
      </c>
      <c r="P93" s="94">
        <f>(L94-L93)/L93</f>
        <v>-0.53485172024651062</v>
      </c>
      <c r="Q93" s="95">
        <f>(M94-M93)/M93</f>
        <v>-0.53602915236153059</v>
      </c>
    </row>
    <row r="94" spans="1:17" x14ac:dyDescent="0.25">
      <c r="A94" s="92"/>
      <c r="B94" s="92"/>
      <c r="C94" s="5" t="s">
        <v>113</v>
      </c>
      <c r="D94">
        <v>0.52300000000000002</v>
      </c>
      <c r="E94">
        <v>3.7</v>
      </c>
      <c r="F94">
        <v>6.94</v>
      </c>
      <c r="G94">
        <v>111.98</v>
      </c>
      <c r="H94">
        <v>1.9351</v>
      </c>
      <c r="I94">
        <v>3.629620000000001</v>
      </c>
      <c r="J94">
        <v>58.565540000000013</v>
      </c>
      <c r="K94">
        <v>1.7154400000000001</v>
      </c>
      <c r="L94">
        <v>3.3262800000000001</v>
      </c>
      <c r="M94">
        <v>10.78426</v>
      </c>
      <c r="N94" s="93"/>
      <c r="O94" s="94"/>
      <c r="P94" s="94"/>
      <c r="Q94" s="95"/>
    </row>
    <row r="95" spans="1:17" x14ac:dyDescent="0.25">
      <c r="A95" s="92" t="s">
        <v>91</v>
      </c>
      <c r="B95" s="92" t="s">
        <v>111</v>
      </c>
      <c r="C95" s="5" t="s">
        <v>112</v>
      </c>
      <c r="D95">
        <v>4.7119999999999997</v>
      </c>
      <c r="E95">
        <v>3.47</v>
      </c>
      <c r="F95">
        <v>20.059999999999999</v>
      </c>
      <c r="G95">
        <v>128.91</v>
      </c>
      <c r="H95">
        <v>16.350639999999999</v>
      </c>
      <c r="I95">
        <v>94.522719999999993</v>
      </c>
      <c r="J95">
        <v>607.42391999999995</v>
      </c>
      <c r="K95">
        <v>14.371600000000001</v>
      </c>
      <c r="L95">
        <v>91.789760000000001</v>
      </c>
      <c r="M95">
        <v>230.88800000000001</v>
      </c>
      <c r="N95" s="93">
        <f>(D96-D95)/D95</f>
        <v>-0.88900679117147718</v>
      </c>
      <c r="O95" s="94">
        <f>(K96-K95)/K95</f>
        <v>-0.88063681148932615</v>
      </c>
      <c r="P95" s="94">
        <f>(L96-L95)/L95</f>
        <v>-0.96438872920029428</v>
      </c>
      <c r="Q95" s="95">
        <f>(M96-M95)/M95</f>
        <v>-0.94889782058833727</v>
      </c>
    </row>
    <row r="96" spans="1:17" x14ac:dyDescent="0.25">
      <c r="A96" s="92"/>
      <c r="B96" s="92"/>
      <c r="C96" s="5" t="s">
        <v>113</v>
      </c>
      <c r="D96">
        <v>0.52300000000000002</v>
      </c>
      <c r="E96">
        <v>3.7</v>
      </c>
      <c r="F96">
        <v>6.83</v>
      </c>
      <c r="G96">
        <v>102.48</v>
      </c>
      <c r="H96">
        <v>1.9351</v>
      </c>
      <c r="I96">
        <v>3.5720900000000002</v>
      </c>
      <c r="J96">
        <v>53.597040000000007</v>
      </c>
      <c r="K96">
        <v>1.7154400000000001</v>
      </c>
      <c r="L96">
        <v>3.2687499999999998</v>
      </c>
      <c r="M96">
        <v>11.79888</v>
      </c>
      <c r="N96" s="93"/>
      <c r="O96" s="94"/>
      <c r="P96" s="94"/>
      <c r="Q96" s="95"/>
    </row>
    <row r="97" spans="1:17" x14ac:dyDescent="0.25">
      <c r="A97" s="92"/>
      <c r="B97" s="92" t="s">
        <v>114</v>
      </c>
      <c r="C97" s="5" t="s">
        <v>112</v>
      </c>
      <c r="D97">
        <v>4.1890000000000001</v>
      </c>
      <c r="E97">
        <v>3.48</v>
      </c>
      <c r="F97">
        <v>20.05</v>
      </c>
      <c r="G97">
        <v>127.93</v>
      </c>
      <c r="H97">
        <v>14.577719999999999</v>
      </c>
      <c r="I97">
        <v>83.989450000000005</v>
      </c>
      <c r="J97">
        <v>535.89877000000001</v>
      </c>
      <c r="K97">
        <v>12.818339999999999</v>
      </c>
      <c r="L97">
        <v>81.559829999999991</v>
      </c>
      <c r="M97">
        <v>201.11389</v>
      </c>
      <c r="N97" s="93">
        <f>(D98-D97)/D97</f>
        <v>-0.6249701599427071</v>
      </c>
      <c r="O97" s="94">
        <f>(K98-K97)/K97</f>
        <v>-0.61761663366707387</v>
      </c>
      <c r="P97" s="94">
        <f>(L98-L97)/L97</f>
        <v>-0.7665453692093277</v>
      </c>
      <c r="Q97" s="95">
        <f>(M98-M97)/M97</f>
        <v>-0.73144082688669598</v>
      </c>
    </row>
    <row r="98" spans="1:17" x14ac:dyDescent="0.25">
      <c r="A98" s="92"/>
      <c r="B98" s="92"/>
      <c r="C98" s="5" t="s">
        <v>113</v>
      </c>
      <c r="D98">
        <v>1.571</v>
      </c>
      <c r="E98">
        <v>3.54</v>
      </c>
      <c r="F98">
        <v>12.7</v>
      </c>
      <c r="G98">
        <v>114.3</v>
      </c>
      <c r="H98">
        <v>5.5613400000000004</v>
      </c>
      <c r="I98">
        <v>19.951699999999999</v>
      </c>
      <c r="J98">
        <v>179.56530000000001</v>
      </c>
      <c r="K98">
        <v>4.9015199999999997</v>
      </c>
      <c r="L98">
        <v>19.040520000000001</v>
      </c>
      <c r="M98">
        <v>54.010980000000004</v>
      </c>
      <c r="N98" s="93"/>
      <c r="O98" s="94"/>
      <c r="P98" s="94"/>
      <c r="Q98" s="95"/>
    </row>
    <row r="99" spans="1:17" x14ac:dyDescent="0.25">
      <c r="A99" s="92" t="s">
        <v>93</v>
      </c>
      <c r="B99" s="92" t="s">
        <v>111</v>
      </c>
      <c r="C99" s="5" t="s">
        <v>112</v>
      </c>
      <c r="D99">
        <v>403.29399999999998</v>
      </c>
      <c r="E99">
        <v>3.49</v>
      </c>
      <c r="F99">
        <v>25.55</v>
      </c>
      <c r="G99">
        <v>144.57</v>
      </c>
      <c r="H99">
        <v>1407.4960599999999</v>
      </c>
      <c r="I99">
        <v>10304.161700000001</v>
      </c>
      <c r="J99">
        <v>58304.213580000003</v>
      </c>
      <c r="K99">
        <v>1407.4960599999999</v>
      </c>
      <c r="L99">
        <v>10070.251179999999</v>
      </c>
      <c r="M99">
        <v>23673.357800000002</v>
      </c>
      <c r="N99" s="93">
        <f>(D100-D99)/D99</f>
        <v>-0.95826121886266602</v>
      </c>
      <c r="O99" s="94">
        <f>(K100-K99)/K99</f>
        <v>-0.95814162350124088</v>
      </c>
      <c r="P99" s="94">
        <f>(L100-L99)/L99</f>
        <v>-0.95929758427336465</v>
      </c>
      <c r="Q99" s="95">
        <f>(M100-M99)/M99</f>
        <v>-0.95999618693719901</v>
      </c>
    </row>
    <row r="100" spans="1:17" x14ac:dyDescent="0.25">
      <c r="A100" s="92"/>
      <c r="B100" s="92"/>
      <c r="C100" s="5" t="s">
        <v>113</v>
      </c>
      <c r="D100">
        <v>16.832999999999998</v>
      </c>
      <c r="E100">
        <v>3.5</v>
      </c>
      <c r="F100">
        <v>24.93</v>
      </c>
      <c r="G100">
        <v>142.12</v>
      </c>
      <c r="H100">
        <v>58.915499999999987</v>
      </c>
      <c r="I100">
        <v>419.64668999999998</v>
      </c>
      <c r="J100">
        <v>2392.3059600000001</v>
      </c>
      <c r="K100">
        <v>58.915499999999987</v>
      </c>
      <c r="L100">
        <v>409.88355000000001</v>
      </c>
      <c r="M100">
        <v>947.0245799999999</v>
      </c>
      <c r="N100" s="93"/>
      <c r="O100" s="94"/>
      <c r="P100" s="94"/>
      <c r="Q100" s="95"/>
    </row>
    <row r="101" spans="1:17" x14ac:dyDescent="0.25">
      <c r="A101" s="92"/>
      <c r="B101" s="92" t="s">
        <v>114</v>
      </c>
      <c r="C101" s="5" t="s">
        <v>112</v>
      </c>
      <c r="D101">
        <v>155.691</v>
      </c>
      <c r="E101">
        <v>3.49</v>
      </c>
      <c r="F101">
        <v>26.97</v>
      </c>
      <c r="G101">
        <v>147.47</v>
      </c>
      <c r="H101">
        <v>543.36159000000009</v>
      </c>
      <c r="I101">
        <v>4198.9862700000003</v>
      </c>
      <c r="J101">
        <v>22959.751769999999</v>
      </c>
      <c r="K101">
        <v>543.36159000000009</v>
      </c>
      <c r="L101">
        <v>4108.6854899999998</v>
      </c>
      <c r="M101">
        <v>9592.1225099999992</v>
      </c>
      <c r="N101" s="93">
        <f>(D102-D101)/D101</f>
        <v>-0.90876158544809904</v>
      </c>
      <c r="O101" s="94">
        <f>(K102-K101)/K101</f>
        <v>-0.90850015732617395</v>
      </c>
      <c r="P101" s="94">
        <f>(L102-L101)/L101</f>
        <v>-0.91501931679857051</v>
      </c>
      <c r="Q101" s="95">
        <f>(M102-M101)/M101</f>
        <v>-0.91733601200637704</v>
      </c>
    </row>
    <row r="102" spans="1:17" x14ac:dyDescent="0.25">
      <c r="A102" s="92"/>
      <c r="B102" s="92"/>
      <c r="C102" s="5" t="s">
        <v>113</v>
      </c>
      <c r="D102">
        <v>14.205</v>
      </c>
      <c r="E102">
        <v>3.5</v>
      </c>
      <c r="F102">
        <v>25.16</v>
      </c>
      <c r="G102">
        <v>141.69</v>
      </c>
      <c r="H102">
        <v>49.717500000000001</v>
      </c>
      <c r="I102">
        <v>357.39780000000002</v>
      </c>
      <c r="J102">
        <v>2012.7064499999999</v>
      </c>
      <c r="K102">
        <v>49.717500000000001</v>
      </c>
      <c r="L102">
        <v>349.15890000000002</v>
      </c>
      <c r="M102">
        <v>792.92309999999998</v>
      </c>
      <c r="N102" s="93"/>
      <c r="O102" s="94"/>
      <c r="P102" s="94"/>
      <c r="Q102" s="95"/>
    </row>
    <row r="103" spans="1:17" x14ac:dyDescent="0.25">
      <c r="A103" s="92" t="s">
        <v>95</v>
      </c>
      <c r="B103" s="92" t="s">
        <v>111</v>
      </c>
      <c r="C103" s="5" t="s">
        <v>112</v>
      </c>
      <c r="D103">
        <v>90.43</v>
      </c>
      <c r="E103">
        <v>3.55</v>
      </c>
      <c r="F103">
        <v>27.48</v>
      </c>
      <c r="G103">
        <v>149.91</v>
      </c>
      <c r="H103">
        <v>321.0265</v>
      </c>
      <c r="I103">
        <v>2485.0164</v>
      </c>
      <c r="J103">
        <v>13556.3613</v>
      </c>
      <c r="K103">
        <v>283.04590000000002</v>
      </c>
      <c r="L103">
        <v>2432.567</v>
      </c>
      <c r="M103">
        <v>5767.6254000000008</v>
      </c>
      <c r="N103" s="93">
        <f>(D104-D103)/D103</f>
        <v>-0.63327435585535785</v>
      </c>
      <c r="O103" s="94">
        <f>(K104-K103)/K103</f>
        <v>-0.63444600328073997</v>
      </c>
      <c r="P103" s="94">
        <f>(L104-L103)/L103</f>
        <v>-0.62045940769565644</v>
      </c>
      <c r="Q103" s="95">
        <f>(M104-M103)/M103</f>
        <v>-0.63108941159736209</v>
      </c>
    </row>
    <row r="104" spans="1:17" x14ac:dyDescent="0.25">
      <c r="A104" s="92"/>
      <c r="B104" s="92"/>
      <c r="C104" s="5" t="s">
        <v>113</v>
      </c>
      <c r="D104">
        <v>33.162999999999997</v>
      </c>
      <c r="E104">
        <v>3.54</v>
      </c>
      <c r="F104">
        <v>28.42</v>
      </c>
      <c r="G104">
        <v>150.29</v>
      </c>
      <c r="H104">
        <v>117.39702</v>
      </c>
      <c r="I104">
        <v>942.49245999999994</v>
      </c>
      <c r="J104">
        <v>4984.0672699999996</v>
      </c>
      <c r="K104">
        <v>103.46856</v>
      </c>
      <c r="L104">
        <v>923.2579199999999</v>
      </c>
      <c r="M104">
        <v>2127.7380800000001</v>
      </c>
      <c r="N104" s="93"/>
      <c r="O104" s="94"/>
      <c r="P104" s="94"/>
      <c r="Q104" s="95"/>
    </row>
    <row r="105" spans="1:17" x14ac:dyDescent="0.25">
      <c r="A105" s="92"/>
      <c r="B105" s="92" t="s">
        <v>114</v>
      </c>
      <c r="C105" s="5" t="s">
        <v>112</v>
      </c>
      <c r="D105">
        <v>66.108000000000004</v>
      </c>
      <c r="E105">
        <v>3.55</v>
      </c>
      <c r="F105">
        <v>27.58</v>
      </c>
      <c r="G105">
        <v>149.37</v>
      </c>
      <c r="H105">
        <v>234.68340000000001</v>
      </c>
      <c r="I105">
        <v>1823.25864</v>
      </c>
      <c r="J105">
        <v>9874.5519600000007</v>
      </c>
      <c r="K105">
        <v>206.91803999999999</v>
      </c>
      <c r="L105">
        <v>1784.9159999999999</v>
      </c>
      <c r="M105">
        <v>4180.6699200000003</v>
      </c>
      <c r="N105" s="93">
        <f>(D106-D105)/D105</f>
        <v>-0.63402311369274522</v>
      </c>
      <c r="O105" s="94">
        <f>(K106-K105)/K105</f>
        <v>-0.63519236892056385</v>
      </c>
      <c r="P105" s="94">
        <f>(L106-L105)/L105</f>
        <v>-0.63551413063695994</v>
      </c>
      <c r="Q105" s="95">
        <f>(M106-M105)/M105</f>
        <v>-0.63853706010829958</v>
      </c>
    </row>
    <row r="106" spans="1:17" x14ac:dyDescent="0.25">
      <c r="A106" s="92"/>
      <c r="B106" s="92"/>
      <c r="C106" s="5" t="s">
        <v>113</v>
      </c>
      <c r="D106">
        <v>24.193999999999999</v>
      </c>
      <c r="E106">
        <v>3.54</v>
      </c>
      <c r="F106">
        <v>27.47</v>
      </c>
      <c r="G106">
        <v>148.59</v>
      </c>
      <c r="H106">
        <v>85.64676</v>
      </c>
      <c r="I106">
        <v>664.60917999999992</v>
      </c>
      <c r="J106">
        <v>3594.9864600000001</v>
      </c>
      <c r="K106">
        <v>75.485280000000003</v>
      </c>
      <c r="L106">
        <v>650.57665999999995</v>
      </c>
      <c r="M106">
        <v>1511.15724</v>
      </c>
      <c r="N106" s="96"/>
      <c r="O106" s="97"/>
      <c r="P106" s="97"/>
      <c r="Q106" s="98"/>
    </row>
  </sheetData>
  <mergeCells count="294">
    <mergeCell ref="K1:M1"/>
    <mergeCell ref="N1:Q1"/>
    <mergeCell ref="A3:A6"/>
    <mergeCell ref="B3:B4"/>
    <mergeCell ref="N3:N4"/>
    <mergeCell ref="O3:O4"/>
    <mergeCell ref="P3:P4"/>
    <mergeCell ref="Q3:Q4"/>
    <mergeCell ref="B5:B6"/>
    <mergeCell ref="N5:N6"/>
    <mergeCell ref="A1:A2"/>
    <mergeCell ref="B1:B2"/>
    <mergeCell ref="C1:C2"/>
    <mergeCell ref="D1:D2"/>
    <mergeCell ref="E1:G1"/>
    <mergeCell ref="H1:J1"/>
    <mergeCell ref="O5:O6"/>
    <mergeCell ref="P5:P6"/>
    <mergeCell ref="Q5:Q6"/>
    <mergeCell ref="A7:A10"/>
    <mergeCell ref="B7:B8"/>
    <mergeCell ref="N7:N8"/>
    <mergeCell ref="O7:O8"/>
    <mergeCell ref="P7:P8"/>
    <mergeCell ref="Q7:Q8"/>
    <mergeCell ref="B9:B10"/>
    <mergeCell ref="A15:A18"/>
    <mergeCell ref="B15:B16"/>
    <mergeCell ref="N15:N16"/>
    <mergeCell ref="O15:O16"/>
    <mergeCell ref="P15:P16"/>
    <mergeCell ref="N9:N10"/>
    <mergeCell ref="O9:O10"/>
    <mergeCell ref="P9:P10"/>
    <mergeCell ref="Q9:Q10"/>
    <mergeCell ref="A11:A14"/>
    <mergeCell ref="B11:B12"/>
    <mergeCell ref="N11:N12"/>
    <mergeCell ref="O11:O12"/>
    <mergeCell ref="P11:P12"/>
    <mergeCell ref="Q11:Q12"/>
    <mergeCell ref="Q15:Q16"/>
    <mergeCell ref="B17:B18"/>
    <mergeCell ref="N17:N18"/>
    <mergeCell ref="O17:O18"/>
    <mergeCell ref="P17:P18"/>
    <mergeCell ref="Q17:Q18"/>
    <mergeCell ref="B13:B14"/>
    <mergeCell ref="N13:N14"/>
    <mergeCell ref="O13:O14"/>
    <mergeCell ref="P13:P14"/>
    <mergeCell ref="Q13:Q14"/>
    <mergeCell ref="Q21:Q22"/>
    <mergeCell ref="A23:A26"/>
    <mergeCell ref="B23:B24"/>
    <mergeCell ref="N23:N24"/>
    <mergeCell ref="O23:O24"/>
    <mergeCell ref="P23:P24"/>
    <mergeCell ref="Q23:Q24"/>
    <mergeCell ref="B25:B26"/>
    <mergeCell ref="N25:N26"/>
    <mergeCell ref="O25:O26"/>
    <mergeCell ref="A19:A22"/>
    <mergeCell ref="B19:B20"/>
    <mergeCell ref="N19:N20"/>
    <mergeCell ref="O19:O20"/>
    <mergeCell ref="P19:P20"/>
    <mergeCell ref="Q19:Q20"/>
    <mergeCell ref="B21:B22"/>
    <mergeCell ref="N21:N22"/>
    <mergeCell ref="O21:O22"/>
    <mergeCell ref="P21:P22"/>
    <mergeCell ref="P25:P26"/>
    <mergeCell ref="Q25:Q26"/>
    <mergeCell ref="A27:A30"/>
    <mergeCell ref="B27:B28"/>
    <mergeCell ref="N27:N28"/>
    <mergeCell ref="O27:O28"/>
    <mergeCell ref="P27:P28"/>
    <mergeCell ref="Q27:Q28"/>
    <mergeCell ref="B29:B30"/>
    <mergeCell ref="N29:N30"/>
    <mergeCell ref="O29:O30"/>
    <mergeCell ref="P29:P30"/>
    <mergeCell ref="Q29:Q30"/>
    <mergeCell ref="A31:A34"/>
    <mergeCell ref="B31:B32"/>
    <mergeCell ref="N31:N32"/>
    <mergeCell ref="O31:O32"/>
    <mergeCell ref="P31:P32"/>
    <mergeCell ref="Q31:Q32"/>
    <mergeCell ref="B33:B34"/>
    <mergeCell ref="A39:A42"/>
    <mergeCell ref="B39:B40"/>
    <mergeCell ref="N39:N40"/>
    <mergeCell ref="O39:O40"/>
    <mergeCell ref="P39:P40"/>
    <mergeCell ref="N33:N34"/>
    <mergeCell ref="O33:O34"/>
    <mergeCell ref="P33:P34"/>
    <mergeCell ref="Q33:Q34"/>
    <mergeCell ref="A35:A38"/>
    <mergeCell ref="B35:B36"/>
    <mergeCell ref="N35:N36"/>
    <mergeCell ref="O35:O36"/>
    <mergeCell ref="P35:P36"/>
    <mergeCell ref="Q35:Q36"/>
    <mergeCell ref="Q39:Q40"/>
    <mergeCell ref="B41:B42"/>
    <mergeCell ref="N41:N42"/>
    <mergeCell ref="O41:O42"/>
    <mergeCell ref="P41:P42"/>
    <mergeCell ref="Q41:Q42"/>
    <mergeCell ref="B37:B38"/>
    <mergeCell ref="N37:N38"/>
    <mergeCell ref="O37:O38"/>
    <mergeCell ref="P37:P38"/>
    <mergeCell ref="Q37:Q38"/>
    <mergeCell ref="Q45:Q46"/>
    <mergeCell ref="A47:A50"/>
    <mergeCell ref="B47:B48"/>
    <mergeCell ref="N47:N48"/>
    <mergeCell ref="O47:O48"/>
    <mergeCell ref="P47:P48"/>
    <mergeCell ref="Q47:Q48"/>
    <mergeCell ref="B49:B50"/>
    <mergeCell ref="N49:N50"/>
    <mergeCell ref="O49:O50"/>
    <mergeCell ref="A43:A46"/>
    <mergeCell ref="B43:B44"/>
    <mergeCell ref="N43:N44"/>
    <mergeCell ref="O43:O44"/>
    <mergeCell ref="P43:P44"/>
    <mergeCell ref="Q43:Q44"/>
    <mergeCell ref="B45:B46"/>
    <mergeCell ref="N45:N46"/>
    <mergeCell ref="O45:O46"/>
    <mergeCell ref="P45:P46"/>
    <mergeCell ref="P49:P50"/>
    <mergeCell ref="Q49:Q50"/>
    <mergeCell ref="A51:A54"/>
    <mergeCell ref="B51:B52"/>
    <mergeCell ref="N51:N52"/>
    <mergeCell ref="O51:O52"/>
    <mergeCell ref="P51:P52"/>
    <mergeCell ref="Q51:Q52"/>
    <mergeCell ref="B53:B54"/>
    <mergeCell ref="N53:N54"/>
    <mergeCell ref="O53:O54"/>
    <mergeCell ref="P53:P54"/>
    <mergeCell ref="Q53:Q54"/>
    <mergeCell ref="A55:A58"/>
    <mergeCell ref="B55:B56"/>
    <mergeCell ref="N55:N56"/>
    <mergeCell ref="O55:O56"/>
    <mergeCell ref="P55:P56"/>
    <mergeCell ref="Q55:Q56"/>
    <mergeCell ref="B57:B58"/>
    <mergeCell ref="A63:A66"/>
    <mergeCell ref="B63:B64"/>
    <mergeCell ref="N63:N64"/>
    <mergeCell ref="O63:O64"/>
    <mergeCell ref="P63:P64"/>
    <mergeCell ref="N57:N58"/>
    <mergeCell ref="O57:O58"/>
    <mergeCell ref="P57:P58"/>
    <mergeCell ref="Q57:Q58"/>
    <mergeCell ref="A59:A62"/>
    <mergeCell ref="B59:B60"/>
    <mergeCell ref="N59:N60"/>
    <mergeCell ref="O59:O60"/>
    <mergeCell ref="P59:P60"/>
    <mergeCell ref="Q59:Q60"/>
    <mergeCell ref="Q63:Q64"/>
    <mergeCell ref="B65:B66"/>
    <mergeCell ref="N65:N66"/>
    <mergeCell ref="O65:O66"/>
    <mergeCell ref="P65:P66"/>
    <mergeCell ref="Q65:Q66"/>
    <mergeCell ref="B61:B62"/>
    <mergeCell ref="N61:N62"/>
    <mergeCell ref="O61:O62"/>
    <mergeCell ref="P61:P62"/>
    <mergeCell ref="Q61:Q62"/>
    <mergeCell ref="Q69:Q70"/>
    <mergeCell ref="A71:A74"/>
    <mergeCell ref="B71:B72"/>
    <mergeCell ref="N71:N72"/>
    <mergeCell ref="O71:O72"/>
    <mergeCell ref="P71:P72"/>
    <mergeCell ref="Q71:Q72"/>
    <mergeCell ref="B73:B74"/>
    <mergeCell ref="N73:N74"/>
    <mergeCell ref="O73:O74"/>
    <mergeCell ref="A67:A70"/>
    <mergeCell ref="B67:B68"/>
    <mergeCell ref="N67:N68"/>
    <mergeCell ref="O67:O68"/>
    <mergeCell ref="P67:P68"/>
    <mergeCell ref="Q67:Q68"/>
    <mergeCell ref="B69:B70"/>
    <mergeCell ref="N69:N70"/>
    <mergeCell ref="O69:O70"/>
    <mergeCell ref="P69:P70"/>
    <mergeCell ref="P73:P74"/>
    <mergeCell ref="Q73:Q74"/>
    <mergeCell ref="A75:A78"/>
    <mergeCell ref="B75:B76"/>
    <mergeCell ref="N75:N76"/>
    <mergeCell ref="O75:O76"/>
    <mergeCell ref="P75:P76"/>
    <mergeCell ref="Q75:Q76"/>
    <mergeCell ref="B77:B78"/>
    <mergeCell ref="N77:N78"/>
    <mergeCell ref="O77:O78"/>
    <mergeCell ref="P77:P78"/>
    <mergeCell ref="Q77:Q78"/>
    <mergeCell ref="A79:A82"/>
    <mergeCell ref="B79:B80"/>
    <mergeCell ref="N79:N80"/>
    <mergeCell ref="O79:O80"/>
    <mergeCell ref="P79:P80"/>
    <mergeCell ref="Q79:Q80"/>
    <mergeCell ref="B81:B82"/>
    <mergeCell ref="A87:A90"/>
    <mergeCell ref="B87:B88"/>
    <mergeCell ref="N87:N88"/>
    <mergeCell ref="O87:O88"/>
    <mergeCell ref="P87:P88"/>
    <mergeCell ref="N81:N82"/>
    <mergeCell ref="O81:O82"/>
    <mergeCell ref="P81:P82"/>
    <mergeCell ref="Q81:Q82"/>
    <mergeCell ref="A83:A86"/>
    <mergeCell ref="B83:B84"/>
    <mergeCell ref="N83:N84"/>
    <mergeCell ref="O83:O84"/>
    <mergeCell ref="P83:P84"/>
    <mergeCell ref="Q83:Q84"/>
    <mergeCell ref="Q87:Q88"/>
    <mergeCell ref="B89:B90"/>
    <mergeCell ref="N89:N90"/>
    <mergeCell ref="O89:O90"/>
    <mergeCell ref="P89:P90"/>
    <mergeCell ref="Q89:Q90"/>
    <mergeCell ref="B85:B86"/>
    <mergeCell ref="N85:N86"/>
    <mergeCell ref="O85:O86"/>
    <mergeCell ref="P85:P86"/>
    <mergeCell ref="Q85:Q86"/>
    <mergeCell ref="Q93:Q94"/>
    <mergeCell ref="A95:A98"/>
    <mergeCell ref="B95:B96"/>
    <mergeCell ref="N95:N96"/>
    <mergeCell ref="O95:O96"/>
    <mergeCell ref="P95:P96"/>
    <mergeCell ref="Q95:Q96"/>
    <mergeCell ref="B97:B98"/>
    <mergeCell ref="N97:N98"/>
    <mergeCell ref="O97:O98"/>
    <mergeCell ref="A91:A94"/>
    <mergeCell ref="B91:B92"/>
    <mergeCell ref="N91:N92"/>
    <mergeCell ref="O91:O92"/>
    <mergeCell ref="P91:P92"/>
    <mergeCell ref="Q91:Q92"/>
    <mergeCell ref="B93:B94"/>
    <mergeCell ref="N93:N94"/>
    <mergeCell ref="O93:O94"/>
    <mergeCell ref="P93:P94"/>
    <mergeCell ref="P97:P98"/>
    <mergeCell ref="Q97:Q98"/>
    <mergeCell ref="A99:A102"/>
    <mergeCell ref="B99:B100"/>
    <mergeCell ref="N99:N100"/>
    <mergeCell ref="O99:O100"/>
    <mergeCell ref="P99:P100"/>
    <mergeCell ref="Q99:Q100"/>
    <mergeCell ref="B101:B102"/>
    <mergeCell ref="N101:N102"/>
    <mergeCell ref="N105:N106"/>
    <mergeCell ref="O105:O106"/>
    <mergeCell ref="P105:P106"/>
    <mergeCell ref="Q105:Q106"/>
    <mergeCell ref="O101:O102"/>
    <mergeCell ref="P101:P102"/>
    <mergeCell ref="Q101:Q102"/>
    <mergeCell ref="A103:A106"/>
    <mergeCell ref="B103:B104"/>
    <mergeCell ref="N103:N104"/>
    <mergeCell ref="O103:O104"/>
    <mergeCell ref="P103:P104"/>
    <mergeCell ref="Q103:Q104"/>
    <mergeCell ref="B105:B106"/>
  </mergeCells>
  <conditionalFormatting sqref="N3:Q106">
    <cfRule type="colorScale" priority="1">
      <colorScale>
        <cfvo type="num" val="-1"/>
        <cfvo type="num" val="0"/>
        <cfvo type="num" val="1"/>
        <color rgb="FF92D050"/>
        <color rgb="FFFFC000"/>
        <color rgb="FFFF0000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6BF48-E99A-4C28-B214-DDA17DC15C29}">
  <dimension ref="B2:AD48"/>
  <sheetViews>
    <sheetView topLeftCell="R1" zoomScale="85" zoomScaleNormal="85" workbookViewId="0">
      <selection activeCell="W39" sqref="S37:W39"/>
    </sheetView>
  </sheetViews>
  <sheetFormatPr baseColWidth="10" defaultRowHeight="15" x14ac:dyDescent="0.25"/>
  <cols>
    <col min="3" max="4" width="20.42578125" bestFit="1" customWidth="1"/>
    <col min="6" max="6" width="7.7109375" bestFit="1" customWidth="1"/>
    <col min="7" max="7" width="34" bestFit="1" customWidth="1"/>
    <col min="8" max="9" width="20.42578125" bestFit="1" customWidth="1"/>
    <col min="11" max="11" width="10.5703125" bestFit="1" customWidth="1"/>
    <col min="12" max="12" width="33.5703125" bestFit="1" customWidth="1"/>
    <col min="14" max="15" width="20.42578125" bestFit="1" customWidth="1"/>
    <col min="17" max="17" width="7.7109375" bestFit="1" customWidth="1"/>
    <col min="18" max="18" width="33.5703125" bestFit="1" customWidth="1"/>
    <col min="19" max="20" width="20.42578125" bestFit="1" customWidth="1"/>
    <col min="22" max="22" width="10.5703125" bestFit="1" customWidth="1"/>
    <col min="23" max="23" width="34" bestFit="1" customWidth="1"/>
    <col min="24" max="24" width="18.28515625" bestFit="1" customWidth="1"/>
    <col min="26" max="26" width="12.5703125" bestFit="1" customWidth="1"/>
    <col min="27" max="27" width="44.5703125" bestFit="1" customWidth="1"/>
    <col min="29" max="29" width="12.5703125" bestFit="1" customWidth="1"/>
    <col min="30" max="30" width="41.28515625" bestFit="1" customWidth="1"/>
  </cols>
  <sheetData>
    <row r="2" spans="2:30" x14ac:dyDescent="0.25">
      <c r="B2" s="38"/>
      <c r="C2" s="88" t="s">
        <v>143</v>
      </c>
      <c r="D2" s="88"/>
      <c r="E2" s="88"/>
      <c r="F2" s="88"/>
      <c r="G2" s="88"/>
      <c r="H2" s="88"/>
      <c r="I2" s="88"/>
      <c r="J2" s="88"/>
      <c r="K2" s="88"/>
      <c r="L2" s="88"/>
      <c r="N2" s="82" t="s">
        <v>144</v>
      </c>
      <c r="O2" s="83"/>
      <c r="P2" s="83"/>
      <c r="Q2" s="83"/>
      <c r="R2" s="83"/>
      <c r="S2" s="83"/>
      <c r="T2" s="83"/>
      <c r="U2" s="83"/>
      <c r="V2" s="83"/>
      <c r="W2" s="84"/>
    </row>
    <row r="3" spans="2:30" ht="15.75" x14ac:dyDescent="0.25">
      <c r="B3" s="38"/>
      <c r="C3" s="82" t="s">
        <v>100</v>
      </c>
      <c r="D3" s="83"/>
      <c r="E3" s="83"/>
      <c r="F3" s="83"/>
      <c r="G3" s="84"/>
      <c r="H3" s="88" t="s">
        <v>205</v>
      </c>
      <c r="I3" s="88"/>
      <c r="J3" s="88"/>
      <c r="K3" s="88"/>
      <c r="L3" s="88"/>
      <c r="N3" s="82" t="s">
        <v>100</v>
      </c>
      <c r="O3" s="83"/>
      <c r="P3" s="83"/>
      <c r="Q3" s="83"/>
      <c r="R3" s="83"/>
      <c r="S3" s="83" t="s">
        <v>205</v>
      </c>
      <c r="T3" s="83"/>
      <c r="U3" s="83"/>
      <c r="V3" s="40"/>
      <c r="W3" s="41"/>
      <c r="Z3" s="85" t="s">
        <v>205</v>
      </c>
      <c r="AA3" s="86"/>
      <c r="AC3" s="85" t="s">
        <v>205</v>
      </c>
      <c r="AD3" s="86"/>
    </row>
    <row r="4" spans="2:30" x14ac:dyDescent="0.25">
      <c r="B4" s="39" t="s">
        <v>97</v>
      </c>
      <c r="C4" s="29" t="s">
        <v>143</v>
      </c>
      <c r="D4" s="29" t="s">
        <v>144</v>
      </c>
      <c r="E4" s="29" t="s">
        <v>147</v>
      </c>
      <c r="F4" s="15" t="s">
        <v>208</v>
      </c>
      <c r="G4" s="15" t="s">
        <v>171</v>
      </c>
      <c r="H4" s="29" t="s">
        <v>143</v>
      </c>
      <c r="I4" s="29" t="s">
        <v>144</v>
      </c>
      <c r="J4" s="29" t="s">
        <v>147</v>
      </c>
      <c r="K4" s="29" t="s">
        <v>208</v>
      </c>
      <c r="L4" s="29" t="s">
        <v>171</v>
      </c>
      <c r="M4" s="39" t="s">
        <v>97</v>
      </c>
      <c r="N4" s="29" t="s">
        <v>143</v>
      </c>
      <c r="O4" s="29" t="s">
        <v>144</v>
      </c>
      <c r="P4" s="29" t="s">
        <v>147</v>
      </c>
      <c r="Q4" s="15" t="s">
        <v>208</v>
      </c>
      <c r="R4" s="29" t="s">
        <v>171</v>
      </c>
      <c r="S4" s="29" t="s">
        <v>143</v>
      </c>
      <c r="T4" s="29" t="s">
        <v>144</v>
      </c>
      <c r="U4" s="29" t="s">
        <v>147</v>
      </c>
      <c r="V4" s="15" t="s">
        <v>208</v>
      </c>
      <c r="W4" s="29" t="s">
        <v>171</v>
      </c>
      <c r="X4" s="63" t="s">
        <v>172</v>
      </c>
      <c r="Z4" s="82" t="s">
        <v>143</v>
      </c>
      <c r="AA4" s="84"/>
      <c r="AB4" s="42"/>
      <c r="AC4" s="82" t="s">
        <v>144</v>
      </c>
      <c r="AD4" s="84"/>
    </row>
    <row r="5" spans="2:30" x14ac:dyDescent="0.25">
      <c r="B5" s="66" t="s">
        <v>150</v>
      </c>
      <c r="C5" s="64" cm="1">
        <f t="array" aca="1" ref="C5" ca="1">INDIRECT("'C Impact of Technique'!D" &amp; 3 + (ROW(A1)-1)*4)</f>
        <v>4.7130000000000001</v>
      </c>
      <c r="D5" s="64" cm="1">
        <f t="array" aca="1" ref="D5" ca="1">INDIRECT("'C Impact of Technique'!D" &amp; 4 + (ROW(A1)-1)*4)</f>
        <v>3.665</v>
      </c>
      <c r="E5" s="64" cm="1">
        <f t="array" aca="1" ref="E5" ca="1">INDIRECT("'C Impact of Technique'!N" &amp; 3 + (ROW(A1)-1)*4)*100</f>
        <v>-22.236367494165076</v>
      </c>
      <c r="F5" s="67">
        <v>2.8719490663203402E-11</v>
      </c>
      <c r="G5" s="4" t="s">
        <v>180</v>
      </c>
      <c r="H5" s="64" cm="1">
        <f t="array" aca="1" ref="H5" ca="1">INDIRECT("'C Impact of Technique'!M" &amp; 3 + (ROW(A1)-1)*4)</f>
        <v>242.2482</v>
      </c>
      <c r="I5" s="64" cm="1">
        <f t="array" aca="1" ref="I5" ca="1">INDIRECT("'C Impact of Technique'!M" &amp; 4 + (ROW(A1)-1)*4)</f>
        <v>164.66845000000001</v>
      </c>
      <c r="J5" s="64" cm="1">
        <f t="array" aca="1" ref="J5" ca="1">INDIRECT("'C Impact of Technique'!Q" &amp; 3 + (ROW(A1)-1)*4)*100</f>
        <v>-32.024902558615494</v>
      </c>
      <c r="K5" s="64">
        <v>2.8719490663203402E-11</v>
      </c>
      <c r="L5" s="64" t="s">
        <v>180</v>
      </c>
      <c r="M5" s="68" t="s">
        <v>150</v>
      </c>
      <c r="N5" s="64" cm="1">
        <f t="array" aca="1" ref="N5" ca="1">INDIRECT("'C Impact of Technique'!D" &amp; 5 + (ROW(A1)-1)*4)</f>
        <v>3.0710000000000002</v>
      </c>
      <c r="O5" s="64" cm="1">
        <f t="array" aca="1" ref="O5" ca="1">INDIRECT("'C Impact of Technique'!D" &amp; 6 + (ROW(A1)-1)*4)</f>
        <v>1.048</v>
      </c>
      <c r="P5" s="64" cm="1">
        <f t="array" aca="1" ref="P5" ca="1">INDIRECT("'C Impact of Technique'!N" &amp; 5 + (ROW(A1)-1)*4)*100</f>
        <v>-65.874308042982747</v>
      </c>
      <c r="Q5" s="64">
        <v>2.8719490663203402E-11</v>
      </c>
      <c r="R5" s="64" t="s">
        <v>180</v>
      </c>
      <c r="S5" s="64" cm="1">
        <f t="array" aca="1" ref="S5" ca="1">INDIRECT("'C Impact of Technique'!M" &amp; 5 + (ROW(A1)-1)*4)</f>
        <v>138.50210000000001</v>
      </c>
      <c r="T5" s="64" cm="1">
        <f t="array" aca="1" ref="T5" ca="1">INDIRECT("'C Impact of Technique'!M" &amp; 6 + (ROW(A1)-1)*4)</f>
        <v>31.775359999999999</v>
      </c>
      <c r="U5" s="64" cm="1">
        <f t="array" aca="1" ref="U5" ca="1">INDIRECT("'C Impact of Technique'!Q" &amp; 5 + (ROW(A1)-1)*4)*100</f>
        <v>-77.057849664373308</v>
      </c>
      <c r="V5" s="64">
        <v>2.8719490663203402E-11</v>
      </c>
      <c r="W5" s="64" t="s">
        <v>180</v>
      </c>
      <c r="X5" s="64">
        <f ca="1">AVERAGE(J5,U5)</f>
        <v>-54.541376111494401</v>
      </c>
      <c r="Z5" s="15" t="s">
        <v>149</v>
      </c>
      <c r="AA5" s="15" t="s">
        <v>148</v>
      </c>
      <c r="AB5" s="42"/>
      <c r="AC5" s="15" t="s">
        <v>149</v>
      </c>
      <c r="AD5" s="15" t="s">
        <v>148</v>
      </c>
    </row>
    <row r="6" spans="2:30" x14ac:dyDescent="0.25">
      <c r="B6" s="66" t="s">
        <v>151</v>
      </c>
      <c r="C6" s="64" cm="1">
        <f t="array" aca="1" ref="C6" ca="1">INDIRECT("'C Impact of Technique'!D" &amp; 3 + (ROW(A2)-1)*4)</f>
        <v>409.73099999999999</v>
      </c>
      <c r="D6" s="64" cm="1">
        <f t="array" aca="1" ref="D6" ca="1">INDIRECT("'C Impact of Technique'!D" &amp; 4 + (ROW(A2)-1)*4)</f>
        <v>400.36200000000002</v>
      </c>
      <c r="E6" s="64" cm="1">
        <f t="array" aca="1" ref="E6" ca="1">INDIRECT("'C Impact of Technique'!N" &amp; 3 + (ROW(A2)-1)*4)*100</f>
        <v>-2.2866221984667918</v>
      </c>
      <c r="F6" s="67">
        <v>2.4878739798152346E-10</v>
      </c>
      <c r="G6" s="4" t="s">
        <v>180</v>
      </c>
      <c r="H6" s="64" cm="1">
        <f t="array" aca="1" ref="H6" ca="1">INDIRECT("'C Impact of Technique'!M" &amp; 3 + (ROW(A2)-1)*4)</f>
        <v>24903.45018</v>
      </c>
      <c r="I6" s="64" cm="1">
        <f t="array" aca="1" ref="I6" ca="1">INDIRECT("'C Impact of Technique'!M" &amp; 4 + (ROW(A2)-1)*4)</f>
        <v>24354.02046</v>
      </c>
      <c r="J6" s="64" cm="1">
        <f t="array" aca="1" ref="J6" ca="1">INDIRECT("'C Impact of Technique'!Q" &amp; 3 + (ROW(A2)-1)*4)*100</f>
        <v>-2.2062393605254265</v>
      </c>
      <c r="K6" s="64">
        <v>9.8453100033373194E-6</v>
      </c>
      <c r="L6" s="64" t="s">
        <v>180</v>
      </c>
      <c r="M6" s="68" t="s">
        <v>151</v>
      </c>
      <c r="N6" s="64" cm="1">
        <f t="array" aca="1" ref="N6" ca="1">INDIRECT("'C Impact of Technique'!D" &amp; 5 + (ROW(A2)-1)*4)</f>
        <v>21.568999999999999</v>
      </c>
      <c r="O6" s="64" cm="1">
        <f t="array" aca="1" ref="O6" ca="1">INDIRECT("'C Impact of Technique'!D" &amp; 6 + (ROW(A2)-1)*4)</f>
        <v>20.49</v>
      </c>
      <c r="P6" s="64" cm="1">
        <f t="array" aca="1" ref="P6" ca="1">INDIRECT("'C Impact of Technique'!N" &amp; 5 + (ROW(A2)-1)*4)*100</f>
        <v>-5.0025499559553088</v>
      </c>
      <c r="Q6" s="64">
        <v>2.8719490663203402E-11</v>
      </c>
      <c r="R6" s="64" t="s">
        <v>180</v>
      </c>
      <c r="S6" s="64" cm="1">
        <f t="array" aca="1" ref="S6" ca="1">INDIRECT("'C Impact of Technique'!M" &amp; 5 + (ROW(A2)-1)*4)</f>
        <v>1134.7450899999999</v>
      </c>
      <c r="T6" s="64" cm="1">
        <f t="array" aca="1" ref="T6" ca="1">INDIRECT("'C Impact of Technique'!M" &amp; 6 + (ROW(A2)-1)*4)</f>
        <v>1208.9100000000001</v>
      </c>
      <c r="U6" s="64" cm="1">
        <f t="array" aca="1" ref="U6" ca="1">INDIRECT("'C Impact of Technique'!Q" &amp; 5 + (ROW(A2)-1)*4)*100</f>
        <v>6.5358211860604047</v>
      </c>
      <c r="V6" s="64">
        <v>2.8719490663203402E-11</v>
      </c>
      <c r="W6" s="64" t="s">
        <v>180</v>
      </c>
      <c r="X6" s="64">
        <f t="shared" ref="X6:X30" ca="1" si="0">AVERAGE(J6,U6)</f>
        <v>2.1647909127674891</v>
      </c>
      <c r="Z6" s="43" t="s">
        <v>155</v>
      </c>
      <c r="AA6" s="24" t="str" cm="1">
        <f t="array" aca="1" ref="AA6" ca="1">_xlfn.TEXTJOIN(", ", TRUE, IF(J5:J30 &lt;= -75, B5:B30, ""))</f>
        <v>T10</v>
      </c>
      <c r="AC6" s="43" t="s">
        <v>155</v>
      </c>
      <c r="AD6" s="24" t="str" cm="1">
        <f t="array" aca="1" ref="AD6" ca="1">_xlfn.TEXTJOIN(", ", TRUE, IF(U5:U30 &lt;= -75, M5:M30, ""))</f>
        <v>T4, T10, T26, T40</v>
      </c>
    </row>
    <row r="7" spans="2:30" x14ac:dyDescent="0.25">
      <c r="B7" s="66" t="s">
        <v>152</v>
      </c>
      <c r="C7" s="64" cm="1">
        <f t="array" aca="1" ref="C7" ca="1">INDIRECT("'C Impact of Technique'!D" &amp; 3 + (ROW(A3)-1)*4)</f>
        <v>2.0939999999999999</v>
      </c>
      <c r="D7" s="64" cm="1">
        <f t="array" aca="1" ref="D7" ca="1">INDIRECT("'C Impact of Technique'!D" &amp; 4 + (ROW(A3)-1)*4)</f>
        <v>1.0469999999999999</v>
      </c>
      <c r="E7" s="64" cm="1">
        <f t="array" aca="1" ref="E7" ca="1">INDIRECT("'C Impact of Technique'!N" &amp; 3 + (ROW(A3)-1)*4)*100</f>
        <v>-50</v>
      </c>
      <c r="F7" s="67">
        <v>2.8719490663203402E-11</v>
      </c>
      <c r="G7" s="4" t="s">
        <v>180</v>
      </c>
      <c r="H7" s="64" cm="1">
        <f t="array" aca="1" ref="H7" ca="1">INDIRECT("'C Impact of Technique'!M" &amp; 3 + (ROW(A3)-1)*4)</f>
        <v>71.719499999999996</v>
      </c>
      <c r="I7" s="64" cm="1">
        <f t="array" aca="1" ref="I7" ca="1">INDIRECT("'C Impact of Technique'!M" &amp; 4 + (ROW(A3)-1)*4)</f>
        <v>31.43094</v>
      </c>
      <c r="J7" s="64" cm="1">
        <f t="array" aca="1" ref="J7" ca="1">INDIRECT("'C Impact of Technique'!Q" &amp; 3 + (ROW(A3)-1)*4)*100</f>
        <v>-56.175182481751825</v>
      </c>
      <c r="K7" s="64">
        <v>2.8719490663203402E-11</v>
      </c>
      <c r="L7" s="64" t="s">
        <v>180</v>
      </c>
      <c r="M7" s="68" t="s">
        <v>152</v>
      </c>
      <c r="N7" s="64" cm="1">
        <f t="array" aca="1" ref="N7" ca="1">INDIRECT("'C Impact of Technique'!D" &amp; 5 + (ROW(A3)-1)*4)</f>
        <v>2.0939999999999999</v>
      </c>
      <c r="O7" s="64" cm="1">
        <f t="array" aca="1" ref="O7" ca="1">INDIRECT("'C Impact of Technique'!D" &amp; 6 + (ROW(A3)-1)*4)</f>
        <v>1.0469999999999999</v>
      </c>
      <c r="P7" s="64" cm="1">
        <f t="array" aca="1" ref="P7" ca="1">INDIRECT("'C Impact of Technique'!N" &amp; 5 + (ROW(A3)-1)*4)*100</f>
        <v>-50</v>
      </c>
      <c r="Q7" s="64">
        <v>2.8719490663203402E-11</v>
      </c>
      <c r="R7" s="64" t="s">
        <v>180</v>
      </c>
      <c r="S7" s="64" cm="1">
        <f t="array" aca="1" ref="S7" ca="1">INDIRECT("'C Impact of Technique'!M" &amp; 5 + (ROW(A3)-1)*4)</f>
        <v>68.473799999999997</v>
      </c>
      <c r="T7" s="64" cm="1">
        <f t="array" aca="1" ref="T7" ca="1">INDIRECT("'C Impact of Technique'!M" &amp; 6 + (ROW(A3)-1)*4)</f>
        <v>30.289709999999999</v>
      </c>
      <c r="U7" s="64" cm="1">
        <f t="array" aca="1" ref="U7" ca="1">INDIRECT("'C Impact of Technique'!Q" &amp; 5 + (ROW(A3)-1)*4)*100</f>
        <v>-55.764525993883794</v>
      </c>
      <c r="V7" s="64">
        <v>2.8719490663203402E-11</v>
      </c>
      <c r="W7" s="64" t="s">
        <v>180</v>
      </c>
      <c r="X7" s="64">
        <f t="shared" ca="1" si="0"/>
        <v>-55.969854237817813</v>
      </c>
      <c r="Z7" s="44" t="s">
        <v>156</v>
      </c>
      <c r="AA7" s="24" t="str" cm="1">
        <f t="array" aca="1" ref="AA7" ca="1">_xlfn.TEXTJOIN(", ", TRUE, IF((J5:J30 &gt; -75) * (J5:J30 &lt;= -25), B5:B30, ""))</f>
        <v>T4, T7, T20, T50, T51</v>
      </c>
      <c r="AC7" s="44" t="s">
        <v>156</v>
      </c>
      <c r="AD7" s="24" t="str" cm="1">
        <f t="array" aca="1" ref="AD7" ca="1">_xlfn.TEXTJOIN(", ", TRUE, IF((U5:U30 &gt; -75) * (U5:U30 &lt;= -25), M5:M30, ""))</f>
        <v>T7, T8, T12, T51</v>
      </c>
    </row>
    <row r="8" spans="2:30" x14ac:dyDescent="0.25">
      <c r="B8" s="66" t="s">
        <v>154</v>
      </c>
      <c r="C8" s="64" cm="1">
        <f t="array" aca="1" ref="C8" ca="1">INDIRECT("'C Impact of Technique'!D" &amp; 3 + (ROW(A4)-1)*4)</f>
        <v>4.7469999999999999</v>
      </c>
      <c r="D8" s="64" cm="1">
        <f t="array" aca="1" ref="D8" ca="1">INDIRECT("'C Impact of Technique'!D" &amp; 4 + (ROW(A4)-1)*4)</f>
        <v>6.8869999999999996</v>
      </c>
      <c r="E8" s="64" cm="1">
        <f t="array" aca="1" ref="E8" ca="1">INDIRECT("'C Impact of Technique'!N" &amp; 3 + (ROW(A4)-1)*4)*100</f>
        <v>45.081103855066353</v>
      </c>
      <c r="F8" s="67">
        <v>2.8719490663203402E-11</v>
      </c>
      <c r="G8" s="4" t="s">
        <v>180</v>
      </c>
      <c r="H8" s="64" cm="1">
        <f t="array" aca="1" ref="H8" ca="1">INDIRECT("'C Impact of Technique'!M" &amp; 3 + (ROW(A4)-1)*4)</f>
        <v>261.13247000000001</v>
      </c>
      <c r="I8" s="64" cm="1">
        <f t="array" aca="1" ref="I8" ca="1">INDIRECT("'C Impact of Technique'!M" &amp; 4 + (ROW(A4)-1)*4)</f>
        <v>400.75452999999987</v>
      </c>
      <c r="J8" s="64" cm="1">
        <f t="array" aca="1" ref="J8" ca="1">INDIRECT("'C Impact of Technique'!Q" &amp; 3 + (ROW(A4)-1)*4)*100</f>
        <v>53.467904623274102</v>
      </c>
      <c r="K8" s="64">
        <v>2.8719490663203402E-11</v>
      </c>
      <c r="L8" s="64" t="s">
        <v>180</v>
      </c>
      <c r="M8" s="68" t="s">
        <v>154</v>
      </c>
      <c r="N8" s="64" cm="1">
        <f t="array" aca="1" ref="N8" ca="1">INDIRECT("'C Impact of Technique'!D" &amp; 5 + (ROW(A4)-1)*4)</f>
        <v>22.571999999999999</v>
      </c>
      <c r="O8" s="64" cm="1">
        <f t="array" aca="1" ref="O8" ca="1">INDIRECT("'C Impact of Technique'!D" &amp; 6 + (ROW(A4)-1)*4)</f>
        <v>6.9580000000000002</v>
      </c>
      <c r="P8" s="64" cm="1">
        <f t="array" aca="1" ref="P8" ca="1">INDIRECT("'C Impact of Technique'!N" &amp; 5 + (ROW(A4)-1)*4)*100</f>
        <v>-69.174198121566548</v>
      </c>
      <c r="Q8" s="64">
        <v>2.8719490663203402E-11</v>
      </c>
      <c r="R8" s="64" t="s">
        <v>180</v>
      </c>
      <c r="S8" s="64" cm="1">
        <f t="array" aca="1" ref="S8" ca="1">INDIRECT("'C Impact of Technique'!M" &amp; 5 + (ROW(A4)-1)*4)</f>
        <v>1181.1927599999999</v>
      </c>
      <c r="T8" s="64" cm="1">
        <f t="array" aca="1" ref="T8" ca="1">INDIRECT("'C Impact of Technique'!M" &amp; 6 + (ROW(A4)-1)*4)</f>
        <v>409.47829999999999</v>
      </c>
      <c r="U8" s="64" cm="1">
        <f t="array" aca="1" ref="U8" ca="1">INDIRECT("'C Impact of Technique'!Q" &amp; 5 + (ROW(A4)-1)*4)*100</f>
        <v>-65.33349053036865</v>
      </c>
      <c r="V8" s="64">
        <v>2.8719490663203402E-11</v>
      </c>
      <c r="W8" s="64" t="s">
        <v>180</v>
      </c>
      <c r="X8" s="64">
        <f t="shared" ca="1" si="0"/>
        <v>-5.9327929535472741</v>
      </c>
      <c r="Z8" s="45" t="s">
        <v>161</v>
      </c>
      <c r="AA8" s="24" t="str" cm="1">
        <f t="array" aca="1" ref="AA8" ca="1">_xlfn.TEXTJOIN(", ", TRUE, IF((J5:J30 &gt; -25) * (J5:J30 &lt;= -3), B5:B30, ""))</f>
        <v>T9, T12, T16, T25, T40, T49</v>
      </c>
      <c r="AC8" s="45" t="s">
        <v>161</v>
      </c>
      <c r="AD8" s="24" t="str" cm="1">
        <f t="array" aca="1" ref="AD8" ca="1">_xlfn.TEXTJOIN(", ", TRUE, IF((U5:U30 &gt; -25) * (U5:U30 &lt;= -3), M5:M30, ""))</f>
        <v>T11, T13, T16, T25, T44, T50</v>
      </c>
    </row>
    <row r="9" spans="2:30" x14ac:dyDescent="0.25">
      <c r="B9" s="66" t="s">
        <v>153</v>
      </c>
      <c r="C9" s="64" cm="1">
        <f t="array" aca="1" ref="C9" ca="1">INDIRECT("'C Impact of Technique'!D" &amp; 3 + (ROW(A5)-1)*4)</f>
        <v>0.54100000000000004</v>
      </c>
      <c r="D9" s="64" cm="1">
        <f t="array" aca="1" ref="D9" ca="1">INDIRECT("'C Impact of Technique'!D" &amp; 4 + (ROW(A5)-1)*4)</f>
        <v>0.52300000000000002</v>
      </c>
      <c r="E9" s="64" cm="1">
        <f t="array" aca="1" ref="E9" ca="1">INDIRECT("'C Impact of Technique'!N" &amp; 3 + (ROW(A5)-1)*4)*100</f>
        <v>-3.3271719038817031</v>
      </c>
      <c r="F9" s="67">
        <v>0.75058723152230655</v>
      </c>
      <c r="G9" s="4" t="s">
        <v>210</v>
      </c>
      <c r="H9" s="64" cm="1">
        <f t="array" aca="1" ref="H9" ca="1">INDIRECT("'C Impact of Technique'!M" &amp; 3 + (ROW(A5)-1)*4)</f>
        <v>11.47461</v>
      </c>
      <c r="I9" s="64" cm="1">
        <f t="array" aca="1" ref="I9" ca="1">INDIRECT("'C Impact of Technique'!M" &amp; 4 + (ROW(A5)-1)*4)</f>
        <v>10.31879</v>
      </c>
      <c r="J9" s="64" cm="1">
        <f t="array" aca="1" ref="J9" ca="1">INDIRECT("'C Impact of Technique'!Q" &amp; 3 + (ROW(A5)-1)*4)*100</f>
        <v>-10.072847791776804</v>
      </c>
      <c r="K9" s="64">
        <v>2.8223335583575588E-3</v>
      </c>
      <c r="L9" s="64" t="s">
        <v>209</v>
      </c>
      <c r="M9" s="68" t="s">
        <v>153</v>
      </c>
      <c r="N9" s="64" cm="1">
        <f t="array" aca="1" ref="N9" ca="1">INDIRECT("'C Impact of Technique'!D" &amp; 5 + (ROW(A5)-1)*4)</f>
        <v>0.52400000000000002</v>
      </c>
      <c r="O9" s="64" cm="1">
        <f t="array" aca="1" ref="O9" ca="1">INDIRECT("'C Impact of Technique'!D" &amp; 6 + (ROW(A5)-1)*4)</f>
        <v>0.52300000000000002</v>
      </c>
      <c r="P9" s="64" cm="1">
        <f t="array" aca="1" ref="P9" ca="1">INDIRECT("'C Impact of Technique'!N" &amp; 5 + (ROW(A5)-1)*4)*100</f>
        <v>-0.19083969465648873</v>
      </c>
      <c r="Q9" s="64">
        <v>0.23984999119107975</v>
      </c>
      <c r="R9" s="64" t="s">
        <v>210</v>
      </c>
      <c r="S9" s="64" cm="1">
        <f t="array" aca="1" ref="S9" ca="1">INDIRECT("'C Impact of Technique'!M" &amp; 5 + (ROW(A5)-1)*4)</f>
        <v>10.5586</v>
      </c>
      <c r="T9" s="64" cm="1">
        <f t="array" aca="1" ref="T9" ca="1">INDIRECT("'C Impact of Technique'!M" &amp; 6 + (ROW(A5)-1)*4)</f>
        <v>10.64828</v>
      </c>
      <c r="U9" s="64" cm="1">
        <f t="array" aca="1" ref="U9" ca="1">INDIRECT("'C Impact of Technique'!Q" &amp; 5 + (ROW(A5)-1)*4)*100</f>
        <v>0.84935502812872476</v>
      </c>
      <c r="V9" s="64">
        <v>0.88246568328627495</v>
      </c>
      <c r="W9" s="64" t="s">
        <v>179</v>
      </c>
      <c r="X9" s="64">
        <f t="shared" ca="1" si="0"/>
        <v>-4.6117463818240392</v>
      </c>
      <c r="Z9" s="46" t="s">
        <v>157</v>
      </c>
      <c r="AA9" s="24" t="str" cm="1">
        <f t="array" aca="1" ref="AA9" ca="1">_xlfn.TEXTJOIN(", ", TRUE, IF((J5:J30 &gt; -3) * (J5:J30 &lt; 3), B5:B30, ""))</f>
        <v>T5, T11, T13, T17, T26, T29, T32, T33, T44</v>
      </c>
      <c r="AC9" s="46" t="s">
        <v>157</v>
      </c>
      <c r="AD9" s="24" t="str" cm="1">
        <f t="array" aca="1" ref="AD9" ca="1">_xlfn.TEXTJOIN(", ", TRUE, IF((U5:U30 &gt; -3) * (U5:U30 &lt; 3), M5:M30, ""))</f>
        <v>T9, T17, T29, T32, T36</v>
      </c>
    </row>
    <row r="10" spans="2:30" x14ac:dyDescent="0.25">
      <c r="B10" s="66" t="s">
        <v>19</v>
      </c>
      <c r="C10" s="64" cm="1">
        <f t="array" aca="1" ref="C10" ca="1">INDIRECT("'C Impact of Technique'!D" &amp; 3 + (ROW(A6)-1)*4)</f>
        <v>81.870999999999995</v>
      </c>
      <c r="D10" s="64" cm="1">
        <f t="array" aca="1" ref="D10" ca="1">INDIRECT("'C Impact of Technique'!D" &amp; 4 + (ROW(A6)-1)*4)</f>
        <v>1.052</v>
      </c>
      <c r="E10" s="64" cm="1">
        <f t="array" aca="1" ref="E10" ca="1">INDIRECT("'C Impact of Technique'!N" &amp; 3 + (ROW(A6)-1)*4)*100</f>
        <v>-98.715051727717977</v>
      </c>
      <c r="F10" s="67">
        <v>2.8719490663203402E-11</v>
      </c>
      <c r="G10" s="4" t="s">
        <v>180</v>
      </c>
      <c r="H10" s="64" cm="1">
        <f t="array" aca="1" ref="H10" ca="1">INDIRECT("'C Impact of Technique'!M" &amp; 3 + (ROW(A6)-1)*4)</f>
        <v>5473.8950599999998</v>
      </c>
      <c r="I10" s="64" cm="1">
        <f t="array" aca="1" ref="I10" ca="1">INDIRECT("'C Impact of Technique'!M" &amp; 4 + (ROW(A6)-1)*4)</f>
        <v>24.196000000000002</v>
      </c>
      <c r="J10" s="64" cm="1">
        <f t="array" aca="1" ref="J10" ca="1">INDIRECT("'C Impact of Technique'!Q" &amp; 3 + (ROW(A6)-1)*4)*100</f>
        <v>-99.557974719376517</v>
      </c>
      <c r="K10" s="64">
        <v>2.8719490663203402E-11</v>
      </c>
      <c r="L10" s="64" t="s">
        <v>180</v>
      </c>
      <c r="M10" s="68" t="s">
        <v>19</v>
      </c>
      <c r="N10" s="64" cm="1">
        <f t="array" aca="1" ref="N10" ca="1">INDIRECT("'C Impact of Technique'!D" &amp; 5 + (ROW(A6)-1)*4)</f>
        <v>81.566000000000003</v>
      </c>
      <c r="O10" s="64" cm="1">
        <f t="array" aca="1" ref="O10" ca="1">INDIRECT("'C Impact of Technique'!D" &amp; 6 + (ROW(A6)-1)*4)</f>
        <v>0.52600000000000002</v>
      </c>
      <c r="P10" s="64" cm="1">
        <f t="array" aca="1" ref="P10" ca="1">INDIRECT("'C Impact of Technique'!N" &amp; 5 + (ROW(A6)-1)*4)*100</f>
        <v>-99.355123458303709</v>
      </c>
      <c r="Q10" s="64">
        <v>2.8719490663203402E-11</v>
      </c>
      <c r="R10" s="64" t="s">
        <v>180</v>
      </c>
      <c r="S10" s="64" cm="1">
        <f t="array" aca="1" ref="S10" ca="1">INDIRECT("'C Impact of Technique'!M" &amp; 5 + (ROW(A6)-1)*4)</f>
        <v>5544.8566800000008</v>
      </c>
      <c r="T10" s="64" cm="1">
        <f t="array" aca="1" ref="T10" ca="1">INDIRECT("'C Impact of Technique'!M" &amp; 6 + (ROW(A6)-1)*4)</f>
        <v>10.50422</v>
      </c>
      <c r="U10" s="64" cm="1">
        <f t="array" aca="1" ref="U10" ca="1">INDIRECT("'C Impact of Technique'!Q" &amp; 5 + (ROW(A6)-1)*4)*100</f>
        <v>-99.810559215391663</v>
      </c>
      <c r="V10" s="64">
        <v>2.8719490663203402E-11</v>
      </c>
      <c r="W10" s="64" t="s">
        <v>180</v>
      </c>
      <c r="X10" s="64">
        <f t="shared" ca="1" si="0"/>
        <v>-99.68426696738409</v>
      </c>
      <c r="Z10" s="47" t="s">
        <v>158</v>
      </c>
      <c r="AA10" s="24" t="str" cm="1">
        <f t="array" aca="1" ref="AA10" ca="1">_xlfn.TEXTJOIN(", ", TRUE, IF((J5:J30 &gt;= 3) * (J5:J30 &lt; 25), B5:B30, ""))</f>
        <v>T19, T36</v>
      </c>
      <c r="AC10" s="47" t="s">
        <v>158</v>
      </c>
      <c r="AD10" s="24" t="str" cm="1">
        <f t="array" aca="1" ref="AD10" ca="1">_xlfn.TEXTJOIN(", ", TRUE, IF((U5:U30 &gt;= 3) * (U5:U30 &lt; 25), M5:M30, ""))</f>
        <v>T5, T19, T28, T33</v>
      </c>
    </row>
    <row r="11" spans="2:30" x14ac:dyDescent="0.25">
      <c r="B11" s="66" t="s">
        <v>21</v>
      </c>
      <c r="C11" s="64" cm="1">
        <f t="array" aca="1" ref="C11" ca="1">INDIRECT("'C Impact of Technique'!D" &amp; 3 + (ROW(A7)-1)*4)</f>
        <v>2.0950000000000002</v>
      </c>
      <c r="D11" s="64" cm="1">
        <f t="array" aca="1" ref="D11" ca="1">INDIRECT("'C Impact of Technique'!D" &amp; 4 + (ROW(A7)-1)*4)</f>
        <v>2.0939999999999999</v>
      </c>
      <c r="E11" s="64" cm="1">
        <f t="array" aca="1" ref="E11" ca="1">INDIRECT("'C Impact of Technique'!N" &amp; 3 + (ROW(A7)-1)*4)*100</f>
        <v>-4.7732696897390632E-2</v>
      </c>
      <c r="F11" s="67">
        <v>0.16237502241276713</v>
      </c>
      <c r="G11" s="4" t="s">
        <v>210</v>
      </c>
      <c r="H11" s="64" cm="1">
        <f t="array" aca="1" ref="H11" ca="1">INDIRECT("'C Impact of Technique'!M" &amp; 3 + (ROW(A7)-1)*4)</f>
        <v>79.861400000000003</v>
      </c>
      <c r="I11" s="64" cm="1">
        <f t="array" aca="1" ref="I11" ca="1">INDIRECT("'C Impact of Technique'!M" &amp; 4 + (ROW(A7)-1)*4)</f>
        <v>79.739519999999985</v>
      </c>
      <c r="J11" s="64" cm="1">
        <f t="array" aca="1" ref="J11" ca="1">INDIRECT("'C Impact of Technique'!Q" &amp; 3 + (ROW(A7)-1)*4)*100</f>
        <v>-0.15261440445574287</v>
      </c>
      <c r="K11" s="64">
        <v>0.70617148828122955</v>
      </c>
      <c r="L11" s="64" t="s">
        <v>210</v>
      </c>
      <c r="M11" s="68" t="s">
        <v>21</v>
      </c>
      <c r="N11" s="64" cm="1">
        <f t="array" aca="1" ref="N11" ca="1">INDIRECT("'C Impact of Technique'!D" &amp; 5 + (ROW(A7)-1)*4)</f>
        <v>1.0469999999999999</v>
      </c>
      <c r="O11" s="64" cm="1">
        <f t="array" aca="1" ref="O11" ca="1">INDIRECT("'C Impact of Technique'!D" &amp; 6 + (ROW(A7)-1)*4)</f>
        <v>1.0469999999999999</v>
      </c>
      <c r="P11" s="64" cm="1">
        <f t="array" aca="1" ref="P11" ca="1">INDIRECT("'C Impact of Technique'!N" &amp; 5 + (ROW(A7)-1)*4)*100</f>
        <v>0</v>
      </c>
      <c r="Q11" s="64">
        <v>0.89414606457826229</v>
      </c>
      <c r="R11" s="64" t="s">
        <v>210</v>
      </c>
      <c r="S11" s="64" cm="1">
        <f t="array" aca="1" ref="S11" ca="1">INDIRECT("'C Impact of Technique'!M" &amp; 5 + (ROW(A7)-1)*4)</f>
        <v>30.760860000000001</v>
      </c>
      <c r="T11" s="64" cm="1">
        <f t="array" aca="1" ref="T11" ca="1">INDIRECT("'C Impact of Technique'!M" &amp; 6 + (ROW(A7)-1)*4)</f>
        <v>24.37416</v>
      </c>
      <c r="U11" s="64" cm="1">
        <f t="array" aca="1" ref="U11" ca="1">INDIRECT("'C Impact of Technique'!Q" &amp; 5 + (ROW(A7)-1)*4)*100</f>
        <v>-20.762423417290677</v>
      </c>
      <c r="V11" s="64">
        <v>4.7340206841989269E-11</v>
      </c>
      <c r="W11" s="64" t="s">
        <v>210</v>
      </c>
      <c r="X11" s="64">
        <f t="shared" ca="1" si="0"/>
        <v>-10.45751891087321</v>
      </c>
      <c r="Z11" s="48" t="s">
        <v>159</v>
      </c>
      <c r="AA11" s="24" t="str" cm="1">
        <f t="array" aca="1" ref="AA11" ca="1">_xlfn.TEXTJOIN(", ", TRUE, IF((J5:J30 &gt;= 25) * (J5:J30 &lt; 75), B5:B30, ""))</f>
        <v>T8, T28, T31</v>
      </c>
      <c r="AC11" s="48" t="s">
        <v>159</v>
      </c>
      <c r="AD11" s="24" t="str" cm="1">
        <f t="array" aca="1" ref="AD11" ca="1">_xlfn.TEXTJOIN(", ", TRUE, IF((U5:U30 &gt;= 25) * (U5:U30 &lt; 75), M5:M30, ""))</f>
        <v>T20, T31</v>
      </c>
    </row>
    <row r="12" spans="2:30" x14ac:dyDescent="0.25">
      <c r="B12" s="66" t="s">
        <v>23</v>
      </c>
      <c r="C12" s="64" cm="1">
        <f t="array" aca="1" ref="C12" ca="1">INDIRECT("'C Impact of Technique'!D" &amp; 3 + (ROW(A8)-1)*4)</f>
        <v>1.0469999999999999</v>
      </c>
      <c r="D12" s="64" cm="1">
        <f t="array" aca="1" ref="D12" ca="1">INDIRECT("'C Impact of Technique'!D" &amp; 4 + (ROW(A8)-1)*4)</f>
        <v>1.0469999999999999</v>
      </c>
      <c r="E12" s="64" cm="1">
        <f t="array" aca="1" ref="E12" ca="1">INDIRECT("'C Impact of Technique'!N" &amp; 3 + (ROW(A8)-1)*4)*100</f>
        <v>0</v>
      </c>
      <c r="F12" s="67">
        <v>0.88246568328627495</v>
      </c>
      <c r="G12" s="4" t="s">
        <v>210</v>
      </c>
      <c r="H12" s="64" cm="1">
        <f t="array" aca="1" ref="H12" ca="1">INDIRECT("'C Impact of Technique'!M" &amp; 3 + (ROW(A8)-1)*4)</f>
        <v>27.389520000000001</v>
      </c>
      <c r="I12" s="64" cm="1">
        <f t="array" aca="1" ref="I12" ca="1">INDIRECT("'C Impact of Technique'!M" &amp; 4 + (ROW(A8)-1)*4)</f>
        <v>23.52609</v>
      </c>
      <c r="J12" s="64" cm="1">
        <f t="array" aca="1" ref="J12" ca="1">INDIRECT("'C Impact of Technique'!Q" &amp; 3 + (ROW(A8)-1)*4)*100</f>
        <v>-14.105504587155968</v>
      </c>
      <c r="K12" s="64">
        <v>1.6132250444697885E-10</v>
      </c>
      <c r="L12" s="64" t="s">
        <v>180</v>
      </c>
      <c r="M12" s="68" t="s">
        <v>23</v>
      </c>
      <c r="N12" s="64" cm="1">
        <f t="array" aca="1" ref="N12" ca="1">INDIRECT("'C Impact of Technique'!D" &amp; 5 + (ROW(A8)-1)*4)</f>
        <v>1.0469999999999999</v>
      </c>
      <c r="O12" s="64" cm="1">
        <f t="array" aca="1" ref="O12" ca="1">INDIRECT("'C Impact of Technique'!D" &amp; 6 + (ROW(A8)-1)*4)</f>
        <v>0.61099999999999999</v>
      </c>
      <c r="P12" s="64" cm="1">
        <f t="array" aca="1" ref="P12" ca="1">INDIRECT("'C Impact of Technique'!N" &amp; 5 + (ROW(A8)-1)*4)*100</f>
        <v>-41.642788920725884</v>
      </c>
      <c r="Q12" s="64">
        <v>2.3306153179987703E-9</v>
      </c>
      <c r="R12" s="64" t="s">
        <v>210</v>
      </c>
      <c r="S12" s="64" cm="1">
        <f t="array" aca="1" ref="S12" ca="1">INDIRECT("'C Impact of Technique'!M" &amp; 5 + (ROW(A8)-1)*4)</f>
        <v>25.22223</v>
      </c>
      <c r="T12" s="64" cm="1">
        <f t="array" aca="1" ref="T12" ca="1">INDIRECT("'C Impact of Technique'!M" &amp; 6 + (ROW(A8)-1)*4)</f>
        <v>10.99189</v>
      </c>
      <c r="U12" s="64" cm="1">
        <f t="array" aca="1" ref="U12" ca="1">INDIRECT("'C Impact of Technique'!Q" &amp; 5 + (ROW(A8)-1)*4)*100</f>
        <v>-56.419832822077986</v>
      </c>
      <c r="V12" s="64">
        <v>2.8719490663203402E-11</v>
      </c>
      <c r="W12" s="64" t="s">
        <v>180</v>
      </c>
      <c r="X12" s="64">
        <f t="shared" ca="1" si="0"/>
        <v>-35.262668704616978</v>
      </c>
      <c r="Z12" s="49" t="s">
        <v>160</v>
      </c>
      <c r="AA12" s="27" t="str" cm="1">
        <f t="array" aca="1" ref="AA12" ca="1">_xlfn.TEXTJOIN(", ", TRUE, IF(J5:J30 &gt;= 75, B5:B30, ""))</f>
        <v/>
      </c>
      <c r="AC12" s="49" t="s">
        <v>160</v>
      </c>
      <c r="AD12" s="27" t="str" cm="1">
        <f t="array" aca="1" ref="AD12" ca="1">_xlfn.TEXTJOIN(", ", TRUE, IF(U5:U30 &gt;= 75, M5:M30, ""))</f>
        <v>T49</v>
      </c>
    </row>
    <row r="13" spans="2:30" x14ac:dyDescent="0.25">
      <c r="B13" s="66" t="s">
        <v>25</v>
      </c>
      <c r="C13" s="64" cm="1">
        <f t="array" aca="1" ref="C13" ca="1">INDIRECT("'C Impact of Technique'!D" &amp; 3 + (ROW(A9)-1)*4)</f>
        <v>8.3780000000000001</v>
      </c>
      <c r="D13" s="64" cm="1">
        <f t="array" aca="1" ref="D13" ca="1">INDIRECT("'C Impact of Technique'!D" &amp; 4 + (ROW(A9)-1)*4)</f>
        <v>8.4740000000000002</v>
      </c>
      <c r="E13" s="64" cm="1">
        <f t="array" aca="1" ref="E13" ca="1">INDIRECT("'C Impact of Technique'!N" &amp; 3 + (ROW(A9)-1)*4)*100</f>
        <v>1.1458582000477451</v>
      </c>
      <c r="F13" s="67">
        <v>3.4971115177179976E-9</v>
      </c>
      <c r="G13" s="4" t="s">
        <v>180</v>
      </c>
      <c r="H13" s="64" cm="1">
        <f t="array" aca="1" ref="H13" ca="1">INDIRECT("'C Impact of Technique'!M" &amp; 3 + (ROW(A9)-1)*4)</f>
        <v>455.00918000000001</v>
      </c>
      <c r="I13" s="64" cm="1">
        <f t="array" aca="1" ref="I13" ca="1">INDIRECT("'C Impact of Technique'!M" &amp; 4 + (ROW(A9)-1)*4)</f>
        <v>452.17264</v>
      </c>
      <c r="J13" s="64" cm="1">
        <f t="array" aca="1" ref="J13" ca="1">INDIRECT("'C Impact of Technique'!Q" &amp; 3 + (ROW(A9)-1)*4)*100</f>
        <v>-0.62340280694996386</v>
      </c>
      <c r="K13" s="64">
        <v>8.9091634427719835E-2</v>
      </c>
      <c r="L13" s="64" t="s">
        <v>210</v>
      </c>
      <c r="M13" s="68" t="s">
        <v>25</v>
      </c>
      <c r="N13" s="64" cm="1">
        <f t="array" aca="1" ref="N13" ca="1">INDIRECT("'C Impact of Technique'!D" &amp; 5 + (ROW(A9)-1)*4)</f>
        <v>6.2830000000000004</v>
      </c>
      <c r="O13" s="64" cm="1">
        <f t="array" aca="1" ref="O13" ca="1">INDIRECT("'C Impact of Technique'!D" &amp; 6 + (ROW(A9)-1)*4)</f>
        <v>6.3079999999999998</v>
      </c>
      <c r="P13" s="64" cm="1">
        <f t="array" aca="1" ref="P13" ca="1">INDIRECT("'C Impact of Technique'!N" &amp; 5 + (ROW(A9)-1)*4)*100</f>
        <v>0.39789909279005992</v>
      </c>
      <c r="Q13" s="64">
        <v>2.8719490663203402E-11</v>
      </c>
      <c r="R13" s="64" t="s">
        <v>180</v>
      </c>
      <c r="S13" s="64" cm="1">
        <f t="array" aca="1" ref="S13" ca="1">INDIRECT("'C Impact of Technique'!M" &amp; 5 + (ROW(A9)-1)*4)</f>
        <v>327.09298000000001</v>
      </c>
      <c r="T13" s="64" cm="1">
        <f t="array" aca="1" ref="T13" ca="1">INDIRECT("'C Impact of Technique'!M" &amp; 6 + (ROW(A9)-1)*4)</f>
        <v>299.37768</v>
      </c>
      <c r="U13" s="64" cm="1">
        <f t="array" aca="1" ref="U13" ca="1">INDIRECT("'C Impact of Technique'!Q" &amp; 5 + (ROW(A9)-1)*4)*100</f>
        <v>-8.4732176153704089</v>
      </c>
      <c r="V13" s="64">
        <v>2.8719490663203402E-11</v>
      </c>
      <c r="W13" s="64" t="s">
        <v>210</v>
      </c>
      <c r="X13" s="64">
        <f t="shared" ca="1" si="0"/>
        <v>-4.5483102111601861</v>
      </c>
    </row>
    <row r="14" spans="2:30" x14ac:dyDescent="0.25">
      <c r="B14" s="66" t="s">
        <v>31</v>
      </c>
      <c r="C14" s="64" cm="1">
        <f t="array" aca="1" ref="C14" ca="1">INDIRECT("'C Impact of Technique'!D" &amp; 3 + (ROW(A10)-1)*4)</f>
        <v>1.0469999999999999</v>
      </c>
      <c r="D14" s="64" cm="1">
        <f t="array" aca="1" ref="D14" ca="1">INDIRECT("'C Impact of Technique'!D" &amp; 4 + (ROW(A10)-1)*4)</f>
        <v>1.0469999999999999</v>
      </c>
      <c r="E14" s="64" cm="1">
        <f t="array" aca="1" ref="E14" ca="1">INDIRECT("'C Impact of Technique'!N" &amp; 3 + (ROW(A10)-1)*4)*100</f>
        <v>0</v>
      </c>
      <c r="F14" s="67">
        <v>0.5742467278315232</v>
      </c>
      <c r="G14" s="4" t="s">
        <v>210</v>
      </c>
      <c r="H14" s="64" cm="1">
        <f t="array" aca="1" ref="H14" ca="1">INDIRECT("'C Impact of Technique'!M" &amp; 3 + (ROW(A10)-1)*4)</f>
        <v>24.269459999999999</v>
      </c>
      <c r="I14" s="64" cm="1">
        <f t="array" aca="1" ref="I14" ca="1">INDIRECT("'C Impact of Technique'!M" &amp; 4 + (ROW(A10)-1)*4)</f>
        <v>22.259219999999999</v>
      </c>
      <c r="J14" s="64" cm="1">
        <f t="array" aca="1" ref="J14" ca="1">INDIRECT("'C Impact of Technique'!Q" &amp; 3 + (ROW(A10)-1)*4)*100</f>
        <v>-8.2830025884383076</v>
      </c>
      <c r="K14" s="64">
        <v>1.2106938258946678E-4</v>
      </c>
      <c r="L14" s="64" t="s">
        <v>209</v>
      </c>
      <c r="M14" s="68" t="s">
        <v>31</v>
      </c>
      <c r="N14" s="64" cm="1">
        <f t="array" aca="1" ref="N14" ca="1">INDIRECT("'C Impact of Technique'!D" &amp; 5 + (ROW(A10)-1)*4)</f>
        <v>1.0469999999999999</v>
      </c>
      <c r="O14" s="64" cm="1">
        <f t="array" aca="1" ref="O14" ca="1">INDIRECT("'C Impact of Technique'!D" &amp; 6 + (ROW(A10)-1)*4)</f>
        <v>1.0469999999999999</v>
      </c>
      <c r="P14" s="64" cm="1">
        <f t="array" aca="1" ref="P14" ca="1">INDIRECT("'C Impact of Technique'!N" &amp; 5 + (ROW(A10)-1)*4)*100</f>
        <v>0</v>
      </c>
      <c r="Q14" s="64">
        <v>0.71718881360637599</v>
      </c>
      <c r="R14" s="64" t="s">
        <v>210</v>
      </c>
      <c r="S14" s="64" cm="1">
        <f t="array" aca="1" ref="S14" ca="1">INDIRECT("'C Impact of Technique'!M" &amp; 5 + (ROW(A10)-1)*4)</f>
        <v>23.557500000000001</v>
      </c>
      <c r="T14" s="64" cm="1">
        <f t="array" aca="1" ref="T14" ca="1">INDIRECT("'C Impact of Technique'!M" &amp; 6 + (ROW(A10)-1)*4)</f>
        <v>21.871829999999999</v>
      </c>
      <c r="U14" s="64" cm="1">
        <f t="array" aca="1" ref="U14" ca="1">INDIRECT("'C Impact of Technique'!Q" &amp; 5 + (ROW(A10)-1)*4)*100</f>
        <v>-7.1555555555555621</v>
      </c>
      <c r="V14" s="64">
        <v>5.1013909260081074E-5</v>
      </c>
      <c r="W14" s="64" t="s">
        <v>180</v>
      </c>
      <c r="X14" s="64">
        <f t="shared" ca="1" si="0"/>
        <v>-7.7192790719969349</v>
      </c>
    </row>
    <row r="15" spans="2:30" x14ac:dyDescent="0.25">
      <c r="B15" s="66" t="s">
        <v>33</v>
      </c>
      <c r="C15" s="64" cm="1">
        <f t="array" aca="1" ref="C15" ca="1">INDIRECT("'C Impact of Technique'!D" &amp; 3 + (ROW(A11)-1)*4)</f>
        <v>1.0469999999999999</v>
      </c>
      <c r="D15" s="64" cm="1">
        <f t="array" aca="1" ref="D15" ca="1">INDIRECT("'C Impact of Technique'!D" &amp; 4 + (ROW(A11)-1)*4)</f>
        <v>1.0469999999999999</v>
      </c>
      <c r="E15" s="64" cm="1">
        <f t="array" aca="1" ref="E15" ca="1">INDIRECT("'C Impact of Technique'!N" &amp; 3 + (ROW(A11)-1)*4)*100</f>
        <v>0</v>
      </c>
      <c r="F15" s="67">
        <v>0.33285469157272829</v>
      </c>
      <c r="G15" s="4" t="s">
        <v>210</v>
      </c>
      <c r="H15" s="64" cm="1">
        <f t="array" aca="1" ref="H15" ca="1">INDIRECT("'C Impact of Technique'!M" &amp; 3 + (ROW(A11)-1)*4)</f>
        <v>24.489329999999999</v>
      </c>
      <c r="I15" s="64" cm="1">
        <f t="array" aca="1" ref="I15" ca="1">INDIRECT("'C Impact of Technique'!M" &amp; 4 + (ROW(A11)-1)*4)</f>
        <v>24.03912</v>
      </c>
      <c r="J15" s="64" cm="1">
        <f t="array" aca="1" ref="J15" ca="1">INDIRECT("'C Impact of Technique'!Q" &amp; 3 + (ROW(A11)-1)*4)*100</f>
        <v>-1.8383924754168386</v>
      </c>
      <c r="K15" s="64">
        <v>0.35163696900500041</v>
      </c>
      <c r="L15" s="64" t="s">
        <v>210</v>
      </c>
      <c r="M15" s="68" t="s">
        <v>33</v>
      </c>
      <c r="N15" s="64" cm="1">
        <f t="array" aca="1" ref="N15" ca="1">INDIRECT("'C Impact of Technique'!D" &amp; 5 + (ROW(A11)-1)*4)</f>
        <v>1.0469999999999999</v>
      </c>
      <c r="O15" s="64" cm="1">
        <f t="array" aca="1" ref="O15" ca="1">INDIRECT("'C Impact of Technique'!D" &amp; 6 + (ROW(A11)-1)*4)</f>
        <v>1.0469999999999999</v>
      </c>
      <c r="P15" s="64" cm="1">
        <f t="array" aca="1" ref="P15" ca="1">INDIRECT("'C Impact of Technique'!N" &amp; 5 + (ROW(A11)-1)*4)*100</f>
        <v>0</v>
      </c>
      <c r="Q15" s="64">
        <v>0.84758748025933195</v>
      </c>
      <c r="R15" s="64" t="s">
        <v>210</v>
      </c>
      <c r="S15" s="64" cm="1">
        <f t="array" aca="1" ref="S15" ca="1">INDIRECT("'C Impact of Technique'!M" &amp; 5 + (ROW(A11)-1)*4)</f>
        <v>23.882069999999999</v>
      </c>
      <c r="T15" s="64" cm="1">
        <f t="array" aca="1" ref="T15" ca="1">INDIRECT("'C Impact of Technique'!M" &amp; 6 + (ROW(A11)-1)*4)</f>
        <v>23.714549999999999</v>
      </c>
      <c r="U15" s="64" cm="1">
        <f t="array" aca="1" ref="U15" ca="1">INDIRECT("'C Impact of Technique'!Q" &amp; 5 + (ROW(A11)-1)*4)*100</f>
        <v>-0.70144673388864398</v>
      </c>
      <c r="V15" s="64">
        <v>0.58436242209071043</v>
      </c>
      <c r="W15" s="64" t="s">
        <v>210</v>
      </c>
      <c r="X15" s="64">
        <f t="shared" ca="1" si="0"/>
        <v>-1.2699196046527412</v>
      </c>
    </row>
    <row r="16" spans="2:30" x14ac:dyDescent="0.25">
      <c r="B16" s="66" t="s">
        <v>37</v>
      </c>
      <c r="C16" s="64" cm="1">
        <f t="array" aca="1" ref="C16" ca="1">INDIRECT("'C Impact of Technique'!D" &amp; 3 + (ROW(A12)-1)*4)</f>
        <v>12.95</v>
      </c>
      <c r="D16" s="64" cm="1">
        <f t="array" aca="1" ref="D16" ca="1">INDIRECT("'C Impact of Technique'!D" &amp; 4 + (ROW(A12)-1)*4)</f>
        <v>12.733000000000001</v>
      </c>
      <c r="E16" s="64" cm="1">
        <f t="array" aca="1" ref="E16" ca="1">INDIRECT("'C Impact of Technique'!N" &amp; 3 + (ROW(A12)-1)*4)*100</f>
        <v>-1.6756756756756661</v>
      </c>
      <c r="F16" s="67">
        <v>0.16016393690179054</v>
      </c>
      <c r="G16" s="4" t="s">
        <v>210</v>
      </c>
      <c r="H16" s="64" cm="1">
        <f t="array" aca="1" ref="H16" ca="1">INDIRECT("'C Impact of Technique'!M" &amp; 3 + (ROW(A12)-1)*4)</f>
        <v>661.6155</v>
      </c>
      <c r="I16" s="64" cm="1">
        <f t="array" aca="1" ref="I16" ca="1">INDIRECT("'C Impact of Technique'!M" &amp; 4 + (ROW(A12)-1)*4)</f>
        <v>681.97948000000008</v>
      </c>
      <c r="J16" s="64" cm="1">
        <f t="array" aca="1" ref="J16" ca="1">INDIRECT("'C Impact of Technique'!Q" &amp; 3 + (ROW(A12)-1)*4)*100</f>
        <v>3.0779176122687697</v>
      </c>
      <c r="K16" s="64">
        <v>2.776958578613418E-6</v>
      </c>
      <c r="L16" s="64" t="s">
        <v>180</v>
      </c>
      <c r="M16" s="68" t="s">
        <v>37</v>
      </c>
      <c r="N16" s="64" cm="1">
        <f t="array" aca="1" ref="N16" ca="1">INDIRECT("'C Impact of Technique'!D" &amp; 5 + (ROW(A12)-1)*4)</f>
        <v>1.57</v>
      </c>
      <c r="O16" s="64" cm="1">
        <f t="array" aca="1" ref="O16" ca="1">INDIRECT("'C Impact of Technique'!D" &amp; 6 + (ROW(A12)-1)*4)</f>
        <v>1.577</v>
      </c>
      <c r="P16" s="64" cm="1">
        <f t="array" aca="1" ref="P16" ca="1">INDIRECT("'C Impact of Technique'!N" &amp; 5 + (ROW(A12)-1)*4)*100</f>
        <v>0.44585987261145826</v>
      </c>
      <c r="Q16" s="64">
        <v>2.8719490663203402E-11</v>
      </c>
      <c r="R16" s="64" t="s">
        <v>210</v>
      </c>
      <c r="S16" s="64" cm="1">
        <f t="array" aca="1" ref="S16" ca="1">INDIRECT("'C Impact of Technique'!M" &amp; 5 + (ROW(A12)-1)*4)</f>
        <v>51.307600000000001</v>
      </c>
      <c r="T16" s="64" cm="1">
        <f t="array" aca="1" ref="T16" ca="1">INDIRECT("'C Impact of Technique'!M" &amp; 6 + (ROW(A12)-1)*4)</f>
        <v>57.970519999999993</v>
      </c>
      <c r="U16" s="64" cm="1">
        <f t="array" aca="1" ref="U16" ca="1">INDIRECT("'C Impact of Technique'!Q" &amp; 5 + (ROW(A12)-1)*4)*100</f>
        <v>12.986224263072124</v>
      </c>
      <c r="V16" s="64">
        <v>3.8787144759013784E-11</v>
      </c>
      <c r="W16" s="64" t="s">
        <v>180</v>
      </c>
      <c r="X16" s="64">
        <f t="shared" ca="1" si="0"/>
        <v>8.0320709376704471</v>
      </c>
    </row>
    <row r="17" spans="2:24" x14ac:dyDescent="0.25">
      <c r="B17" s="66" t="s">
        <v>39</v>
      </c>
      <c r="C17" s="64" cm="1">
        <f t="array" aca="1" ref="C17" ca="1">INDIRECT("'C Impact of Technique'!D" &amp; 3 + (ROW(A13)-1)*4)</f>
        <v>8.9009999999999998</v>
      </c>
      <c r="D17" s="64" cm="1">
        <f t="array" aca="1" ref="D17" ca="1">INDIRECT("'C Impact of Technique'!D" &amp; 4 + (ROW(A13)-1)*4)</f>
        <v>3.1419999999999999</v>
      </c>
      <c r="E17" s="64" cm="1">
        <f t="array" aca="1" ref="E17" ca="1">INDIRECT("'C Impact of Technique'!N" &amp; 3 + (ROW(A13)-1)*4)*100</f>
        <v>-64.700595438714757</v>
      </c>
      <c r="F17" s="67">
        <v>2.8719490663203402E-11</v>
      </c>
      <c r="G17" s="4" t="s">
        <v>180</v>
      </c>
      <c r="H17" s="64" cm="1">
        <f t="array" aca="1" ref="H17" ca="1">INDIRECT("'C Impact of Technique'!M" &amp; 3 + (ROW(A13)-1)*4)</f>
        <v>423.06452999999999</v>
      </c>
      <c r="I17" s="64" cm="1">
        <f t="array" aca="1" ref="I17" ca="1">INDIRECT("'C Impact of Technique'!M" &amp; 4 + (ROW(A13)-1)*4)</f>
        <v>138.84497999999999</v>
      </c>
      <c r="J17" s="64" cm="1">
        <f t="array" aca="1" ref="J17" ca="1">INDIRECT("'C Impact of Technique'!Q" &amp; 3 + (ROW(A13)-1)*4)*100</f>
        <v>-67.18113428228078</v>
      </c>
      <c r="K17" s="64">
        <v>2.8719490663203402E-11</v>
      </c>
      <c r="L17" s="64" t="s">
        <v>180</v>
      </c>
      <c r="M17" s="68" t="s">
        <v>39</v>
      </c>
      <c r="N17" s="64" cm="1">
        <f t="array" aca="1" ref="N17" ca="1">INDIRECT("'C Impact of Technique'!D" &amp; 5 + (ROW(A13)-1)*4)</f>
        <v>1.1000000000000001</v>
      </c>
      <c r="O17" s="64" cm="1">
        <f t="array" aca="1" ref="O17" ca="1">INDIRECT("'C Impact of Technique'!D" &amp; 6 + (ROW(A13)-1)*4)</f>
        <v>1.5760000000000001</v>
      </c>
      <c r="P17" s="64" cm="1">
        <f t="array" aca="1" ref="P17" ca="1">INDIRECT("'C Impact of Technique'!N" &amp; 5 + (ROW(A13)-1)*4)*100</f>
        <v>43.272727272727266</v>
      </c>
      <c r="Q17" s="64">
        <v>7.0436207770406291E-10</v>
      </c>
      <c r="R17" s="64" t="s">
        <v>180</v>
      </c>
      <c r="S17" s="64" cm="1">
        <f t="array" aca="1" ref="S17" ca="1">INDIRECT("'C Impact of Technique'!M" &amp; 5 + (ROW(A13)-1)*4)</f>
        <v>29.491</v>
      </c>
      <c r="T17" s="64" cm="1">
        <f t="array" aca="1" ref="T17" ca="1">INDIRECT("'C Impact of Technique'!M" &amp; 6 + (ROW(A13)-1)*4)</f>
        <v>44.191040000000001</v>
      </c>
      <c r="U17" s="64" cm="1">
        <f t="array" aca="1" ref="U17" ca="1">INDIRECT("'C Impact of Technique'!Q" &amp; 5 + (ROW(A13)-1)*4)*100</f>
        <v>49.845851276660682</v>
      </c>
      <c r="V17" s="64">
        <v>8.1210731226055166E-9</v>
      </c>
      <c r="W17" s="64" t="s">
        <v>180</v>
      </c>
      <c r="X17" s="64">
        <f t="shared" ca="1" si="0"/>
        <v>-8.6676415028100493</v>
      </c>
    </row>
    <row r="18" spans="2:24" x14ac:dyDescent="0.25">
      <c r="B18" s="66" t="s">
        <v>49</v>
      </c>
      <c r="C18" s="64" cm="1">
        <f t="array" aca="1" ref="C18" ca="1">INDIRECT("'C Impact of Technique'!D" &amp; 3 + (ROW(A14)-1)*4)</f>
        <v>18.850000000000001</v>
      </c>
      <c r="D18" s="64" cm="1">
        <f t="array" aca="1" ref="D18" ca="1">INDIRECT("'C Impact of Technique'!D" &amp; 4 + (ROW(A14)-1)*4)</f>
        <v>15.737</v>
      </c>
      <c r="E18" s="64" cm="1">
        <f t="array" aca="1" ref="E18" ca="1">INDIRECT("'C Impact of Technique'!N" &amp; 3 + (ROW(A14)-1)*4)*100</f>
        <v>-16.514588859416452</v>
      </c>
      <c r="F18" s="67">
        <v>2.8719490663203402E-11</v>
      </c>
      <c r="G18" s="4" t="s">
        <v>180</v>
      </c>
      <c r="H18" s="64" cm="1">
        <f t="array" aca="1" ref="H18" ca="1">INDIRECT("'C Impact of Technique'!M" &amp; 3 + (ROW(A14)-1)*4)</f>
        <v>1018.0885</v>
      </c>
      <c r="I18" s="64" cm="1">
        <f t="array" aca="1" ref="I18" ca="1">INDIRECT("'C Impact of Technique'!M" &amp; 4 + (ROW(A14)-1)*4)</f>
        <v>837.05102999999997</v>
      </c>
      <c r="J18" s="64" cm="1">
        <f t="array" aca="1" ref="J18" ca="1">INDIRECT("'C Impact of Technique'!Q" &amp; 3 + (ROW(A14)-1)*4)*100</f>
        <v>-17.782095564383646</v>
      </c>
      <c r="K18" s="64">
        <v>2.8719490663203402E-11</v>
      </c>
      <c r="L18" s="64" t="s">
        <v>180</v>
      </c>
      <c r="M18" s="68" t="s">
        <v>49</v>
      </c>
      <c r="N18" s="64" cm="1">
        <f t="array" aca="1" ref="N18" ca="1">INDIRECT("'C Impact of Technique'!D" &amp; 5 + (ROW(A14)-1)*4)</f>
        <v>4.7290000000000001</v>
      </c>
      <c r="O18" s="64" cm="1">
        <f t="array" aca="1" ref="O18" ca="1">INDIRECT("'C Impact of Technique'!D" &amp; 6 + (ROW(A14)-1)*4)</f>
        <v>3.6819999999999999</v>
      </c>
      <c r="P18" s="64" cm="1">
        <f t="array" aca="1" ref="P18" ca="1">INDIRECT("'C Impact of Technique'!N" &amp; 5 + (ROW(A14)-1)*4)*100</f>
        <v>-22.139987312328191</v>
      </c>
      <c r="Q18" s="64">
        <v>2.8719490663203402E-11</v>
      </c>
      <c r="R18" s="64" t="s">
        <v>180</v>
      </c>
      <c r="S18" s="64" cm="1">
        <f t="array" aca="1" ref="S18" ca="1">INDIRECT("'C Impact of Technique'!M" &amp; 5 + (ROW(A14)-1)*4)</f>
        <v>222.87777</v>
      </c>
      <c r="T18" s="64" cm="1">
        <f t="array" aca="1" ref="T18" ca="1">INDIRECT("'C Impact of Technique'!M" &amp; 6 + (ROW(A14)-1)*4)</f>
        <v>169.18790000000001</v>
      </c>
      <c r="U18" s="64" cm="1">
        <f t="array" aca="1" ref="U18" ca="1">INDIRECT("'C Impact of Technique'!Q" &amp; 5 + (ROW(A14)-1)*4)*100</f>
        <v>-24.089378676033945</v>
      </c>
      <c r="V18" s="64">
        <v>2.8719490663203402E-11</v>
      </c>
      <c r="W18" s="64" t="s">
        <v>180</v>
      </c>
      <c r="X18" s="64">
        <f t="shared" ca="1" si="0"/>
        <v>-20.935737120208795</v>
      </c>
    </row>
    <row r="19" spans="2:24" x14ac:dyDescent="0.25">
      <c r="B19" s="66" t="s">
        <v>51</v>
      </c>
      <c r="C19" s="64" cm="1">
        <f t="array" aca="1" ref="C19" ca="1">INDIRECT("'C Impact of Technique'!D" &amp; 3 + (ROW(A15)-1)*4)</f>
        <v>18.324999999999999</v>
      </c>
      <c r="D19" s="64" cm="1">
        <f t="array" aca="1" ref="D19" ca="1">INDIRECT("'C Impact of Technique'!D" &amp; 4 + (ROW(A15)-1)*4)</f>
        <v>18.927</v>
      </c>
      <c r="E19" s="64" cm="1">
        <f t="array" aca="1" ref="E19" ca="1">INDIRECT("'C Impact of Technique'!N" &amp; 3 + (ROW(A15)-1)*4)*100</f>
        <v>3.2851296043656228</v>
      </c>
      <c r="F19" s="67">
        <v>2.8719490663203402E-11</v>
      </c>
      <c r="G19" s="4" t="s">
        <v>180</v>
      </c>
      <c r="H19" s="64" cm="1">
        <f t="array" aca="1" ref="H19" ca="1">INDIRECT("'C Impact of Technique'!M" &amp; 3 + (ROW(A15)-1)*4)</f>
        <v>918.44899999999996</v>
      </c>
      <c r="I19" s="64" cm="1">
        <f t="array" aca="1" ref="I19" ca="1">INDIRECT("'C Impact of Technique'!M" &amp; 4 + (ROW(A15)-1)*4)</f>
        <v>907.73892000000001</v>
      </c>
      <c r="J19" s="64" cm="1">
        <f t="array" aca="1" ref="J19" ca="1">INDIRECT("'C Impact of Technique'!Q" &amp; 3 + (ROW(A15)-1)*4)*100</f>
        <v>-1.16610503141709</v>
      </c>
      <c r="K19" s="64">
        <v>1.4119268503564276E-2</v>
      </c>
      <c r="L19" s="64" t="s">
        <v>209</v>
      </c>
      <c r="M19" s="68" t="s">
        <v>51</v>
      </c>
      <c r="N19" s="64" cm="1">
        <f t="array" aca="1" ref="N19" ca="1">INDIRECT("'C Impact of Technique'!D" &amp; 5 + (ROW(A15)-1)*4)</f>
        <v>5.2539999999999996</v>
      </c>
      <c r="O19" s="64" cm="1">
        <f t="array" aca="1" ref="O19" ca="1">INDIRECT("'C Impact of Technique'!D" &amp; 6 + (ROW(A15)-1)*4)</f>
        <v>1.087</v>
      </c>
      <c r="P19" s="64" cm="1">
        <f t="array" aca="1" ref="P19" ca="1">INDIRECT("'C Impact of Technique'!N" &amp; 5 + (ROW(A15)-1)*4)*100</f>
        <v>-79.311001141987063</v>
      </c>
      <c r="Q19" s="64">
        <v>2.8719490663203402E-11</v>
      </c>
      <c r="R19" s="64" t="s">
        <v>180</v>
      </c>
      <c r="S19" s="64" cm="1">
        <f t="array" aca="1" ref="S19" ca="1">INDIRECT("'C Impact of Technique'!M" &amp; 5 + (ROW(A15)-1)*4)</f>
        <v>237.16556</v>
      </c>
      <c r="T19" s="64" cm="1">
        <f t="array" aca="1" ref="T19" ca="1">INDIRECT("'C Impact of Technique'!M" &amp; 6 + (ROW(A15)-1)*4)</f>
        <v>25.94669</v>
      </c>
      <c r="U19" s="64" cm="1">
        <f t="array" aca="1" ref="U19" ca="1">INDIRECT("'C Impact of Technique'!Q" &amp; 5 + (ROW(A15)-1)*4)*100</f>
        <v>-89.059672070430466</v>
      </c>
      <c r="V19" s="64">
        <v>2.8719490663203402E-11</v>
      </c>
      <c r="W19" s="64" t="s">
        <v>180</v>
      </c>
      <c r="X19" s="64">
        <f t="shared" ca="1" si="0"/>
        <v>-45.112888550923778</v>
      </c>
    </row>
    <row r="20" spans="2:24" x14ac:dyDescent="0.25">
      <c r="B20" s="66" t="s">
        <v>55</v>
      </c>
      <c r="C20" s="64" cm="1">
        <f t="array" aca="1" ref="C20" ca="1">INDIRECT("'C Impact of Technique'!D" &amp; 3 + (ROW(A16)-1)*4)</f>
        <v>9.9480000000000004</v>
      </c>
      <c r="D20" s="64" cm="1">
        <f t="array" aca="1" ref="D20" ca="1">INDIRECT("'C Impact of Technique'!D" &amp; 4 + (ROW(A16)-1)*4)</f>
        <v>13.654999999999999</v>
      </c>
      <c r="E20" s="64" cm="1">
        <f t="array" aca="1" ref="E20" ca="1">INDIRECT("'C Impact of Technique'!N" &amp; 3 + (ROW(A16)-1)*4)*100</f>
        <v>37.263771612384389</v>
      </c>
      <c r="F20" s="67">
        <v>2.8719490663203402E-11</v>
      </c>
      <c r="G20" s="4" t="s">
        <v>180</v>
      </c>
      <c r="H20" s="64" cm="1">
        <f t="array" aca="1" ref="H20" ca="1">INDIRECT("'C Impact of Technique'!M" &amp; 3 + (ROW(A16)-1)*4)</f>
        <v>531.42216000000008</v>
      </c>
      <c r="I20" s="64" cm="1">
        <f t="array" aca="1" ref="I20" ca="1">INDIRECT("'C Impact of Technique'!M" &amp; 4 + (ROW(A16)-1)*4)</f>
        <v>747.06504999999993</v>
      </c>
      <c r="J20" s="64" cm="1">
        <f t="array" aca="1" ref="J20" ca="1">INDIRECT("'C Impact of Technique'!Q" &amp; 3 + (ROW(A16)-1)*4)*100</f>
        <v>40.578452731440443</v>
      </c>
      <c r="K20" s="64">
        <v>2.8719490663203402E-11</v>
      </c>
      <c r="L20" s="64" t="s">
        <v>180</v>
      </c>
      <c r="M20" s="68" t="s">
        <v>55</v>
      </c>
      <c r="N20" s="64" cm="1">
        <f t="array" aca="1" ref="N20" ca="1">INDIRECT("'C Impact of Technique'!D" &amp; 5 + (ROW(A16)-1)*4)</f>
        <v>2.7050000000000001</v>
      </c>
      <c r="O20" s="64" cm="1">
        <f t="array" aca="1" ref="O20" ca="1">INDIRECT("'C Impact of Technique'!D" &amp; 6 + (ROW(A16)-1)*4)</f>
        <v>3.153</v>
      </c>
      <c r="P20" s="64" cm="1">
        <f t="array" aca="1" ref="P20" ca="1">INDIRECT("'C Impact of Technique'!N" &amp; 5 + (ROW(A16)-1)*4)*100</f>
        <v>16.561922365988906</v>
      </c>
      <c r="Q20" s="64">
        <v>2.8719490663203402E-11</v>
      </c>
      <c r="R20" s="64" t="s">
        <v>180</v>
      </c>
      <c r="S20" s="64" cm="1">
        <f t="array" aca="1" ref="S20" ca="1">INDIRECT("'C Impact of Technique'!M" &amp; 5 + (ROW(A16)-1)*4)</f>
        <v>116.61255</v>
      </c>
      <c r="T20" s="64" cm="1">
        <f t="array" aca="1" ref="T20" ca="1">INDIRECT("'C Impact of Technique'!M" &amp; 6 + (ROW(A16)-1)*4)</f>
        <v>134.0025</v>
      </c>
      <c r="U20" s="64" cm="1">
        <f t="array" aca="1" ref="U20" ca="1">INDIRECT("'C Impact of Technique'!Q" &amp; 5 + (ROW(A16)-1)*4)*100</f>
        <v>14.912588739376679</v>
      </c>
      <c r="V20" s="64">
        <v>2.8719490663203402E-11</v>
      </c>
      <c r="W20" s="64" t="s">
        <v>180</v>
      </c>
      <c r="X20" s="64">
        <f t="shared" ca="1" si="0"/>
        <v>27.745520735408562</v>
      </c>
    </row>
    <row r="21" spans="2:24" x14ac:dyDescent="0.25">
      <c r="B21" s="66" t="s">
        <v>57</v>
      </c>
      <c r="C21" s="64" cm="1">
        <f t="array" aca="1" ref="C21" ca="1">INDIRECT("'C Impact of Technique'!D" &amp; 3 + (ROW(A17)-1)*4)</f>
        <v>1.0469999999999999</v>
      </c>
      <c r="D21" s="64" cm="1">
        <f t="array" aca="1" ref="D21" ca="1">INDIRECT("'C Impact of Technique'!D" &amp; 4 + (ROW(A17)-1)*4)</f>
        <v>1.0469999999999999</v>
      </c>
      <c r="E21" s="64" cm="1">
        <f t="array" aca="1" ref="E21" ca="1">INDIRECT("'C Impact of Technique'!N" &amp; 3 + (ROW(A17)-1)*4)*100</f>
        <v>0</v>
      </c>
      <c r="F21" s="67">
        <v>0.95284242958019894</v>
      </c>
      <c r="G21" s="4" t="s">
        <v>210</v>
      </c>
      <c r="H21" s="64" cm="1">
        <f t="array" aca="1" ref="H21" ca="1">INDIRECT("'C Impact of Technique'!M" &amp; 3 + (ROW(A17)-1)*4)</f>
        <v>20.898119999999999</v>
      </c>
      <c r="I21" s="64" cm="1">
        <f t="array" aca="1" ref="I21" ca="1">INDIRECT("'C Impact of Technique'!M" &amp; 4 + (ROW(A17)-1)*4)</f>
        <v>21.159870000000002</v>
      </c>
      <c r="J21" s="64" cm="1">
        <f t="array" aca="1" ref="J21" ca="1">INDIRECT("'C Impact of Technique'!Q" &amp; 3 + (ROW(A17)-1)*4)*100</f>
        <v>1.2525050100200537</v>
      </c>
      <c r="K21" s="64">
        <v>0.56421470514578609</v>
      </c>
      <c r="L21" s="64" t="s">
        <v>210</v>
      </c>
      <c r="M21" s="68" t="s">
        <v>57</v>
      </c>
      <c r="N21" s="64" cm="1">
        <f t="array" aca="1" ref="N21" ca="1">INDIRECT("'C Impact of Technique'!D" &amp; 5 + (ROW(A17)-1)*4)</f>
        <v>0.52400000000000002</v>
      </c>
      <c r="O21" s="64" cm="1">
        <f t="array" aca="1" ref="O21" ca="1">INDIRECT("'C Impact of Technique'!D" &amp; 6 + (ROW(A17)-1)*4)</f>
        <v>0.52300000000000002</v>
      </c>
      <c r="P21" s="64" cm="1">
        <f t="array" aca="1" ref="P21" ca="1">INDIRECT("'C Impact of Technique'!N" &amp; 5 + (ROW(A17)-1)*4)*100</f>
        <v>-0.19083969465648873</v>
      </c>
      <c r="Q21" s="64">
        <v>0.16016393690179054</v>
      </c>
      <c r="R21" s="64" t="s">
        <v>210</v>
      </c>
      <c r="S21" s="64" cm="1">
        <f t="array" aca="1" ref="S21" ca="1">INDIRECT("'C Impact of Technique'!M" &amp; 5 + (ROW(A17)-1)*4)</f>
        <v>10.197039999999999</v>
      </c>
      <c r="T21" s="64" cm="1">
        <f t="array" aca="1" ref="T21" ca="1">INDIRECT("'C Impact of Technique'!M" &amp; 6 + (ROW(A17)-1)*4)</f>
        <v>10.26126</v>
      </c>
      <c r="U21" s="64" cm="1">
        <f t="array" aca="1" ref="U21" ca="1">INDIRECT("'C Impact of Technique'!Q" &amp; 5 + (ROW(A17)-1)*4)*100</f>
        <v>0.62979060590132641</v>
      </c>
      <c r="V21" s="64">
        <v>0.64672457734348421</v>
      </c>
      <c r="W21" s="64" t="s">
        <v>210</v>
      </c>
      <c r="X21" s="64">
        <f t="shared" ca="1" si="0"/>
        <v>0.94114780796069009</v>
      </c>
    </row>
    <row r="22" spans="2:24" x14ac:dyDescent="0.25">
      <c r="B22" s="66" t="s">
        <v>61</v>
      </c>
      <c r="C22" s="64" cm="1">
        <f t="array" aca="1" ref="C22" ca="1">INDIRECT("'C Impact of Technique'!D" &amp; 3 + (ROW(A18)-1)*4)</f>
        <v>16.18</v>
      </c>
      <c r="D22" s="64" cm="1">
        <f t="array" aca="1" ref="D22" ca="1">INDIRECT("'C Impact of Technique'!D" &amp; 4 + (ROW(A18)-1)*4)</f>
        <v>23.395</v>
      </c>
      <c r="E22" s="64" cm="1">
        <f t="array" aca="1" ref="E22" ca="1">INDIRECT("'C Impact of Technique'!N" &amp; 3 + (ROW(A18)-1)*4)*100</f>
        <v>44.592088998763906</v>
      </c>
      <c r="F22" s="67">
        <v>2.8719490663203402E-11</v>
      </c>
      <c r="G22" s="4" t="s">
        <v>180</v>
      </c>
      <c r="H22" s="64" cm="1">
        <f t="array" aca="1" ref="H22" ca="1">INDIRECT("'C Impact of Technique'!M" &amp; 3 + (ROW(A18)-1)*4)</f>
        <v>1067.2328</v>
      </c>
      <c r="I22" s="64" cm="1">
        <f t="array" aca="1" ref="I22" ca="1">INDIRECT("'C Impact of Technique'!M" &amp; 4 + (ROW(A18)-1)*4)</f>
        <v>1591.7958000000001</v>
      </c>
      <c r="J22" s="64" cm="1">
        <f t="array" aca="1" ref="J22" ca="1">INDIRECT("'C Impact of Technique'!Q" &amp; 3 + (ROW(A18)-1)*4)*100</f>
        <v>49.151693988415659</v>
      </c>
      <c r="K22" s="64">
        <v>2.8719490663203402E-11</v>
      </c>
      <c r="L22" s="64" t="s">
        <v>180</v>
      </c>
      <c r="M22" s="68" t="s">
        <v>61</v>
      </c>
      <c r="N22" s="64" cm="1">
        <f t="array" aca="1" ref="N22" ca="1">INDIRECT("'C Impact of Technique'!D" &amp; 5 + (ROW(A18)-1)*4)</f>
        <v>12.467000000000001</v>
      </c>
      <c r="O22" s="64" cm="1">
        <f t="array" aca="1" ref="O22" ca="1">INDIRECT("'C Impact of Technique'!D" &amp; 6 + (ROW(A18)-1)*4)</f>
        <v>17.895</v>
      </c>
      <c r="P22" s="64" cm="1">
        <f t="array" aca="1" ref="P22" ca="1">INDIRECT("'C Impact of Technique'!N" &amp; 5 + (ROW(A18)-1)*4)*100</f>
        <v>43.538942809015794</v>
      </c>
      <c r="Q22" s="64">
        <v>2.8719490663203402E-11</v>
      </c>
      <c r="R22" s="64" t="s">
        <v>180</v>
      </c>
      <c r="S22" s="64" cm="1">
        <f t="array" aca="1" ref="S22" ca="1">INDIRECT("'C Impact of Technique'!M" &amp; 5 + (ROW(A18)-1)*4)</f>
        <v>850.62341000000004</v>
      </c>
      <c r="T22" s="64" cm="1">
        <f t="array" aca="1" ref="T22" ca="1">INDIRECT("'C Impact of Technique'!M" &amp; 6 + (ROW(A18)-1)*4)</f>
        <v>1205.2282499999999</v>
      </c>
      <c r="U22" s="64" cm="1">
        <f t="array" aca="1" ref="U22" ca="1">INDIRECT("'C Impact of Technique'!Q" &amp; 5 + (ROW(A18)-1)*4)*100</f>
        <v>41.687641773226041</v>
      </c>
      <c r="V22" s="64">
        <v>2.8719490663203402E-11</v>
      </c>
      <c r="W22" s="64" t="s">
        <v>180</v>
      </c>
      <c r="X22" s="64">
        <f t="shared" ca="1" si="0"/>
        <v>45.419667880820853</v>
      </c>
    </row>
    <row r="23" spans="2:24" x14ac:dyDescent="0.25">
      <c r="B23" s="66" t="s">
        <v>63</v>
      </c>
      <c r="C23" s="64" cm="1">
        <f t="array" aca="1" ref="C23" ca="1">INDIRECT("'C Impact of Technique'!D" &amp; 3 + (ROW(A19)-1)*4)</f>
        <v>1.0469999999999999</v>
      </c>
      <c r="D23" s="64" cm="1">
        <f t="array" aca="1" ref="D23" ca="1">INDIRECT("'C Impact of Technique'!D" &amp; 4 + (ROW(A19)-1)*4)</f>
        <v>1.048</v>
      </c>
      <c r="E23" s="64" cm="1">
        <f t="array" aca="1" ref="E23" ca="1">INDIRECT("'C Impact of Technique'!N" &amp; 3 + (ROW(A19)-1)*4)*100</f>
        <v>9.5510983763143459E-2</v>
      </c>
      <c r="F23" s="67">
        <v>0.64672457734348421</v>
      </c>
      <c r="G23" s="4" t="s">
        <v>210</v>
      </c>
      <c r="H23" s="64" cm="1">
        <f t="array" aca="1" ref="H23" ca="1">INDIRECT("'C Impact of Technique'!M" &amp; 3 + (ROW(A19)-1)*4)</f>
        <v>32.226660000000003</v>
      </c>
      <c r="I23" s="64" cm="1">
        <f t="array" aca="1" ref="I23" ca="1">INDIRECT("'C Impact of Technique'!M" &amp; 4 + (ROW(A19)-1)*4)</f>
        <v>31.743919999999999</v>
      </c>
      <c r="J23" s="64" cm="1">
        <f t="array" aca="1" ref="J23" ca="1">INDIRECT("'C Impact of Technique'!Q" &amp; 3 + (ROW(A19)-1)*4)*100</f>
        <v>-1.4979523164982138</v>
      </c>
      <c r="K23" s="64">
        <v>0.23690664278331564</v>
      </c>
      <c r="L23" s="64" t="s">
        <v>210</v>
      </c>
      <c r="M23" s="68" t="s">
        <v>63</v>
      </c>
      <c r="N23" s="64" cm="1">
        <f t="array" aca="1" ref="N23" ca="1">INDIRECT("'C Impact of Technique'!D" &amp; 5 + (ROW(A19)-1)*4)</f>
        <v>1.0469999999999999</v>
      </c>
      <c r="O23" s="64" cm="1">
        <f t="array" aca="1" ref="O23" ca="1">INDIRECT("'C Impact of Technique'!D" &amp; 6 + (ROW(A19)-1)*4)</f>
        <v>1.0469999999999999</v>
      </c>
      <c r="P23" s="64" cm="1">
        <f t="array" aca="1" ref="P23" ca="1">INDIRECT("'C Impact of Technique'!N" &amp; 5 + (ROW(A19)-1)*4)*100</f>
        <v>0</v>
      </c>
      <c r="Q23" s="64">
        <v>0.63614068577024607</v>
      </c>
      <c r="R23" s="64" t="s">
        <v>210</v>
      </c>
      <c r="S23" s="64" cm="1">
        <f t="array" aca="1" ref="S23" ca="1">INDIRECT("'C Impact of Technique'!M" &amp; 5 + (ROW(A19)-1)*4)</f>
        <v>25.243169999999999</v>
      </c>
      <c r="T23" s="64" cm="1">
        <f t="array" aca="1" ref="T23" ca="1">INDIRECT("'C Impact of Technique'!M" &amp; 6 + (ROW(A19)-1)*4)</f>
        <v>24.635909999999999</v>
      </c>
      <c r="U23" s="64" cm="1">
        <f t="array" aca="1" ref="U23" ca="1">INDIRECT("'C Impact of Technique'!Q" &amp; 5 + (ROW(A19)-1)*4)*100</f>
        <v>-2.4056408129406894</v>
      </c>
      <c r="V23" s="64">
        <v>0.12967022490828184</v>
      </c>
      <c r="W23" s="64" t="s">
        <v>210</v>
      </c>
      <c r="X23" s="64">
        <f t="shared" ca="1" si="0"/>
        <v>-1.9517965647194515</v>
      </c>
    </row>
    <row r="24" spans="2:24" x14ac:dyDescent="0.25">
      <c r="B24" s="66" t="s">
        <v>65</v>
      </c>
      <c r="C24" s="64" cm="1">
        <f t="array" aca="1" ref="C24" ca="1">INDIRECT("'C Impact of Technique'!D" &amp; 3 + (ROW(A20)-1)*4)</f>
        <v>1.0469999999999999</v>
      </c>
      <c r="D24" s="64" cm="1">
        <f t="array" aca="1" ref="D24" ca="1">INDIRECT("'C Impact of Technique'!D" &amp; 4 + (ROW(A20)-1)*4)</f>
        <v>1.0469999999999999</v>
      </c>
      <c r="E24" s="64" cm="1">
        <f t="array" aca="1" ref="E24" ca="1">INDIRECT("'C Impact of Technique'!N" &amp; 3 + (ROW(A20)-1)*4)*100</f>
        <v>0</v>
      </c>
      <c r="F24" s="67">
        <v>0.34782778297581163</v>
      </c>
      <c r="G24" s="4" t="s">
        <v>210</v>
      </c>
      <c r="H24" s="64" cm="1">
        <f t="array" aca="1" ref="H24" ca="1">INDIRECT("'C Impact of Technique'!M" &amp; 3 + (ROW(A20)-1)*4)</f>
        <v>27.399989999999999</v>
      </c>
      <c r="I24" s="64" cm="1">
        <f t="array" aca="1" ref="I24" ca="1">INDIRECT("'C Impact of Technique'!M" &amp; 4 + (ROW(A20)-1)*4)</f>
        <v>27.002130000000001</v>
      </c>
      <c r="J24" s="64" cm="1">
        <f t="array" aca="1" ref="J24" ca="1">INDIRECT("'C Impact of Technique'!Q" &amp; 3 + (ROW(A20)-1)*4)*100</f>
        <v>-1.4520443255636148</v>
      </c>
      <c r="K24" s="64">
        <v>0.5742467278315232</v>
      </c>
      <c r="L24" s="64" t="s">
        <v>210</v>
      </c>
      <c r="M24" s="68" t="s">
        <v>65</v>
      </c>
      <c r="N24" s="64" cm="1">
        <f t="array" aca="1" ref="N24" ca="1">INDIRECT("'C Impact of Technique'!D" &amp; 5 + (ROW(A20)-1)*4)</f>
        <v>1.0469999999999999</v>
      </c>
      <c r="O24" s="64" cm="1">
        <f t="array" aca="1" ref="O24" ca="1">INDIRECT("'C Impact of Technique'!D" &amp; 6 + (ROW(A20)-1)*4)</f>
        <v>1.0469999999999999</v>
      </c>
      <c r="P24" s="64" cm="1">
        <f t="array" aca="1" ref="P24" ca="1">INDIRECT("'C Impact of Technique'!N" &amp; 5 + (ROW(A20)-1)*4)*100</f>
        <v>0</v>
      </c>
      <c r="Q24" s="64">
        <v>0.71167262548731269</v>
      </c>
      <c r="R24" s="64" t="s">
        <v>210</v>
      </c>
      <c r="S24" s="64" cm="1">
        <f t="array" aca="1" ref="S24" ca="1">INDIRECT("'C Impact of Technique'!M" &amp; 5 + (ROW(A20)-1)*4)</f>
        <v>22.248750000000001</v>
      </c>
      <c r="T24" s="64" cm="1">
        <f t="array" aca="1" ref="T24" ca="1">INDIRECT("'C Impact of Technique'!M" &amp; 6 + (ROW(A20)-1)*4)</f>
        <v>23.7669</v>
      </c>
      <c r="U24" s="64" cm="1">
        <f t="array" aca="1" ref="U24" ca="1">INDIRECT("'C Impact of Technique'!Q" &amp; 5 + (ROW(A20)-1)*4)*100</f>
        <v>6.8235294117646994</v>
      </c>
      <c r="V24" s="64">
        <v>2.3222300161164725E-3</v>
      </c>
      <c r="W24" s="64" t="s">
        <v>210</v>
      </c>
      <c r="X24" s="64">
        <f t="shared" ca="1" si="0"/>
        <v>2.6857425431005422</v>
      </c>
    </row>
    <row r="25" spans="2:24" x14ac:dyDescent="0.25">
      <c r="B25" s="66" t="s">
        <v>71</v>
      </c>
      <c r="C25" s="64" cm="1">
        <f t="array" aca="1" ref="C25" ca="1">INDIRECT("'C Impact of Technique'!D" &amp; 3 + (ROW(A21)-1)*4)</f>
        <v>4.1890000000000001</v>
      </c>
      <c r="D25" s="64" cm="1">
        <f t="array" aca="1" ref="D25" ca="1">INDIRECT("'C Impact of Technique'!D" &amp; 4 + (ROW(A21)-1)*4)</f>
        <v>4.7119999999999997</v>
      </c>
      <c r="E25" s="64" cm="1">
        <f t="array" aca="1" ref="E25" ca="1">INDIRECT("'C Impact of Technique'!N" &amp; 3 + (ROW(A21)-1)*4)*100</f>
        <v>12.485079971353537</v>
      </c>
      <c r="F25" s="67">
        <v>2.8719490663203402E-11</v>
      </c>
      <c r="G25" s="4" t="s">
        <v>180</v>
      </c>
      <c r="H25" s="64" cm="1">
        <f t="array" aca="1" ref="H25" ca="1">INDIRECT("'C Impact of Technique'!M" &amp; 3 + (ROW(A21)-1)*4)</f>
        <v>193.02912000000001</v>
      </c>
      <c r="I25" s="64" cm="1">
        <f t="array" aca="1" ref="I25" ca="1">INDIRECT("'C Impact of Technique'!M" &amp; 4 + (ROW(A21)-1)*4)</f>
        <v>201.01392000000001</v>
      </c>
      <c r="J25" s="64" cm="1">
        <f t="array" aca="1" ref="J25" ca="1">INDIRECT("'C Impact of Technique'!Q" &amp; 3 + (ROW(A21)-1)*4)*100</f>
        <v>4.1365779422296525</v>
      </c>
      <c r="K25" s="64">
        <v>8.8642889365167536E-9</v>
      </c>
      <c r="L25" s="64" t="s">
        <v>180</v>
      </c>
      <c r="M25" s="68" t="s">
        <v>71</v>
      </c>
      <c r="N25" s="64" cm="1">
        <f t="array" aca="1" ref="N25" ca="1">INDIRECT("'C Impact of Technique'!D" &amp; 5 + (ROW(A21)-1)*4)</f>
        <v>0.52400000000000002</v>
      </c>
      <c r="O25" s="64" cm="1">
        <f t="array" aca="1" ref="O25" ca="1">INDIRECT("'C Impact of Technique'!D" &amp; 6 + (ROW(A21)-1)*4)</f>
        <v>0.52300000000000002</v>
      </c>
      <c r="P25" s="64" cm="1">
        <f t="array" aca="1" ref="P25" ca="1">INDIRECT("'C Impact of Technique'!N" &amp; 5 + (ROW(A21)-1)*4)*100</f>
        <v>-0.19083969465648873</v>
      </c>
      <c r="Q25" s="64">
        <v>0.32917742467820887</v>
      </c>
      <c r="R25" s="64" t="s">
        <v>179</v>
      </c>
      <c r="S25" s="64" cm="1">
        <f t="array" aca="1" ref="S25" ca="1">INDIRECT("'C Impact of Technique'!M" &amp; 5 + (ROW(A21)-1)*4)</f>
        <v>9.0232799999999997</v>
      </c>
      <c r="T25" s="64" cm="1">
        <f t="array" aca="1" ref="T25" ca="1">INDIRECT("'C Impact of Technique'!M" &amp; 6 + (ROW(A21)-1)*4)</f>
        <v>9.2466400000000011</v>
      </c>
      <c r="U25" s="64" cm="1">
        <f t="array" aca="1" ref="U25" ca="1">INDIRECT("'C Impact of Technique'!Q" &amp; 5 + (ROW(A21)-1)*4)*100</f>
        <v>2.4753748082737248</v>
      </c>
      <c r="V25" s="64">
        <v>0.5444075540129325</v>
      </c>
      <c r="W25" s="64" t="s">
        <v>179</v>
      </c>
      <c r="X25" s="64">
        <f t="shared" ca="1" si="0"/>
        <v>3.3059763752516886</v>
      </c>
    </row>
    <row r="26" spans="2:24" x14ac:dyDescent="0.25">
      <c r="B26" s="66" t="s">
        <v>79</v>
      </c>
      <c r="C26" s="64" cm="1">
        <f t="array" aca="1" ref="C26" ca="1">INDIRECT("'C Impact of Technique'!D" &amp; 3 + (ROW(A22)-1)*4)</f>
        <v>11.519</v>
      </c>
      <c r="D26" s="64" cm="1">
        <f t="array" aca="1" ref="D26" ca="1">INDIRECT("'C Impact of Technique'!D" &amp; 4 + (ROW(A22)-1)*4)</f>
        <v>10.023</v>
      </c>
      <c r="E26" s="64" cm="1">
        <f t="array" aca="1" ref="E26" ca="1">INDIRECT("'C Impact of Technique'!N" &amp; 3 + (ROW(A22)-1)*4)*100</f>
        <v>-12.987238475562119</v>
      </c>
      <c r="F26" s="67">
        <v>2.8719490663203402E-11</v>
      </c>
      <c r="G26" s="4" t="s">
        <v>180</v>
      </c>
      <c r="H26" s="64" cm="1">
        <f t="array" aca="1" ref="H26" ca="1">INDIRECT("'C Impact of Technique'!M" &amp; 3 + (ROW(A22)-1)*4)</f>
        <v>695.97798</v>
      </c>
      <c r="I26" s="64" cm="1">
        <f t="array" aca="1" ref="I26" ca="1">INDIRECT("'C Impact of Technique'!M" &amp; 4 + (ROW(A22)-1)*4)</f>
        <v>568.70501999999999</v>
      </c>
      <c r="J26" s="64" cm="1">
        <f t="array" aca="1" ref="J26" ca="1">INDIRECT("'C Impact of Technique'!Q" &amp; 3 + (ROW(A22)-1)*4)*100</f>
        <v>-18.286923388007192</v>
      </c>
      <c r="K26" s="64">
        <v>2.8719490663203402E-11</v>
      </c>
      <c r="L26" s="64" t="s">
        <v>180</v>
      </c>
      <c r="M26" s="68" t="s">
        <v>79</v>
      </c>
      <c r="N26" s="64" cm="1">
        <f t="array" aca="1" ref="N26" ca="1">INDIRECT("'C Impact of Technique'!D" &amp; 5 + (ROW(A22)-1)*4)</f>
        <v>6.2149999999999999</v>
      </c>
      <c r="O26" s="64" cm="1">
        <f t="array" aca="1" ref="O26" ca="1">INDIRECT("'C Impact of Technique'!D" &amp; 6 + (ROW(A22)-1)*4)</f>
        <v>1.577</v>
      </c>
      <c r="P26" s="64" cm="1">
        <f t="array" aca="1" ref="P26" ca="1">INDIRECT("'C Impact of Technique'!N" &amp; 5 + (ROW(A22)-1)*4)*100</f>
        <v>-74.625905068382949</v>
      </c>
      <c r="Q26" s="64">
        <v>2.8719490663203402E-11</v>
      </c>
      <c r="R26" s="64" t="s">
        <v>180</v>
      </c>
      <c r="S26" s="64" cm="1">
        <f t="array" aca="1" ref="S26" ca="1">INDIRECT("'C Impact of Technique'!M" &amp; 5 + (ROW(A22)-1)*4)</f>
        <v>328.64920000000001</v>
      </c>
      <c r="T26" s="64" cm="1">
        <f t="array" aca="1" ref="T26" ca="1">INDIRECT("'C Impact of Technique'!M" &amp; 6 + (ROW(A22)-1)*4)</f>
        <v>63.553099999999993</v>
      </c>
      <c r="U26" s="64" cm="1">
        <f t="array" aca="1" ref="U26" ca="1">INDIRECT("'C Impact of Technique'!Q" &amp; 5 + (ROW(A22)-1)*4)*100</f>
        <v>-80.662329316487018</v>
      </c>
      <c r="V26" s="64">
        <v>2.8719490663203402E-11</v>
      </c>
      <c r="W26" s="64" t="s">
        <v>180</v>
      </c>
      <c r="X26" s="64">
        <f t="shared" ca="1" si="0"/>
        <v>-49.474626352247107</v>
      </c>
    </row>
    <row r="27" spans="2:24" x14ac:dyDescent="0.25">
      <c r="B27" s="66" t="s">
        <v>87</v>
      </c>
      <c r="C27" s="64" cm="1">
        <f t="array" aca="1" ref="C27" ca="1">INDIRECT("'C Impact of Technique'!D" &amp; 3 + (ROW(A23)-1)*4)</f>
        <v>1.0469999999999999</v>
      </c>
      <c r="D27" s="64" cm="1">
        <f t="array" aca="1" ref="D27" ca="1">INDIRECT("'C Impact of Technique'!D" &amp; 4 + (ROW(A23)-1)*4)</f>
        <v>1.0469999999999999</v>
      </c>
      <c r="E27" s="64" cm="1">
        <f t="array" aca="1" ref="E27" ca="1">INDIRECT("'C Impact of Technique'!N" &amp; 3 + (ROW(A23)-1)*4)*100</f>
        <v>0</v>
      </c>
      <c r="F27" s="67">
        <v>0.77878396894228874</v>
      </c>
      <c r="G27" s="4" t="s">
        <v>210</v>
      </c>
      <c r="H27" s="64" cm="1">
        <f t="array" aca="1" ref="H27" ca="1">INDIRECT("'C Impact of Technique'!M" &amp; 3 + (ROW(A23)-1)*4)</f>
        <v>23.787839999999999</v>
      </c>
      <c r="I27" s="64" cm="1">
        <f t="array" aca="1" ref="I27" ca="1">INDIRECT("'C Impact of Technique'!M" &amp; 4 + (ROW(A23)-1)*4)</f>
        <v>23.243400000000001</v>
      </c>
      <c r="J27" s="64" cm="1">
        <f t="array" aca="1" ref="J27" ca="1">INDIRECT("'C Impact of Technique'!Q" &amp; 3 + (ROW(A23)-1)*4)*100</f>
        <v>-2.288732394366189</v>
      </c>
      <c r="K27" s="64">
        <v>0.46427291062161513</v>
      </c>
      <c r="L27" s="64" t="s">
        <v>210</v>
      </c>
      <c r="M27" s="68" t="s">
        <v>87</v>
      </c>
      <c r="N27" s="64" cm="1">
        <f t="array" aca="1" ref="N27" ca="1">INDIRECT("'C Impact of Technique'!D" &amp; 5 + (ROW(A23)-1)*4)</f>
        <v>0.54100000000000004</v>
      </c>
      <c r="O27" s="64" cm="1">
        <f t="array" aca="1" ref="O27" ca="1">INDIRECT("'C Impact of Technique'!D" &amp; 6 + (ROW(A23)-1)*4)</f>
        <v>0.52300000000000002</v>
      </c>
      <c r="P27" s="64" cm="1">
        <f t="array" aca="1" ref="P27" ca="1">INDIRECT("'C Impact of Technique'!N" &amp; 5 + (ROW(A23)-1)*4)*100</f>
        <v>-3.3271719038817031</v>
      </c>
      <c r="Q27" s="64">
        <v>0.23398891628105833</v>
      </c>
      <c r="R27" s="64" t="s">
        <v>210</v>
      </c>
      <c r="S27" s="64" cm="1">
        <f t="array" aca="1" ref="S27" ca="1">INDIRECT("'C Impact of Technique'!M" &amp; 5 + (ROW(A23)-1)*4)</f>
        <v>11.32854</v>
      </c>
      <c r="T27" s="64" cm="1">
        <f t="array" aca="1" ref="T27" ca="1">INDIRECT("'C Impact of Technique'!M" &amp; 6 + (ROW(A23)-1)*4)</f>
        <v>10.78426</v>
      </c>
      <c r="U27" s="64" cm="1">
        <f t="array" aca="1" ref="U27" ca="1">INDIRECT("'C Impact of Technique'!Q" &amp; 5 + (ROW(A23)-1)*4)*100</f>
        <v>-4.8045026102216219</v>
      </c>
      <c r="V27" s="64">
        <v>0.17612754548398757</v>
      </c>
      <c r="W27" s="64" t="s">
        <v>210</v>
      </c>
      <c r="X27" s="64">
        <f t="shared" ca="1" si="0"/>
        <v>-3.5466175022939055</v>
      </c>
    </row>
    <row r="28" spans="2:24" x14ac:dyDescent="0.25">
      <c r="B28" s="66" t="s">
        <v>91</v>
      </c>
      <c r="C28" s="64" cm="1">
        <f t="array" aca="1" ref="C28" ca="1">INDIRECT("'C Impact of Technique'!D" &amp; 3 + (ROW(A24)-1)*4)</f>
        <v>4.7119999999999997</v>
      </c>
      <c r="D28" s="64" cm="1">
        <f t="array" aca="1" ref="D28" ca="1">INDIRECT("'C Impact of Technique'!D" &amp; 4 + (ROW(A24)-1)*4)</f>
        <v>4.1890000000000001</v>
      </c>
      <c r="E28" s="64" cm="1">
        <f t="array" aca="1" ref="E28" ca="1">INDIRECT("'C Impact of Technique'!N" &amp; 3 + (ROW(A24)-1)*4)*100</f>
        <v>-11.099320882852286</v>
      </c>
      <c r="F28" s="67">
        <v>2.8719490663203402E-11</v>
      </c>
      <c r="G28" s="4" t="s">
        <v>180</v>
      </c>
      <c r="H28" s="64" cm="1">
        <f t="array" aca="1" ref="H28" ca="1">INDIRECT("'C Impact of Technique'!M" &amp; 3 + (ROW(A24)-1)*4)</f>
        <v>230.88800000000001</v>
      </c>
      <c r="I28" s="64" cm="1">
        <f t="array" aca="1" ref="I28" ca="1">INDIRECT("'C Impact of Technique'!M" &amp; 4 + (ROW(A24)-1)*4)</f>
        <v>201.11389</v>
      </c>
      <c r="J28" s="64" cm="1">
        <f t="array" aca="1" ref="J28" ca="1">INDIRECT("'C Impact of Technique'!Q" &amp; 3 + (ROW(A24)-1)*4)*100</f>
        <v>-12.895477460933444</v>
      </c>
      <c r="K28" s="64">
        <v>2.8719490663203402E-11</v>
      </c>
      <c r="L28" s="64" t="s">
        <v>180</v>
      </c>
      <c r="M28" s="68" t="s">
        <v>91</v>
      </c>
      <c r="N28" s="64" cm="1">
        <f t="array" aca="1" ref="N28" ca="1">INDIRECT("'C Impact of Technique'!D" &amp; 5 + (ROW(A24)-1)*4)</f>
        <v>0.52300000000000002</v>
      </c>
      <c r="O28" s="64" cm="1">
        <f t="array" aca="1" ref="O28" ca="1">INDIRECT("'C Impact of Technique'!D" &amp; 6 + (ROW(A24)-1)*4)</f>
        <v>1.571</v>
      </c>
      <c r="P28" s="64" cm="1">
        <f t="array" aca="1" ref="P28" ca="1">INDIRECT("'C Impact of Technique'!N" &amp; 5 + (ROW(A24)-1)*4)*100</f>
        <v>200.38240917782025</v>
      </c>
      <c r="Q28" s="64">
        <v>2.8719490663203402E-11</v>
      </c>
      <c r="R28" s="64" t="s">
        <v>180</v>
      </c>
      <c r="S28" s="64" cm="1">
        <f t="array" aca="1" ref="S28" ca="1">INDIRECT("'C Impact of Technique'!M" &amp; 5 + (ROW(A24)-1)*4)</f>
        <v>11.79888</v>
      </c>
      <c r="T28" s="64" cm="1">
        <f t="array" aca="1" ref="T28" ca="1">INDIRECT("'C Impact of Technique'!M" &amp; 6 + (ROW(A24)-1)*4)</f>
        <v>54.010980000000004</v>
      </c>
      <c r="U28" s="64" cm="1">
        <f t="array" aca="1" ref="U28" ca="1">INDIRECT("'C Impact of Technique'!Q" &amp; 5 + (ROW(A24)-1)*4)*100</f>
        <v>357.76361824173148</v>
      </c>
      <c r="V28" s="64">
        <v>2.8719490663203402E-11</v>
      </c>
      <c r="W28" s="64" t="s">
        <v>180</v>
      </c>
      <c r="X28" s="64">
        <f t="shared" ca="1" si="0"/>
        <v>172.43407039039903</v>
      </c>
    </row>
    <row r="29" spans="2:24" x14ac:dyDescent="0.25">
      <c r="B29" s="66" t="s">
        <v>93</v>
      </c>
      <c r="C29" s="64" cm="1">
        <f t="array" aca="1" ref="C29" ca="1">INDIRECT("'C Impact of Technique'!D" &amp; 3 + (ROW(A25)-1)*4)</f>
        <v>403.29399999999998</v>
      </c>
      <c r="D29" s="64" cm="1">
        <f t="array" aca="1" ref="D29" ca="1">INDIRECT("'C Impact of Technique'!D" &amp; 4 + (ROW(A25)-1)*4)</f>
        <v>155.691</v>
      </c>
      <c r="E29" s="64" cm="1">
        <f t="array" aca="1" ref="E29" ca="1">INDIRECT("'C Impact of Technique'!N" &amp; 3 + (ROW(A25)-1)*4)*100</f>
        <v>-61.395160850396977</v>
      </c>
      <c r="F29" s="67">
        <v>2.8719490663203402E-11</v>
      </c>
      <c r="G29" s="4" t="s">
        <v>180</v>
      </c>
      <c r="H29" s="64" cm="1">
        <f t="array" aca="1" ref="H29" ca="1">INDIRECT("'C Impact of Technique'!M" &amp; 3 + (ROW(A25)-1)*4)</f>
        <v>23673.357800000002</v>
      </c>
      <c r="I29" s="64" cm="1">
        <f t="array" aca="1" ref="I29" ca="1">INDIRECT("'C Impact of Technique'!M" &amp; 4 + (ROW(A25)-1)*4)</f>
        <v>9592.1225099999992</v>
      </c>
      <c r="J29" s="64" cm="1">
        <f t="array" aca="1" ref="J29" ca="1">INDIRECT("'C Impact of Technique'!Q" &amp; 3 + (ROW(A25)-1)*4)*100</f>
        <v>-59.48136047688174</v>
      </c>
      <c r="K29" s="64">
        <v>2.8719490663203402E-11</v>
      </c>
      <c r="L29" s="64" t="s">
        <v>180</v>
      </c>
      <c r="M29" s="68" t="s">
        <v>93</v>
      </c>
      <c r="N29" s="64" cm="1">
        <f t="array" aca="1" ref="N29" ca="1">INDIRECT("'C Impact of Technique'!D" &amp; 5 + (ROW(A25)-1)*4)</f>
        <v>16.832999999999998</v>
      </c>
      <c r="O29" s="64" cm="1">
        <f t="array" aca="1" ref="O29" ca="1">INDIRECT("'C Impact of Technique'!D" &amp; 6 + (ROW(A25)-1)*4)</f>
        <v>14.205</v>
      </c>
      <c r="P29" s="64" cm="1">
        <f t="array" aca="1" ref="P29" ca="1">INDIRECT("'C Impact of Technique'!N" &amp; 5 + (ROW(A25)-1)*4)*100</f>
        <v>-15.612190340402771</v>
      </c>
      <c r="Q29" s="64">
        <v>2.8719490663203402E-11</v>
      </c>
      <c r="R29" s="64" t="s">
        <v>180</v>
      </c>
      <c r="S29" s="64" cm="1">
        <f t="array" aca="1" ref="S29" ca="1">INDIRECT("'C Impact of Technique'!M" &amp; 5 + (ROW(A25)-1)*4)</f>
        <v>947.0245799999999</v>
      </c>
      <c r="T29" s="64" cm="1">
        <f t="array" aca="1" ref="T29" ca="1">INDIRECT("'C Impact of Technique'!M" &amp; 6 + (ROW(A25)-1)*4)</f>
        <v>792.92309999999998</v>
      </c>
      <c r="U29" s="64" cm="1">
        <f t="array" aca="1" ref="U29" ca="1">INDIRECT("'C Impact of Technique'!Q" &amp; 5 + (ROW(A25)-1)*4)*100</f>
        <v>-16.272173210118783</v>
      </c>
      <c r="V29" s="64">
        <v>2.8719490663203402E-11</v>
      </c>
      <c r="W29" s="64" t="s">
        <v>180</v>
      </c>
      <c r="X29" s="64">
        <f t="shared" ca="1" si="0"/>
        <v>-37.876766843500263</v>
      </c>
    </row>
    <row r="30" spans="2:24" x14ac:dyDescent="0.25">
      <c r="B30" s="23" t="s">
        <v>95</v>
      </c>
      <c r="C30" s="64" cm="1">
        <f t="array" aca="1" ref="C30" ca="1">INDIRECT("'C Impact of Technique'!D" &amp; 3 + (ROW(A26)-1)*4)</f>
        <v>90.43</v>
      </c>
      <c r="D30" s="64" cm="1">
        <f t="array" aca="1" ref="D30" ca="1">INDIRECT("'C Impact of Technique'!D" &amp; 4 + (ROW(A26)-1)*4)</f>
        <v>66.108000000000004</v>
      </c>
      <c r="E30" s="64" cm="1">
        <f t="array" aca="1" ref="E30" ca="1">INDIRECT("'C Impact of Technique'!N" &amp; 3 + (ROW(A26)-1)*4)*100</f>
        <v>-26.895941612296802</v>
      </c>
      <c r="F30" s="67">
        <v>2.8719490663203402E-11</v>
      </c>
      <c r="G30" s="4" t="s">
        <v>180</v>
      </c>
      <c r="H30" s="64" cm="1">
        <f t="array" aca="1" ref="H30" ca="1">INDIRECT("'C Impact of Technique'!M" &amp; 3 + (ROW(A26)-1)*4)</f>
        <v>5767.6254000000008</v>
      </c>
      <c r="I30" s="64" cm="1">
        <f t="array" aca="1" ref="I30" ca="1">INDIRECT("'C Impact of Technique'!M" &amp; 4 + (ROW(A26)-1)*4)</f>
        <v>4180.6699200000003</v>
      </c>
      <c r="J30" s="64" cm="1">
        <f t="array" aca="1" ref="J30" ca="1">INDIRECT("'C Impact of Technique'!Q" &amp; 3 + (ROW(A26)-1)*4)*100</f>
        <v>-27.514884721882254</v>
      </c>
      <c r="K30" s="64">
        <v>2.8719490663203402E-11</v>
      </c>
      <c r="L30" s="64" t="s">
        <v>180</v>
      </c>
      <c r="M30" s="69" t="s">
        <v>95</v>
      </c>
      <c r="N30" s="64" cm="1">
        <f t="array" aca="1" ref="N30" ca="1">INDIRECT("'C Impact of Technique'!D" &amp; 5 + (ROW(A26)-1)*4)</f>
        <v>33.162999999999997</v>
      </c>
      <c r="O30" s="64" cm="1">
        <f t="array" aca="1" ref="O30" ca="1">INDIRECT("'C Impact of Technique'!D" &amp; 6 + (ROW(A26)-1)*4)</f>
        <v>24.193999999999999</v>
      </c>
      <c r="P30" s="64" cm="1">
        <f t="array" aca="1" ref="P30" ca="1">INDIRECT("'C Impact of Technique'!N" &amp; 5 + (ROW(A26)-1)*4)*100</f>
        <v>-27.04520097699243</v>
      </c>
      <c r="Q30" s="64">
        <v>2.8719490663203402E-11</v>
      </c>
      <c r="R30" s="64" t="s">
        <v>180</v>
      </c>
      <c r="S30" s="64" cm="1">
        <f t="array" aca="1" ref="S30" ca="1">INDIRECT("'C Impact of Technique'!M" &amp; 5 + (ROW(A26)-1)*4)</f>
        <v>2127.7380800000001</v>
      </c>
      <c r="T30" s="64" cm="1">
        <f t="array" aca="1" ref="T30" ca="1">INDIRECT("'C Impact of Technique'!M" &amp; 6 + (ROW(A26)-1)*4)</f>
        <v>1511.15724</v>
      </c>
      <c r="U30" s="64" cm="1">
        <f t="array" aca="1" ref="U30" ca="1">INDIRECT("'C Impact of Technique'!Q" &amp; 5 + (ROW(A26)-1)*4)*100</f>
        <v>-28.978230252851422</v>
      </c>
      <c r="V30" s="64">
        <v>2.8719490663203402E-11</v>
      </c>
      <c r="W30" s="64" t="s">
        <v>180</v>
      </c>
      <c r="X30" s="64">
        <f t="shared" ca="1" si="0"/>
        <v>-28.246557487366836</v>
      </c>
    </row>
    <row r="32" spans="2:24" ht="18.75" x14ac:dyDescent="0.3">
      <c r="B32" s="108" t="s">
        <v>149</v>
      </c>
      <c r="C32" s="109"/>
      <c r="D32" s="109"/>
      <c r="E32" s="109"/>
      <c r="F32" s="109"/>
      <c r="G32" s="109"/>
      <c r="H32" s="109"/>
      <c r="I32" s="109"/>
      <c r="J32" s="109"/>
      <c r="K32" s="109"/>
      <c r="L32" s="109"/>
      <c r="M32" s="109"/>
      <c r="N32" s="109"/>
      <c r="O32" s="110"/>
    </row>
    <row r="33" spans="2:15" ht="15.75" x14ac:dyDescent="0.25">
      <c r="B33" s="105" t="s">
        <v>205</v>
      </c>
      <c r="C33" s="106"/>
      <c r="D33" s="106"/>
      <c r="E33" s="107"/>
      <c r="F33" s="70"/>
      <c r="G33" s="105" t="s">
        <v>205</v>
      </c>
      <c r="H33" s="106"/>
      <c r="I33" s="106"/>
      <c r="J33" s="107"/>
      <c r="K33" s="70"/>
      <c r="L33" s="105" t="s">
        <v>205</v>
      </c>
      <c r="M33" s="106"/>
      <c r="N33" s="106"/>
      <c r="O33" s="107"/>
    </row>
    <row r="34" spans="2:15" x14ac:dyDescent="0.25">
      <c r="B34" s="82" t="s">
        <v>143</v>
      </c>
      <c r="C34" s="83"/>
      <c r="D34" s="83"/>
      <c r="E34" s="84"/>
      <c r="F34" s="71"/>
      <c r="G34" s="82" t="s">
        <v>144</v>
      </c>
      <c r="H34" s="83"/>
      <c r="I34" s="83"/>
      <c r="J34" s="84"/>
      <c r="K34" s="71"/>
      <c r="L34" s="82" t="s">
        <v>216</v>
      </c>
      <c r="M34" s="83"/>
      <c r="N34" s="83"/>
      <c r="O34" s="84"/>
    </row>
    <row r="35" spans="2:15" x14ac:dyDescent="0.25">
      <c r="B35" s="39" t="s">
        <v>149</v>
      </c>
      <c r="C35" s="40" t="s">
        <v>173</v>
      </c>
      <c r="D35" s="40" t="s">
        <v>174</v>
      </c>
      <c r="E35" s="41" t="s">
        <v>175</v>
      </c>
      <c r="F35" s="71"/>
      <c r="G35" s="39" t="s">
        <v>149</v>
      </c>
      <c r="H35" s="40" t="s">
        <v>173</v>
      </c>
      <c r="I35" s="40" t="s">
        <v>174</v>
      </c>
      <c r="J35" s="41" t="s">
        <v>175</v>
      </c>
      <c r="K35" s="71"/>
      <c r="L35" s="39" t="s">
        <v>149</v>
      </c>
      <c r="M35" s="40" t="s">
        <v>173</v>
      </c>
      <c r="N35" s="40" t="s">
        <v>174</v>
      </c>
      <c r="O35" s="41" t="s">
        <v>175</v>
      </c>
    </row>
    <row r="36" spans="2:15" x14ac:dyDescent="0.25">
      <c r="B36" s="5" t="s">
        <v>176</v>
      </c>
      <c r="C36" s="28" cm="1">
        <f t="array" aca="1" ref="C36" ca="1">AVERAGE(_xlfn._xlws.FILTER($J$5:$J$30, ISNUMBER(MATCH($B$5:$B$30, _xlfn.TEXTSPLIT(_xlfn.TEXTJOIN(", ", TRUE, AA6:AA8), ", "), 0))))</f>
        <v>-35.28010755179033</v>
      </c>
      <c r="D36" s="28" cm="1">
        <f t="array" aca="1" ref="D36" ca="1">MIN(_xlfn._xlws.FILTER($J$5:$J$30, ISNUMBER(MATCH($B$5:$B$30, _xlfn.TEXTSPLIT(_xlfn.TEXTJOIN(", ", TRUE, AA6:AA8), ", "), 0))))</f>
        <v>-99.557974719376517</v>
      </c>
      <c r="E36" s="28" cm="1">
        <f t="array" aca="1" ref="E36" ca="1">MAX(_xlfn._xlws.FILTER($J$5:$J$30, ISNUMBER(MATCH($B$5:$B$30, _xlfn.TEXTSPLIT(_xlfn.TEXTJOIN(", ", TRUE, AA6:AA8), ", "), 0))))</f>
        <v>-8.2830025884383076</v>
      </c>
      <c r="F36" s="71"/>
      <c r="G36" s="5" t="s">
        <v>176</v>
      </c>
      <c r="H36" s="28" cm="1">
        <f t="array" aca="1" ref="H36" ca="1">AVERAGE(_xlfn._xlws.FILTER($U$5:$U$30, ISNUMBER(MATCH($M$5:$M$30, _xlfn.TEXTSPLIT(_xlfn.TEXTJOIN(", ", TRUE, AD6:AD8), ", "), 0))))</f>
        <v>-45.33169578217538</v>
      </c>
      <c r="I36" s="28" cm="1">
        <f t="array" aca="1" ref="I36" ca="1">MIN(_xlfn._xlws.FILTER($U$5:$U$30, ISNUMBER(MATCH($M$5:$M$30, _xlfn.TEXTSPLIT(_xlfn.TEXTJOIN(", ", TRUE, AD6:AD8), ", "), 0))))</f>
        <v>-99.810559215391663</v>
      </c>
      <c r="J36" s="28" cm="1">
        <f t="array" aca="1" ref="J36" ca="1">MAX(_xlfn._xlws.FILTER($U$5:$U$30, ISNUMBER(MATCH($M$5:$M$30, _xlfn.TEXTSPLIT(_xlfn.TEXTJOIN(", ", TRUE, AD6:AD8), ", "), 0))))</f>
        <v>-4.8045026102216219</v>
      </c>
      <c r="K36" s="71"/>
      <c r="L36" s="5" t="s">
        <v>176</v>
      </c>
      <c r="M36" s="28">
        <f ca="1">AVERAGE(C36,H36)</f>
        <v>-40.305901666982855</v>
      </c>
      <c r="N36" s="28">
        <f ca="1">MIN(D36,I36)</f>
        <v>-99.810559215391663</v>
      </c>
      <c r="O36" s="28">
        <f ca="1">MAX(E36,J36)</f>
        <v>-4.8045026102216219</v>
      </c>
    </row>
    <row r="37" spans="2:15" x14ac:dyDescent="0.25">
      <c r="B37" s="5" t="s">
        <v>177</v>
      </c>
      <c r="C37" s="28" cm="1">
        <f t="array" aca="1" ref="C37" ca="1">AVERAGE(_xlfn._xlws.FILTER($J$5:$J$30, ISNUMBER(MATCH($B$5:$B$30, _xlfn.TEXTSPLIT(_xlfn.TEXTJOIN(", ", TRUE, AA9), ", "), 0))))</f>
        <v>-1.1081086783525587</v>
      </c>
      <c r="D37" s="28" cm="1">
        <f t="array" aca="1" ref="D37" ca="1">MIN(_xlfn._xlws.FILTER($J$5:$J$30, ISNUMBER(MATCH($B$5:$B$30, _xlfn.TEXTSPLIT(_xlfn.TEXTJOIN(", ", TRUE, AA9), ", "), 0))))</f>
        <v>-2.288732394366189</v>
      </c>
      <c r="E37" s="28" cm="1">
        <f t="array" aca="1" ref="E37" ca="1">MAX(_xlfn._xlws.FILTER($J$5:$J$30, ISNUMBER(MATCH($B$5:$B$30, _xlfn.TEXTSPLIT(_xlfn.TEXTJOIN(", ", TRUE, AA9), ", "), 0))))</f>
        <v>1.2525050100200537</v>
      </c>
      <c r="F37" s="71"/>
      <c r="G37" s="5" t="s">
        <v>177</v>
      </c>
      <c r="H37" s="28" cm="1">
        <f t="array" aca="1" ref="H37" ca="1">AVERAGE(_xlfn._xlws.FILTER($U$5:$U$30, ISNUMBER(MATCH($M$5:$M$30, _xlfn.TEXTSPLIT(_xlfn.TEXTJOIN(", ", TRUE, AD9), ", "), 0))))</f>
        <v>0.16948657909488851</v>
      </c>
      <c r="I37" s="28" cm="1">
        <f t="array" aca="1" ref="I37" ca="1">MIN(_xlfn._xlws.FILTER($U$5:$U$30, ISNUMBER(MATCH($M$5:$M$30, _xlfn.TEXTSPLIT(_xlfn.TEXTJOIN(", ", TRUE, AD9), ", "), 0))))</f>
        <v>-2.4056408129406894</v>
      </c>
      <c r="J37" s="28" cm="1">
        <f t="array" aca="1" ref="J37" ca="1">MAX(_xlfn._xlws.FILTER($U$5:$U$30, ISNUMBER(MATCH($M$5:$M$30, _xlfn.TEXTSPLIT(_xlfn.TEXTJOIN(", ", TRUE, AD9), ", "), 0))))</f>
        <v>2.4753748082737248</v>
      </c>
      <c r="K37" s="71"/>
      <c r="L37" s="5" t="s">
        <v>177</v>
      </c>
      <c r="M37" s="28">
        <f ca="1">AVERAGE(C37,H37)</f>
        <v>-0.46931104962883508</v>
      </c>
      <c r="N37" s="28">
        <f ca="1">MIN(D37,I37)</f>
        <v>-2.4056408129406894</v>
      </c>
      <c r="O37" s="28">
        <f ca="1">MAX(E37,J37)</f>
        <v>2.4753748082737248</v>
      </c>
    </row>
    <row r="38" spans="2:15" x14ac:dyDescent="0.25">
      <c r="B38" s="5" t="s">
        <v>178</v>
      </c>
      <c r="C38" s="28" cm="1">
        <f t="array" aca="1" ref="C38" ca="1">AVERAGE(_xlfn._xlws.FILTER($J$5:$J$30, ISNUMBER(MATCH($B$5:$B$30, _xlfn.TEXTSPLIT(_xlfn.TEXTJOIN(", ", TRUE, AA10:AA12), ", "), 0))))</f>
        <v>30.082509379525725</v>
      </c>
      <c r="D38" s="28" cm="1">
        <f t="array" aca="1" ref="D38" ca="1">MIN(_xlfn._xlws.FILTER($J$5:$J$30, ISNUMBER(MATCH($B$5:$B$30, _xlfn.TEXTSPLIT(_xlfn.TEXTJOIN(", ", TRUE, AA10:AA12), ", "), 0))))</f>
        <v>3.0779176122687697</v>
      </c>
      <c r="E38" s="28" cm="1">
        <f t="array" aca="1" ref="E38" ca="1">MAX(_xlfn._xlws.FILTER($J$5:$J$30, ISNUMBER(MATCH($B$5:$B$30, _xlfn.TEXTSPLIT(_xlfn.TEXTJOIN(", ", TRUE, AA10:AA12), ", "), 0))))</f>
        <v>53.467904623274102</v>
      </c>
      <c r="F38" s="71"/>
      <c r="G38" s="5" t="s">
        <v>178</v>
      </c>
      <c r="H38" s="28" cm="1">
        <f t="array" aca="1" ref="H38" ca="1">AVERAGE(_xlfn._xlws.FILTER($U$5:$U$30, ISNUMBER(MATCH($M$5:$M$30, _xlfn.TEXTSPLIT(_xlfn.TEXTJOIN(", ", TRUE, AD10:AD12), ", "), 0))))</f>
        <v>70.07932498455601</v>
      </c>
      <c r="I38" s="28" cm="1">
        <f t="array" aca="1" ref="I38" ca="1">MIN(_xlfn._xlws.FILTER($U$5:$U$30, ISNUMBER(MATCH($M$5:$M$30, _xlfn.TEXTSPLIT(_xlfn.TEXTJOIN(", ", TRUE, AD10:AD12), ", "), 0))))</f>
        <v>6.5358211860604047</v>
      </c>
      <c r="J38" s="28" cm="1">
        <f t="array" aca="1" ref="J38" ca="1">MAX(_xlfn._xlws.FILTER($U$5:$U$30, ISNUMBER(MATCH($M$5:$M$30, _xlfn.TEXTSPLIT(_xlfn.TEXTJOIN(", ", TRUE, AD10:AD12), ", "), 0))))</f>
        <v>357.76361824173148</v>
      </c>
      <c r="K38" s="71"/>
      <c r="L38" s="5" t="s">
        <v>178</v>
      </c>
      <c r="M38" s="28">
        <f ca="1">AVERAGE(C38,H38)</f>
        <v>50.080917182040864</v>
      </c>
      <c r="N38" s="28">
        <f ca="1">MIN(D38,I38)</f>
        <v>3.0779176122687697</v>
      </c>
      <c r="O38" s="28">
        <f ca="1">MAX(E38,J38)</f>
        <v>357.76361824173148</v>
      </c>
    </row>
    <row r="39" spans="2:15" x14ac:dyDescent="0.25">
      <c r="B39" s="5" t="s">
        <v>121</v>
      </c>
      <c r="C39" s="28" cm="1">
        <f t="array" aca="1" ref="C39" ca="1">AVERAGE(_xlfn._xlws.FILTER($J$5:$J$30, ISNUMBER(MATCH($B$5:$B$30, _xlfn.TEXTSPLIT(_xlfn.TEXTJOIN(", ", TRUE, AA6:AA12), ", "), 0))))</f>
        <v>-10.88160468573186</v>
      </c>
      <c r="D39" s="28" cm="1">
        <f t="array" aca="1" ref="D39" ca="1">MIN(_xlfn._xlws.FILTER($J$5:$J$30, ISNUMBER(MATCH($B$5:$B$30, _xlfn.TEXTSPLIT(_xlfn.TEXTJOIN(", ", TRUE, AA6:AA12), ", "), 0))))</f>
        <v>-99.557974719376517</v>
      </c>
      <c r="E39" s="28" cm="1">
        <f t="array" aca="1" ref="E39" ca="1">MAX(_xlfn._xlws.FILTER($J$5:$J$30, ISNUMBER(MATCH($B$5:$B$30, _xlfn.TEXTSPLIT(_xlfn.TEXTJOIN(", ", TRUE, AA6:AA12), ", "), 0))))</f>
        <v>53.467904623274102</v>
      </c>
      <c r="F39" s="72"/>
      <c r="G39" s="5" t="s">
        <v>121</v>
      </c>
      <c r="H39" s="28" cm="1">
        <f t="array" aca="1" ref="H39" ca="1">AVERAGE(_xlfn._xlws.FILTER($U$5:$U$30, ISNUMBER(MATCH($M$5:$M$30, _xlfn.TEXTSPLIT(_xlfn.TEXTJOIN(", ", TRUE, AD6:AD12), ", "), 0))))</f>
        <v>-5.5092705062726433</v>
      </c>
      <c r="I39" s="28" cm="1">
        <f t="array" aca="1" ref="I39" ca="1">MIN(_xlfn._xlws.FILTER($U$5:$U$30, ISNUMBER(MATCH($M$5:$M$30, _xlfn.TEXTSPLIT(_xlfn.TEXTJOIN(", ", TRUE, AD6:AD12), ", "), 0))))</f>
        <v>-99.810559215391663</v>
      </c>
      <c r="J39" s="28" cm="1">
        <f t="array" aca="1" ref="J39" ca="1">MAX(_xlfn._xlws.FILTER($U$5:$U$30, ISNUMBER(MATCH($M$5:$M$30, _xlfn.TEXTSPLIT(_xlfn.TEXTJOIN(", ", TRUE, AD6:AD12), ", "), 0))))</f>
        <v>357.76361824173148</v>
      </c>
      <c r="K39" s="72"/>
      <c r="L39" s="5" t="s">
        <v>121</v>
      </c>
      <c r="M39" s="28">
        <f ca="1">AVERAGE(C39,H39)</f>
        <v>-8.1954375960022521</v>
      </c>
      <c r="N39" s="28">
        <f ca="1">MIN(D39,I39)</f>
        <v>-99.810559215391663</v>
      </c>
      <c r="O39" s="28">
        <f ca="1">MAX(E39,J39)</f>
        <v>357.76361824173148</v>
      </c>
    </row>
    <row r="41" spans="2:15" ht="21" x14ac:dyDescent="0.35">
      <c r="B41" s="102" t="s">
        <v>148</v>
      </c>
      <c r="C41" s="103"/>
      <c r="D41" s="103"/>
      <c r="E41" s="103"/>
      <c r="F41" s="103"/>
      <c r="G41" s="103"/>
      <c r="H41" s="103"/>
      <c r="I41" s="103"/>
      <c r="J41" s="103"/>
      <c r="K41" s="103"/>
      <c r="L41" s="103"/>
      <c r="M41" s="103"/>
      <c r="N41" s="103"/>
      <c r="O41" s="104"/>
    </row>
    <row r="42" spans="2:15" ht="15.75" x14ac:dyDescent="0.25">
      <c r="B42" s="105" t="s">
        <v>205</v>
      </c>
      <c r="C42" s="106"/>
      <c r="D42" s="106"/>
      <c r="E42" s="107"/>
      <c r="F42" s="70"/>
      <c r="G42" s="105" t="s">
        <v>205</v>
      </c>
      <c r="H42" s="106"/>
      <c r="I42" s="106"/>
      <c r="J42" s="107"/>
      <c r="K42" s="70"/>
      <c r="L42" s="105" t="s">
        <v>205</v>
      </c>
      <c r="M42" s="106"/>
      <c r="N42" s="106"/>
      <c r="O42" s="107"/>
    </row>
    <row r="43" spans="2:15" x14ac:dyDescent="0.25">
      <c r="B43" s="82" t="s">
        <v>143</v>
      </c>
      <c r="C43" s="83"/>
      <c r="D43" s="83"/>
      <c r="E43" s="84"/>
      <c r="F43" s="71"/>
      <c r="G43" s="82" t="s">
        <v>144</v>
      </c>
      <c r="H43" s="83"/>
      <c r="I43" s="83"/>
      <c r="J43" s="84"/>
      <c r="K43" s="71"/>
      <c r="L43" s="82" t="s">
        <v>216</v>
      </c>
      <c r="M43" s="83"/>
      <c r="N43" s="83"/>
      <c r="O43" s="84"/>
    </row>
    <row r="44" spans="2:15" x14ac:dyDescent="0.25">
      <c r="B44" s="39" t="s">
        <v>149</v>
      </c>
      <c r="C44" s="82" t="s">
        <v>214</v>
      </c>
      <c r="D44" s="83"/>
      <c r="E44" s="15" t="s">
        <v>213</v>
      </c>
      <c r="F44" s="73"/>
      <c r="G44" s="39" t="s">
        <v>149</v>
      </c>
      <c r="H44" s="82" t="s">
        <v>214</v>
      </c>
      <c r="I44" s="83"/>
      <c r="J44" s="15" t="s">
        <v>213</v>
      </c>
      <c r="K44" s="71"/>
      <c r="L44" s="39" t="s">
        <v>149</v>
      </c>
      <c r="M44" s="82" t="s">
        <v>214</v>
      </c>
      <c r="N44" s="83"/>
      <c r="O44" s="15" t="s">
        <v>213</v>
      </c>
    </row>
    <row r="45" spans="2:15" x14ac:dyDescent="0.25">
      <c r="B45" s="5" t="s">
        <v>176</v>
      </c>
      <c r="C45" s="100" cm="1">
        <f t="array" aca="1" ref="C45" ca="1">COUNT(_xlfn._xlws.FILTER($J$5:$J$30, ISNUMBER(MATCH($B$5:$B$30, _xlfn.TEXTSPLIT(_xlfn.TEXTJOIN(", ", TRUE, AA6:AA8), ", "), 0))))</f>
        <v>12</v>
      </c>
      <c r="D45" s="101"/>
      <c r="E45" s="56">
        <f ca="1">C45/C$48</f>
        <v>0.46153846153846156</v>
      </c>
      <c r="F45" s="71"/>
      <c r="G45" s="5" t="s">
        <v>176</v>
      </c>
      <c r="H45" s="100" cm="1">
        <f t="array" aca="1" ref="H45" ca="1">COUNT(_xlfn._xlws.FILTER($U$5:$U$30, ISNUMBER(MATCH($M$5:$M$30, _xlfn.TEXTSPLIT(_xlfn.TEXTJOIN(", ", TRUE, AD6:AD8), ", "), 0))))</f>
        <v>14</v>
      </c>
      <c r="I45" s="101"/>
      <c r="J45" s="56">
        <f ca="1">H45/H$48</f>
        <v>0.53846153846153844</v>
      </c>
      <c r="K45" s="71"/>
      <c r="L45" s="5" t="s">
        <v>176</v>
      </c>
      <c r="M45" s="100">
        <f ca="1">SUM(C45,H45)</f>
        <v>26</v>
      </c>
      <c r="N45" s="101"/>
      <c r="O45" s="56">
        <f ca="1">M45/M$48</f>
        <v>0.5</v>
      </c>
    </row>
    <row r="46" spans="2:15" x14ac:dyDescent="0.25">
      <c r="B46" s="5" t="s">
        <v>177</v>
      </c>
      <c r="C46" s="100" cm="1">
        <f t="array" aca="1" ref="C46" ca="1">COUNT(_xlfn._xlws.FILTER($J$5:$J$30, ISNUMBER(MATCH($B$5:$B$30, _xlfn.TEXTSPLIT(_xlfn.TEXTJOIN(", ", TRUE, AA9), ", "), 0))))</f>
        <v>9</v>
      </c>
      <c r="D46" s="101"/>
      <c r="E46" s="56">
        <f ca="1">C46/C$48</f>
        <v>0.34615384615384615</v>
      </c>
      <c r="F46" s="71"/>
      <c r="G46" s="5" t="s">
        <v>177</v>
      </c>
      <c r="H46" s="100" cm="1">
        <f t="array" aca="1" ref="H46" ca="1">COUNT(_xlfn._xlws.FILTER($U$5:$U$30, ISNUMBER(MATCH($M$5:$M$30, _xlfn.TEXTSPLIT(_xlfn.TEXTJOIN(", ", TRUE, AD9), ", "), 0))))</f>
        <v>5</v>
      </c>
      <c r="I46" s="101"/>
      <c r="J46" s="56">
        <f ca="1">H46/H$48</f>
        <v>0.19230769230769232</v>
      </c>
      <c r="K46" s="71"/>
      <c r="L46" s="5" t="s">
        <v>177</v>
      </c>
      <c r="M46" s="100">
        <f ca="1">SUM(C46,H46)</f>
        <v>14</v>
      </c>
      <c r="N46" s="101"/>
      <c r="O46" s="56">
        <f ca="1">M46/M$48</f>
        <v>0.26923076923076922</v>
      </c>
    </row>
    <row r="47" spans="2:15" x14ac:dyDescent="0.25">
      <c r="B47" s="5" t="s">
        <v>178</v>
      </c>
      <c r="C47" s="100" cm="1">
        <f t="array" aca="1" ref="C47" ca="1">COUNT(_xlfn._xlws.FILTER($J$5:$J$30, ISNUMBER(MATCH($B$5:$B$30, _xlfn.TEXTSPLIT(_xlfn.TEXTJOIN(", ", TRUE, AA10:AA12), ", "), 0))))</f>
        <v>5</v>
      </c>
      <c r="D47" s="101"/>
      <c r="E47" s="56">
        <f ca="1">C47/C$48</f>
        <v>0.19230769230769232</v>
      </c>
      <c r="F47" s="71"/>
      <c r="G47" s="5" t="s">
        <v>178</v>
      </c>
      <c r="H47" s="100" cm="1">
        <f t="array" aca="1" ref="H47" ca="1">COUNT(_xlfn._xlws.FILTER($U$5:$U$30, ISNUMBER(MATCH($M$5:$M$30, _xlfn.TEXTSPLIT(_xlfn.TEXTJOIN(", ", TRUE, AD10:AD12), ", "), 0))))</f>
        <v>7</v>
      </c>
      <c r="I47" s="101"/>
      <c r="J47" s="56">
        <f ca="1">H47/H$48</f>
        <v>0.26923076923076922</v>
      </c>
      <c r="K47" s="71"/>
      <c r="L47" s="5" t="s">
        <v>178</v>
      </c>
      <c r="M47" s="100">
        <f ca="1">SUM(C47,H47)</f>
        <v>12</v>
      </c>
      <c r="N47" s="101"/>
      <c r="O47" s="56">
        <f ca="1">M47/M$48</f>
        <v>0.23076923076923078</v>
      </c>
    </row>
    <row r="48" spans="2:15" x14ac:dyDescent="0.25">
      <c r="B48" s="5" t="s">
        <v>121</v>
      </c>
      <c r="C48" s="100">
        <f ca="1">SUM(C45:D47)</f>
        <v>26</v>
      </c>
      <c r="D48" s="101"/>
      <c r="E48" s="56">
        <f ca="1">C48/C$48</f>
        <v>1</v>
      </c>
      <c r="F48" s="72"/>
      <c r="G48" s="5" t="s">
        <v>121</v>
      </c>
      <c r="H48" s="100">
        <f ca="1">SUM(H45:I47)</f>
        <v>26</v>
      </c>
      <c r="I48" s="101"/>
      <c r="J48" s="56">
        <f ca="1">H48/H$48</f>
        <v>1</v>
      </c>
      <c r="K48" s="72"/>
      <c r="L48" s="5" t="s">
        <v>121</v>
      </c>
      <c r="M48" s="100">
        <f ca="1">SUM(M45:N47)</f>
        <v>52</v>
      </c>
      <c r="N48" s="101"/>
      <c r="O48" s="56">
        <f ca="1">M48/M$48</f>
        <v>1</v>
      </c>
    </row>
  </sheetData>
  <mergeCells count="39">
    <mergeCell ref="B33:E33"/>
    <mergeCell ref="G33:J33"/>
    <mergeCell ref="L33:O33"/>
    <mergeCell ref="C2:L2"/>
    <mergeCell ref="N2:W2"/>
    <mergeCell ref="C3:G3"/>
    <mergeCell ref="H3:L3"/>
    <mergeCell ref="N3:R3"/>
    <mergeCell ref="S3:U3"/>
    <mergeCell ref="Z3:AA3"/>
    <mergeCell ref="AC3:AD3"/>
    <mergeCell ref="Z4:AA4"/>
    <mergeCell ref="AC4:AD4"/>
    <mergeCell ref="B32:O32"/>
    <mergeCell ref="B34:E34"/>
    <mergeCell ref="G34:J34"/>
    <mergeCell ref="L34:O34"/>
    <mergeCell ref="B41:O41"/>
    <mergeCell ref="B42:E42"/>
    <mergeCell ref="G42:J42"/>
    <mergeCell ref="L42:O42"/>
    <mergeCell ref="B43:E43"/>
    <mergeCell ref="G43:J43"/>
    <mergeCell ref="L43:O43"/>
    <mergeCell ref="C44:D44"/>
    <mergeCell ref="H44:I44"/>
    <mergeCell ref="M44:N44"/>
    <mergeCell ref="C45:D45"/>
    <mergeCell ref="H45:I45"/>
    <mergeCell ref="M45:N45"/>
    <mergeCell ref="C46:D46"/>
    <mergeCell ref="H46:I46"/>
    <mergeCell ref="M46:N46"/>
    <mergeCell ref="C47:D47"/>
    <mergeCell ref="H47:I47"/>
    <mergeCell ref="M47:N47"/>
    <mergeCell ref="C48:D48"/>
    <mergeCell ref="H48:I48"/>
    <mergeCell ref="M48:N48"/>
  </mergeCells>
  <conditionalFormatting sqref="E5:E30">
    <cfRule type="expression" dxfId="230" priority="15">
      <formula>AND(E5 &gt; -3, E5 &lt; 3)</formula>
    </cfRule>
    <cfRule type="expression" dxfId="229" priority="16">
      <formula>AND(E5 &gt; -25, E5 &lt;= -3)</formula>
    </cfRule>
    <cfRule type="expression" dxfId="228" priority="17">
      <formula>AND(E5 &gt; -75, E5 &lt;= -25)</formula>
    </cfRule>
    <cfRule type="expression" dxfId="227" priority="18">
      <formula>E5 &lt;= -75</formula>
    </cfRule>
    <cfRule type="expression" dxfId="226" priority="19">
      <formula>AND(E5 &lt; 25, E5 &gt;= 3)</formula>
    </cfRule>
    <cfRule type="expression" dxfId="225" priority="20">
      <formula>AND(E5 &lt; 75, E5 &gt;= 25)</formula>
    </cfRule>
    <cfRule type="expression" dxfId="224" priority="21">
      <formula>E5 &gt;= 75</formula>
    </cfRule>
  </conditionalFormatting>
  <conditionalFormatting sqref="J5:J30">
    <cfRule type="expression" dxfId="223" priority="29">
      <formula>AND(J5 &gt; -3, J5 &lt; 3)</formula>
    </cfRule>
    <cfRule type="expression" dxfId="222" priority="30">
      <formula>AND(J5 &gt; -25, J5 &lt;= -3)</formula>
    </cfRule>
    <cfRule type="expression" dxfId="221" priority="31">
      <formula>AND(J5 &gt; -75, J5 &lt;= -25)</formula>
    </cfRule>
    <cfRule type="expression" dxfId="220" priority="32">
      <formula>J5 &lt;= -75</formula>
    </cfRule>
    <cfRule type="expression" dxfId="219" priority="33">
      <formula>AND(J5 &lt; 25, J5 &gt;= 3)</formula>
    </cfRule>
    <cfRule type="expression" dxfId="218" priority="34">
      <formula>AND(J5 &lt; 75, J5 &gt;= 25)</formula>
    </cfRule>
    <cfRule type="expression" dxfId="217" priority="35">
      <formula>J5 &gt;= 75</formula>
    </cfRule>
  </conditionalFormatting>
  <conditionalFormatting sqref="P5:P30">
    <cfRule type="expression" dxfId="216" priority="8">
      <formula>AND(P5 &gt; -3, P5 &lt; 3)</formula>
    </cfRule>
    <cfRule type="expression" dxfId="215" priority="9">
      <formula>AND(P5 &gt; -25, P5 &lt;= -3)</formula>
    </cfRule>
    <cfRule type="expression" dxfId="214" priority="10">
      <formula>AND(P5 &gt; -75, P5 &lt;= -25)</formula>
    </cfRule>
    <cfRule type="expression" dxfId="213" priority="11">
      <formula>P5 &lt;= -75</formula>
    </cfRule>
    <cfRule type="expression" dxfId="212" priority="12">
      <formula>AND(P5 &lt; 25, P5 &gt;= 3)</formula>
    </cfRule>
    <cfRule type="expression" dxfId="211" priority="13">
      <formula>AND(P5 &lt; 75, P5 &gt;= 25)</formula>
    </cfRule>
    <cfRule type="expression" dxfId="210" priority="14">
      <formula>P5 &gt;= 75</formula>
    </cfRule>
  </conditionalFormatting>
  <conditionalFormatting sqref="U5:U30">
    <cfRule type="expression" dxfId="209" priority="22">
      <formula>AND(U5 &gt; -3, U5 &lt; 3)</formula>
    </cfRule>
    <cfRule type="expression" dxfId="208" priority="23">
      <formula>AND(U5 &gt; -25, U5 &lt;= -3)</formula>
    </cfRule>
    <cfRule type="expression" dxfId="207" priority="24">
      <formula>AND(U5 &gt; -75, U5 &lt;= -25)</formula>
    </cfRule>
    <cfRule type="expression" dxfId="206" priority="25">
      <formula>U5 &lt;= -75</formula>
    </cfRule>
    <cfRule type="expression" dxfId="205" priority="26">
      <formula>AND(U5 &lt; 25, U5 &gt;= 3)</formula>
    </cfRule>
    <cfRule type="expression" dxfId="204" priority="27">
      <formula>AND(U5 &lt; 75, U5 &gt;= 25)</formula>
    </cfRule>
    <cfRule type="expression" dxfId="203" priority="28">
      <formula>U5 &gt;= 75</formula>
    </cfRule>
  </conditionalFormatting>
  <conditionalFormatting sqref="X5:X30">
    <cfRule type="expression" dxfId="202" priority="1">
      <formula>AND(X5 &gt; -3, X5 &lt; 3)</formula>
    </cfRule>
    <cfRule type="expression" dxfId="201" priority="2">
      <formula>AND(X5 &gt; -25, X5 &lt;= -3)</formula>
    </cfRule>
    <cfRule type="expression" dxfId="200" priority="3">
      <formula>AND(X5 &gt; -75, X5 &lt;= -25)</formula>
    </cfRule>
    <cfRule type="expression" dxfId="199" priority="4">
      <formula>X5 &lt;= -75</formula>
    </cfRule>
    <cfRule type="expression" dxfId="198" priority="5">
      <formula>AND(X5 &lt; 25, X5 &gt;= 3)</formula>
    </cfRule>
    <cfRule type="expression" dxfId="197" priority="6">
      <formula>AND(X5 &lt; 75, X5 &gt;= 25)</formula>
    </cfRule>
    <cfRule type="expression" dxfId="196" priority="7">
      <formula>X5 &gt;= 75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C2826-8935-44A9-A075-3ECC0AB74C49}">
  <dimension ref="B2:AD48"/>
  <sheetViews>
    <sheetView topLeftCell="O1" zoomScale="70" zoomScaleNormal="70" workbookViewId="0">
      <selection activeCell="V5" sqref="V5:W30"/>
    </sheetView>
  </sheetViews>
  <sheetFormatPr baseColWidth="10" defaultRowHeight="15" x14ac:dyDescent="0.25"/>
  <cols>
    <col min="3" max="4" width="20.42578125" bestFit="1" customWidth="1"/>
    <col min="6" max="6" width="7.7109375" bestFit="1" customWidth="1"/>
    <col min="7" max="7" width="33.5703125" bestFit="1" customWidth="1"/>
    <col min="8" max="9" width="20.42578125" bestFit="1" customWidth="1"/>
    <col min="12" max="12" width="33.5703125" bestFit="1" customWidth="1"/>
    <col min="14" max="15" width="20.42578125" bestFit="1" customWidth="1"/>
    <col min="17" max="17" width="7.7109375" bestFit="1" customWidth="1"/>
    <col min="18" max="18" width="33.5703125" bestFit="1" customWidth="1"/>
    <col min="19" max="20" width="20.42578125" bestFit="1" customWidth="1"/>
    <col min="22" max="22" width="7.7109375" bestFit="1" customWidth="1"/>
    <col min="23" max="23" width="33.5703125" bestFit="1" customWidth="1"/>
    <col min="24" max="24" width="18.28515625" bestFit="1" customWidth="1"/>
    <col min="26" max="26" width="12.5703125" bestFit="1" customWidth="1"/>
    <col min="27" max="27" width="44.5703125" bestFit="1" customWidth="1"/>
    <col min="29" max="29" width="12.5703125" bestFit="1" customWidth="1"/>
    <col min="30" max="30" width="41.28515625" bestFit="1" customWidth="1"/>
  </cols>
  <sheetData>
    <row r="2" spans="2:30" x14ac:dyDescent="0.25">
      <c r="B2" s="38"/>
      <c r="C2" s="88" t="s">
        <v>111</v>
      </c>
      <c r="D2" s="88"/>
      <c r="E2" s="88"/>
      <c r="F2" s="88"/>
      <c r="G2" s="88"/>
      <c r="H2" s="88"/>
      <c r="I2" s="88"/>
      <c r="J2" s="88"/>
      <c r="K2" s="88"/>
      <c r="L2" s="88"/>
      <c r="N2" s="82" t="s">
        <v>114</v>
      </c>
      <c r="O2" s="83"/>
      <c r="P2" s="83"/>
      <c r="Q2" s="83"/>
      <c r="R2" s="83"/>
      <c r="S2" s="83"/>
      <c r="T2" s="83"/>
      <c r="U2" s="83"/>
      <c r="V2" s="83"/>
      <c r="W2" s="84"/>
    </row>
    <row r="3" spans="2:30" ht="15.75" x14ac:dyDescent="0.25">
      <c r="B3" s="38"/>
      <c r="C3" s="82" t="s">
        <v>100</v>
      </c>
      <c r="D3" s="83"/>
      <c r="E3" s="83"/>
      <c r="F3" s="83"/>
      <c r="G3" s="84"/>
      <c r="H3" s="88" t="s">
        <v>205</v>
      </c>
      <c r="I3" s="88"/>
      <c r="J3" s="88"/>
      <c r="K3" s="88"/>
      <c r="L3" s="88"/>
      <c r="N3" s="82" t="s">
        <v>100</v>
      </c>
      <c r="O3" s="83"/>
      <c r="P3" s="83"/>
      <c r="Q3" s="83"/>
      <c r="R3" s="83"/>
      <c r="S3" s="83" t="s">
        <v>205</v>
      </c>
      <c r="T3" s="83"/>
      <c r="U3" s="83"/>
      <c r="V3" s="40"/>
      <c r="W3" s="41"/>
      <c r="Z3" s="85" t="s">
        <v>205</v>
      </c>
      <c r="AA3" s="86"/>
      <c r="AC3" s="85" t="s">
        <v>205</v>
      </c>
      <c r="AD3" s="86"/>
    </row>
    <row r="4" spans="2:30" x14ac:dyDescent="0.25">
      <c r="B4" s="39" t="s">
        <v>97</v>
      </c>
      <c r="C4" s="29" t="s">
        <v>143</v>
      </c>
      <c r="D4" s="29" t="s">
        <v>144</v>
      </c>
      <c r="E4" s="29" t="s">
        <v>147</v>
      </c>
      <c r="F4" s="15" t="s">
        <v>208</v>
      </c>
      <c r="G4" s="15" t="s">
        <v>171</v>
      </c>
      <c r="H4" s="29" t="s">
        <v>143</v>
      </c>
      <c r="I4" s="29" t="s">
        <v>144</v>
      </c>
      <c r="J4" s="29" t="s">
        <v>147</v>
      </c>
      <c r="K4" s="29" t="s">
        <v>208</v>
      </c>
      <c r="L4" s="29" t="s">
        <v>171</v>
      </c>
      <c r="M4" s="39" t="s">
        <v>97</v>
      </c>
      <c r="N4" s="29" t="s">
        <v>143</v>
      </c>
      <c r="O4" s="29" t="s">
        <v>144</v>
      </c>
      <c r="P4" s="29" t="s">
        <v>147</v>
      </c>
      <c r="Q4" s="15" t="s">
        <v>208</v>
      </c>
      <c r="R4" s="29" t="s">
        <v>171</v>
      </c>
      <c r="S4" s="29" t="s">
        <v>143</v>
      </c>
      <c r="T4" s="29" t="s">
        <v>144</v>
      </c>
      <c r="U4" s="29" t="s">
        <v>147</v>
      </c>
      <c r="V4" s="15" t="s">
        <v>208</v>
      </c>
      <c r="W4" s="29" t="s">
        <v>171</v>
      </c>
      <c r="X4" s="63" t="s">
        <v>172</v>
      </c>
      <c r="Z4" s="82" t="s">
        <v>111</v>
      </c>
      <c r="AA4" s="84"/>
      <c r="AB4" s="42"/>
      <c r="AC4" s="82" t="s">
        <v>114</v>
      </c>
      <c r="AD4" s="84"/>
    </row>
    <row r="5" spans="2:30" x14ac:dyDescent="0.25">
      <c r="B5" s="66" t="s">
        <v>150</v>
      </c>
      <c r="C5" s="64" cm="1">
        <f t="array" aca="1" ref="C5" ca="1">INDIRECT("'C Impact of Optimization'!D" &amp; 3 + (ROW(A1)-1)*4)</f>
        <v>4.7130000000000001</v>
      </c>
      <c r="D5" s="64" cm="1">
        <f t="array" aca="1" ref="D5" ca="1">INDIRECT("'C Impact of Optimization'!D" &amp; 4 + (ROW(A1)-1)*4)</f>
        <v>3.0710000000000002</v>
      </c>
      <c r="E5" s="64" cm="1">
        <f t="array" aca="1" ref="E5" ca="1">INDIRECT("'C Impact of Optimization'!N" &amp; 3 + (ROW(A1)-1)*4)*100</f>
        <v>-34.83980479524719</v>
      </c>
      <c r="F5" s="64">
        <v>2.8719490663203402E-11</v>
      </c>
      <c r="G5" s="67" t="s">
        <v>180</v>
      </c>
      <c r="H5" s="64" cm="1">
        <f t="array" aca="1" ref="H5" ca="1">INDIRECT("'C Impact of Optimization'!M" &amp; 3 + (ROW(A1)-1)*4)</f>
        <v>242.2482</v>
      </c>
      <c r="I5" s="64" cm="1">
        <f t="array" aca="1" ref="I5" ca="1">INDIRECT("'C Impact of Optimization'!M" &amp; 4 + (ROW(A1)-1)*4)</f>
        <v>138.50210000000001</v>
      </c>
      <c r="J5" s="64" cm="1">
        <f t="array" aca="1" ref="J5" ca="1">INDIRECT("'C Impact of Optimization'!Q" &amp; 3 + (ROW(A1)-1)*4)*100</f>
        <v>-42.826365686102093</v>
      </c>
      <c r="K5" s="64">
        <v>2.8719490663203402E-11</v>
      </c>
      <c r="L5" s="64" t="s">
        <v>180</v>
      </c>
      <c r="M5" s="68" t="s">
        <v>150</v>
      </c>
      <c r="N5" s="64" cm="1">
        <f t="array" aca="1" ref="N5" ca="1">INDIRECT("'C Impact of Optimization'!D" &amp; 5 + (ROW(A1)-1)*4)</f>
        <v>3.665</v>
      </c>
      <c r="O5" s="64" cm="1">
        <f t="array" aca="1" ref="O5" ca="1">INDIRECT("'C Impact of Optimization'!D" &amp; 6 + (ROW(A1)-1)*4)</f>
        <v>1.048</v>
      </c>
      <c r="P5" s="64" cm="1">
        <f t="array" aca="1" ref="P5" ca="1">INDIRECT("'C Impact of Optimization'!N" &amp; 5 + (ROW(A1)-1)*4)*100</f>
        <v>-71.405184174624821</v>
      </c>
      <c r="Q5" s="64">
        <v>2.8719490663203402E-11</v>
      </c>
      <c r="R5" s="64" t="s">
        <v>180</v>
      </c>
      <c r="S5" s="64" cm="1">
        <f t="array" aca="1" ref="S5" ca="1">INDIRECT("'C Impact of Optimization'!M" &amp; 5 + (ROW(A1)-1)*4)</f>
        <v>164.66845000000001</v>
      </c>
      <c r="T5" s="64" cm="1">
        <f t="array" aca="1" ref="T5" ca="1">INDIRECT("'C Impact of Optimization'!M" &amp; 6 + (ROW(A1)-1)*4)</f>
        <v>31.775359999999999</v>
      </c>
      <c r="U5" s="64" cm="1">
        <f t="array" aca="1" ref="U5" ca="1">INDIRECT("'C Impact of Optimization'!Q" &amp; 5 + (ROW(A1)-1)*4)*100</f>
        <v>-80.703431653118727</v>
      </c>
      <c r="V5" s="64">
        <v>2.8719490663203402E-11</v>
      </c>
      <c r="W5" s="64" t="s">
        <v>180</v>
      </c>
      <c r="X5" s="64">
        <f ca="1">AVERAGE(J5,U5)</f>
        <v>-61.76489866961041</v>
      </c>
      <c r="Z5" s="15" t="s">
        <v>149</v>
      </c>
      <c r="AA5" s="15" t="s">
        <v>148</v>
      </c>
      <c r="AB5" s="42"/>
      <c r="AC5" s="15" t="s">
        <v>149</v>
      </c>
      <c r="AD5" s="15" t="s">
        <v>148</v>
      </c>
    </row>
    <row r="6" spans="2:30" x14ac:dyDescent="0.25">
      <c r="B6" s="66" t="s">
        <v>151</v>
      </c>
      <c r="C6" s="64" cm="1">
        <f t="array" aca="1" ref="C6" ca="1">INDIRECT("'C Impact of Optimization'!D" &amp; 3 + (ROW(A2)-1)*4)</f>
        <v>409.73099999999999</v>
      </c>
      <c r="D6" s="64" cm="1">
        <f t="array" aca="1" ref="D6" ca="1">INDIRECT("'C Impact of Optimization'!D" &amp; 4 + (ROW(A2)-1)*4)</f>
        <v>21.568999999999999</v>
      </c>
      <c r="E6" s="64" cm="1">
        <f t="array" aca="1" ref="E6" ca="1">INDIRECT("'C Impact of Optimization'!N" &amp; 3 + (ROW(A2)-1)*4)*100</f>
        <v>-94.735814473398392</v>
      </c>
      <c r="F6" s="64">
        <v>2.8719490663203402E-11</v>
      </c>
      <c r="G6" s="67" t="s">
        <v>180</v>
      </c>
      <c r="H6" s="64" cm="1">
        <f t="array" aca="1" ref="H6" ca="1">INDIRECT("'C Impact of Optimization'!M" &amp; 3 + (ROW(A2)-1)*4)</f>
        <v>24903.45018</v>
      </c>
      <c r="I6" s="64" cm="1">
        <f t="array" aca="1" ref="I6" ca="1">INDIRECT("'C Impact of Optimization'!M" &amp; 4 + (ROW(A2)-1)*4)</f>
        <v>1134.7450899999999</v>
      </c>
      <c r="J6" s="64" cm="1">
        <f t="array" aca="1" ref="J6" ca="1">INDIRECT("'C Impact of Optimization'!Q" &amp; 3 + (ROW(A2)-1)*4)*100</f>
        <v>-95.443422169224903</v>
      </c>
      <c r="K6" s="64">
        <v>2.8719490663203402E-11</v>
      </c>
      <c r="L6" s="64" t="s">
        <v>180</v>
      </c>
      <c r="M6" s="68" t="s">
        <v>151</v>
      </c>
      <c r="N6" s="64" cm="1">
        <f t="array" aca="1" ref="N6" ca="1">INDIRECT("'C Impact of Optimization'!D" &amp; 5 + (ROW(A2)-1)*4)</f>
        <v>400.36200000000002</v>
      </c>
      <c r="O6" s="64" cm="1">
        <f t="array" aca="1" ref="O6" ca="1">INDIRECT("'C Impact of Optimization'!D" &amp; 6 + (ROW(A2)-1)*4)</f>
        <v>20.49</v>
      </c>
      <c r="P6" s="64" cm="1">
        <f t="array" aca="1" ref="P6" ca="1">INDIRECT("'C Impact of Optimization'!N" &amp; 5 + (ROW(A2)-1)*4)*100</f>
        <v>-94.882131670837893</v>
      </c>
      <c r="Q6" s="64">
        <v>2.8719490663203402E-11</v>
      </c>
      <c r="R6" s="64" t="s">
        <v>180</v>
      </c>
      <c r="S6" s="64" cm="1">
        <f t="array" aca="1" ref="S6" ca="1">INDIRECT("'C Impact of Optimization'!M" &amp; 5 + (ROW(A2)-1)*4)</f>
        <v>24354.02046</v>
      </c>
      <c r="T6" s="64" cm="1">
        <f t="array" aca="1" ref="T6" ca="1">INDIRECT("'C Impact of Optimization'!M" &amp; 6 + (ROW(A2)-1)*4)</f>
        <v>1208.9100000000001</v>
      </c>
      <c r="U6" s="64" cm="1">
        <f t="array" aca="1" ref="U6" ca="1">INDIRECT("'C Impact of Optimization'!Q" &amp; 5 + (ROW(A2)-1)*4)*100</f>
        <v>-95.036096803870379</v>
      </c>
      <c r="V6" s="64">
        <v>2.8719490663203402E-11</v>
      </c>
      <c r="W6" s="64" t="s">
        <v>180</v>
      </c>
      <c r="X6" s="64">
        <f t="shared" ref="X6:X30" ca="1" si="0">AVERAGE(J6,U6)</f>
        <v>-95.239759486547641</v>
      </c>
      <c r="Z6" s="43" t="s">
        <v>155</v>
      </c>
      <c r="AA6" s="24" t="str" cm="1">
        <f t="array" aca="1" ref="AA6" ca="1">_xlfn.TEXTJOIN(", ", TRUE, IF(J5:J30 &lt;= -75, B5:B30, ""))</f>
        <v>T5, T19, T20, T25, T28, T36, T49, T50</v>
      </c>
      <c r="AC6" s="43" t="s">
        <v>155</v>
      </c>
      <c r="AD6" s="24" t="str" cm="1">
        <f t="array" aca="1" ref="AD6" ca="1">_xlfn.TEXTJOIN(", ", TRUE, IF(U5:U30 &lt;= -75, M5:M30, ""))</f>
        <v>T4, T5, T19, T25, T26, T28, T36, T40, T50</v>
      </c>
    </row>
    <row r="7" spans="2:30" x14ac:dyDescent="0.25">
      <c r="B7" s="66" t="s">
        <v>152</v>
      </c>
      <c r="C7" s="64" cm="1">
        <f t="array" aca="1" ref="C7" ca="1">INDIRECT("'C Impact of Optimization'!D" &amp; 3 + (ROW(A3)-1)*4)</f>
        <v>2.0939999999999999</v>
      </c>
      <c r="D7" s="64" cm="1">
        <f t="array" aca="1" ref="D7" ca="1">INDIRECT("'C Impact of Optimization'!D" &amp; 4 + (ROW(A3)-1)*4)</f>
        <v>2.0939999999999999</v>
      </c>
      <c r="E7" s="64" cm="1">
        <f t="array" aca="1" ref="E7" ca="1">INDIRECT("'C Impact of Optimization'!N" &amp; 3 + (ROW(A3)-1)*4)*100</f>
        <v>0</v>
      </c>
      <c r="F7" s="64">
        <v>0.2170168245486217</v>
      </c>
      <c r="G7" s="67" t="s">
        <v>210</v>
      </c>
      <c r="H7" s="64" cm="1">
        <f t="array" aca="1" ref="H7" ca="1">INDIRECT("'C Impact of Optimization'!M" &amp; 3 + (ROW(A3)-1)*4)</f>
        <v>71.719499999999996</v>
      </c>
      <c r="I7" s="64" cm="1">
        <f t="array" aca="1" ref="I7" ca="1">INDIRECT("'C Impact of Optimization'!M" &amp; 4 + (ROW(A3)-1)*4)</f>
        <v>68.473799999999997</v>
      </c>
      <c r="J7" s="64" cm="1">
        <f t="array" aca="1" ref="J7" ca="1">INDIRECT("'C Impact of Optimization'!Q" &amp; 3 + (ROW(A3)-1)*4)*100</f>
        <v>-4.5255474452554738</v>
      </c>
      <c r="K7" s="64">
        <v>1.4710444453394776E-2</v>
      </c>
      <c r="L7" s="64" t="s">
        <v>209</v>
      </c>
      <c r="M7" s="68" t="s">
        <v>152</v>
      </c>
      <c r="N7" s="64" cm="1">
        <f t="array" aca="1" ref="N7" ca="1">INDIRECT("'C Impact of Optimization'!D" &amp; 5 + (ROW(A3)-1)*4)</f>
        <v>1.0469999999999999</v>
      </c>
      <c r="O7" s="64" cm="1">
        <f t="array" aca="1" ref="O7" ca="1">INDIRECT("'C Impact of Optimization'!D" &amp; 6 + (ROW(A3)-1)*4)</f>
        <v>1.0469999999999999</v>
      </c>
      <c r="P7" s="64" cm="1">
        <f t="array" aca="1" ref="P7" ca="1">INDIRECT("'C Impact of Optimization'!N" &amp; 5 + (ROW(A3)-1)*4)*100</f>
        <v>0</v>
      </c>
      <c r="Q7" s="64">
        <v>0.55426783632431831</v>
      </c>
      <c r="R7" s="64" t="s">
        <v>210</v>
      </c>
      <c r="S7" s="64" cm="1">
        <f t="array" aca="1" ref="S7" ca="1">INDIRECT("'C Impact of Optimization'!M" &amp; 5 + (ROW(A3)-1)*4)</f>
        <v>31.43094</v>
      </c>
      <c r="T7" s="64" cm="1">
        <f t="array" aca="1" ref="T7" ca="1">INDIRECT("'C Impact of Optimization'!M" &amp; 6 + (ROW(A3)-1)*4)</f>
        <v>30.289709999999999</v>
      </c>
      <c r="U7" s="64" cm="1">
        <f t="array" aca="1" ref="U7" ca="1">INDIRECT("'C Impact of Optimization'!Q" &amp; 5 + (ROW(A3)-1)*4)*100</f>
        <v>-3.6309127248501007</v>
      </c>
      <c r="V7" s="64">
        <v>0.44201791397568591</v>
      </c>
      <c r="W7" s="64" t="s">
        <v>179</v>
      </c>
      <c r="X7" s="64">
        <f t="shared" ca="1" si="0"/>
        <v>-4.0782300850527875</v>
      </c>
      <c r="Z7" s="44" t="s">
        <v>156</v>
      </c>
      <c r="AA7" s="24" t="str" cm="1">
        <f t="array" aca="1" ref="AA7" ca="1">_xlfn.TEXTJOIN(", ", TRUE, IF((J5:J30 &gt; -75) * (J5:J30 &lt;= -25), B5:B30, ""))</f>
        <v>T4, T11, T13, T26, T29, T40, T44, T51</v>
      </c>
      <c r="AC7" s="44" t="s">
        <v>156</v>
      </c>
      <c r="AD7" s="24" t="str" cm="1">
        <f t="array" aca="1" ref="AD7" ca="1">_xlfn.TEXTJOIN(", ", TRUE, IF((U5:U30 &gt; -75) * (U5:U30 &lt;= -25), M5:M30, ""))</f>
        <v>T10, T11, T12, T13, T20, T29, T44, T49, T51</v>
      </c>
    </row>
    <row r="8" spans="2:30" x14ac:dyDescent="0.25">
      <c r="B8" s="66" t="s">
        <v>154</v>
      </c>
      <c r="C8" s="64" cm="1">
        <f t="array" aca="1" ref="C8" ca="1">INDIRECT("'C Impact of Optimization'!D" &amp; 3 + (ROW(A4)-1)*4)</f>
        <v>4.7469999999999999</v>
      </c>
      <c r="D8" s="64" cm="1">
        <f t="array" aca="1" ref="D8" ca="1">INDIRECT("'C Impact of Optimization'!D" &amp; 4 + (ROW(A4)-1)*4)</f>
        <v>22.571999999999999</v>
      </c>
      <c r="E8" s="64" cm="1">
        <f t="array" aca="1" ref="E8" ca="1">INDIRECT("'C Impact of Optimization'!N" &amp; 3 + (ROW(A4)-1)*4)*100</f>
        <v>375.5003159890457</v>
      </c>
      <c r="F8" s="64">
        <v>2.8719490663203402E-11</v>
      </c>
      <c r="G8" s="67" t="s">
        <v>180</v>
      </c>
      <c r="H8" s="64" cm="1">
        <f t="array" aca="1" ref="H8" ca="1">INDIRECT("'C Impact of Optimization'!M" &amp; 3 + (ROW(A4)-1)*4)</f>
        <v>261.13247000000001</v>
      </c>
      <c r="I8" s="64" cm="1">
        <f t="array" aca="1" ref="I8" ca="1">INDIRECT("'C Impact of Optimization'!M" &amp; 4 + (ROW(A4)-1)*4)</f>
        <v>1181.1927599999999</v>
      </c>
      <c r="J8" s="64" cm="1">
        <f t="array" aca="1" ref="J8" ca="1">INDIRECT("'C Impact of Optimization'!Q" &amp; 3 + (ROW(A4)-1)*4)*100</f>
        <v>352.33469434115182</v>
      </c>
      <c r="K8" s="64">
        <v>2.8719490663203402E-11</v>
      </c>
      <c r="L8" s="64" t="s">
        <v>180</v>
      </c>
      <c r="M8" s="68" t="s">
        <v>154</v>
      </c>
      <c r="N8" s="64" cm="1">
        <f t="array" aca="1" ref="N8" ca="1">INDIRECT("'C Impact of Optimization'!D" &amp; 5 + (ROW(A4)-1)*4)</f>
        <v>6.8869999999999996</v>
      </c>
      <c r="O8" s="64" cm="1">
        <f t="array" aca="1" ref="O8" ca="1">INDIRECT("'C Impact of Optimization'!D" &amp; 6 + (ROW(A4)-1)*4)</f>
        <v>6.9580000000000002</v>
      </c>
      <c r="P8" s="64" cm="1">
        <f t="array" aca="1" ref="P8" ca="1">INDIRECT("'C Impact of Optimization'!N" &amp; 5 + (ROW(A4)-1)*4)*100</f>
        <v>1.0309278350515554</v>
      </c>
      <c r="Q8" s="64">
        <v>3.9998074674352866E-9</v>
      </c>
      <c r="R8" s="64" t="s">
        <v>180</v>
      </c>
      <c r="S8" s="64" cm="1">
        <f t="array" aca="1" ref="S8" ca="1">INDIRECT("'C Impact of Optimization'!M" &amp; 5 + (ROW(A4)-1)*4)</f>
        <v>400.75452999999987</v>
      </c>
      <c r="T8" s="64" cm="1">
        <f t="array" aca="1" ref="T8" ca="1">INDIRECT("'C Impact of Optimization'!M" &amp; 6 + (ROW(A4)-1)*4)</f>
        <v>409.47829999999999</v>
      </c>
      <c r="U8" s="64" cm="1">
        <f t="array" aca="1" ref="U8" ca="1">INDIRECT("'C Impact of Optimization'!Q" &amp; 5 + (ROW(A4)-1)*4)*100</f>
        <v>2.1768362793054687</v>
      </c>
      <c r="V8" s="64">
        <v>3.8787144759013784E-11</v>
      </c>
      <c r="W8" s="64" t="s">
        <v>180</v>
      </c>
      <c r="X8" s="64">
        <f t="shared" ca="1" si="0"/>
        <v>177.25576531022864</v>
      </c>
      <c r="Z8" s="45" t="s">
        <v>161</v>
      </c>
      <c r="AA8" s="24" t="str" cm="1">
        <f t="array" aca="1" ref="AA8" ca="1">_xlfn.TEXTJOIN(", ", TRUE, IF((J5:J30 &gt; -25) * (J5:J30 &lt;= -3), B5:B30, ""))</f>
        <v>T7, T9, T12, T31, T32, T33</v>
      </c>
      <c r="AC8" s="45" t="s">
        <v>161</v>
      </c>
      <c r="AD8" s="24" t="str" cm="1">
        <f t="array" aca="1" ref="AD8" ca="1">_xlfn.TEXTJOIN(", ", TRUE, IF((U5:U30 &gt; -25) * (U5:U30 &lt;= -3), M5:M30, ""))</f>
        <v>T7, T31, T32, T33</v>
      </c>
    </row>
    <row r="9" spans="2:30" x14ac:dyDescent="0.25">
      <c r="B9" s="66" t="s">
        <v>153</v>
      </c>
      <c r="C9" s="64" cm="1">
        <f t="array" aca="1" ref="C9" ca="1">INDIRECT("'C Impact of Optimization'!D" &amp; 3 + (ROW(A5)-1)*4)</f>
        <v>0.54100000000000004</v>
      </c>
      <c r="D9" s="64" cm="1">
        <f t="array" aca="1" ref="D9" ca="1">INDIRECT("'C Impact of Optimization'!D" &amp; 4 + (ROW(A5)-1)*4)</f>
        <v>0.52400000000000002</v>
      </c>
      <c r="E9" s="64" cm="1">
        <f t="array" aca="1" ref="E9" ca="1">INDIRECT("'C Impact of Optimization'!N" &amp; 3 + (ROW(A5)-1)*4)*100</f>
        <v>-3.1423290203327197</v>
      </c>
      <c r="F9" s="64">
        <v>0.9469559422255942</v>
      </c>
      <c r="G9" s="67" t="s">
        <v>210</v>
      </c>
      <c r="H9" s="64" cm="1">
        <f t="array" aca="1" ref="H9" ca="1">INDIRECT("'C Impact of Optimization'!M" &amp; 3 + (ROW(A5)-1)*4)</f>
        <v>11.47461</v>
      </c>
      <c r="I9" s="64" cm="1">
        <f t="array" aca="1" ref="I9" ca="1">INDIRECT("'C Impact of Optimization'!M" &amp; 4 + (ROW(A5)-1)*4)</f>
        <v>10.5586</v>
      </c>
      <c r="J9" s="64" cm="1">
        <f t="array" aca="1" ref="J9" ca="1">INDIRECT("'C Impact of Optimization'!Q" &amp; 3 + (ROW(A5)-1)*4)*100</f>
        <v>-7.9829292673127883</v>
      </c>
      <c r="K9" s="64">
        <v>0.29047214949383471</v>
      </c>
      <c r="L9" s="64" t="s">
        <v>210</v>
      </c>
      <c r="M9" s="68" t="s">
        <v>153</v>
      </c>
      <c r="N9" s="64" cm="1">
        <f t="array" aca="1" ref="N9" ca="1">INDIRECT("'C Impact of Optimization'!D" &amp; 5 + (ROW(A5)-1)*4)</f>
        <v>0.52300000000000002</v>
      </c>
      <c r="O9" s="64" cm="1">
        <f t="array" aca="1" ref="O9" ca="1">INDIRECT("'C Impact of Optimization'!D" &amp; 6 + (ROW(A5)-1)*4)</f>
        <v>0.52300000000000002</v>
      </c>
      <c r="P9" s="64" cm="1">
        <f t="array" aca="1" ref="P9" ca="1">INDIRECT("'C Impact of Optimization'!N" &amp; 5 + (ROW(A5)-1)*4)*100</f>
        <v>0</v>
      </c>
      <c r="Q9" s="64">
        <v>0.71718881360637599</v>
      </c>
      <c r="R9" s="64" t="s">
        <v>210</v>
      </c>
      <c r="S9" s="64" cm="1">
        <f t="array" aca="1" ref="S9" ca="1">INDIRECT("'C Impact of Optimization'!M" &amp; 5 + (ROW(A5)-1)*4)</f>
        <v>10.31879</v>
      </c>
      <c r="T9" s="64" cm="1">
        <f t="array" aca="1" ref="T9" ca="1">INDIRECT("'C Impact of Optimization'!M" &amp; 6 + (ROW(A5)-1)*4)</f>
        <v>10.64828</v>
      </c>
      <c r="U9" s="64" cm="1">
        <f t="array" aca="1" ref="U9" ca="1">INDIRECT("'C Impact of Optimization'!Q" &amp; 5 + (ROW(A5)-1)*4)*100</f>
        <v>3.1931069437404953</v>
      </c>
      <c r="V9" s="64">
        <v>0.12057499226022927</v>
      </c>
      <c r="W9" s="64" t="s">
        <v>210</v>
      </c>
      <c r="X9" s="64">
        <f t="shared" ca="1" si="0"/>
        <v>-2.3949111617861467</v>
      </c>
      <c r="Z9" s="46" t="s">
        <v>157</v>
      </c>
      <c r="AA9" s="24" t="str" cm="1">
        <f t="array" aca="1" ref="AA9" ca="1">_xlfn.TEXTJOIN(", ", TRUE, IF((J5:J30 &gt; -3) * (J5:J30 &lt; 3), B5:B30, ""))</f>
        <v>T10, T16, T17</v>
      </c>
      <c r="AC9" s="46" t="s">
        <v>157</v>
      </c>
      <c r="AD9" s="24" t="str" cm="1">
        <f t="array" aca="1" ref="AD9" ca="1">_xlfn.TEXTJOIN(", ", TRUE, IF((U5:U30 &gt; -3) * (U5:U30 &lt; 3), M5:M30, ""))</f>
        <v>T8, T16, T17</v>
      </c>
    </row>
    <row r="10" spans="2:30" x14ac:dyDescent="0.25">
      <c r="B10" s="66" t="s">
        <v>19</v>
      </c>
      <c r="C10" s="64" cm="1">
        <f t="array" aca="1" ref="C10" ca="1">INDIRECT("'C Impact of Optimization'!D" &amp; 3 + (ROW(A6)-1)*4)</f>
        <v>81.870999999999995</v>
      </c>
      <c r="D10" s="64" cm="1">
        <f t="array" aca="1" ref="D10" ca="1">INDIRECT("'C Impact of Optimization'!D" &amp; 4 + (ROW(A6)-1)*4)</f>
        <v>81.566000000000003</v>
      </c>
      <c r="E10" s="64" cm="1">
        <f t="array" aca="1" ref="E10" ca="1">INDIRECT("'C Impact of Optimization'!N" &amp; 3 + (ROW(A6)-1)*4)*100</f>
        <v>-0.37253728426426042</v>
      </c>
      <c r="F10" s="64">
        <v>0.14737285954906465</v>
      </c>
      <c r="G10" s="67" t="s">
        <v>210</v>
      </c>
      <c r="H10" s="64" cm="1">
        <f t="array" aca="1" ref="H10" ca="1">INDIRECT("'C Impact of Optimization'!M" &amp; 3 + (ROW(A6)-1)*4)</f>
        <v>5473.8950599999998</v>
      </c>
      <c r="I10" s="64" cm="1">
        <f t="array" aca="1" ref="I10" ca="1">INDIRECT("'C Impact of Optimization'!M" &amp; 4 + (ROW(A6)-1)*4)</f>
        <v>5544.8566800000008</v>
      </c>
      <c r="J10" s="64" cm="1">
        <f t="array" aca="1" ref="J10" ca="1">INDIRECT("'C Impact of Optimization'!Q" &amp; 3 + (ROW(A6)-1)*4)*100</f>
        <v>1.2963642748387096</v>
      </c>
      <c r="K10" s="64">
        <v>2.5515076130333382E-9</v>
      </c>
      <c r="L10" s="64" t="s">
        <v>180</v>
      </c>
      <c r="M10" s="68" t="s">
        <v>19</v>
      </c>
      <c r="N10" s="64" cm="1">
        <f t="array" aca="1" ref="N10" ca="1">INDIRECT("'C Impact of Optimization'!D" &amp; 5 + (ROW(A6)-1)*4)</f>
        <v>1.052</v>
      </c>
      <c r="O10" s="64" cm="1">
        <f t="array" aca="1" ref="O10" ca="1">INDIRECT("'C Impact of Optimization'!D" &amp; 6 + (ROW(A6)-1)*4)</f>
        <v>0.52600000000000002</v>
      </c>
      <c r="P10" s="64" cm="1">
        <f t="array" aca="1" ref="P10" ca="1">INDIRECT("'C Impact of Optimization'!N" &amp; 5 + (ROW(A6)-1)*4)*100</f>
        <v>-50</v>
      </c>
      <c r="Q10" s="64">
        <v>2.8719490663203402E-11</v>
      </c>
      <c r="R10" s="64" t="s">
        <v>210</v>
      </c>
      <c r="S10" s="64" cm="1">
        <f t="array" aca="1" ref="S10" ca="1">INDIRECT("'C Impact of Optimization'!M" &amp; 5 + (ROW(A6)-1)*4)</f>
        <v>24.196000000000002</v>
      </c>
      <c r="T10" s="64" cm="1">
        <f t="array" aca="1" ref="T10" ca="1">INDIRECT("'C Impact of Optimization'!M" &amp; 6 + (ROW(A6)-1)*4)</f>
        <v>10.50422</v>
      </c>
      <c r="U10" s="64" cm="1">
        <f t="array" aca="1" ref="U10" ca="1">INDIRECT("'C Impact of Optimization'!Q" &amp; 5 + (ROW(A6)-1)*4)*100</f>
        <v>-56.586956521739125</v>
      </c>
      <c r="V10" s="64">
        <v>2.8719490663203402E-11</v>
      </c>
      <c r="W10" s="64" t="s">
        <v>180</v>
      </c>
      <c r="X10" s="64">
        <f t="shared" ca="1" si="0"/>
        <v>-27.645296123450208</v>
      </c>
      <c r="Z10" s="47" t="s">
        <v>158</v>
      </c>
      <c r="AA10" s="24" t="str" cm="1">
        <f t="array" aca="1" ref="AA10" ca="1">_xlfn.TEXTJOIN(", ", TRUE, IF((J5:J30 &gt;= 3) * (J5:J30 &lt; 25), B5:B30, ""))</f>
        <v/>
      </c>
      <c r="AC10" s="47" t="s">
        <v>158</v>
      </c>
      <c r="AD10" s="24" t="str" cm="1">
        <f t="array" aca="1" ref="AD10" ca="1">_xlfn.TEXTJOIN(", ", TRUE, IF((U5:U30 &gt;= 3) * (U5:U30 &lt; 25), M5:M30, ""))</f>
        <v>T9</v>
      </c>
    </row>
    <row r="11" spans="2:30" x14ac:dyDescent="0.25">
      <c r="B11" s="66" t="s">
        <v>21</v>
      </c>
      <c r="C11" s="64" cm="1">
        <f t="array" aca="1" ref="C11" ca="1">INDIRECT("'C Impact of Optimization'!D" &amp; 3 + (ROW(A7)-1)*4)</f>
        <v>2.0950000000000002</v>
      </c>
      <c r="D11" s="64" cm="1">
        <f t="array" aca="1" ref="D11" ca="1">INDIRECT("'C Impact of Optimization'!D" &amp; 4 + (ROW(A7)-1)*4)</f>
        <v>1.0469999999999999</v>
      </c>
      <c r="E11" s="64" cm="1">
        <f t="array" aca="1" ref="E11" ca="1">INDIRECT("'C Impact of Optimization'!N" &amp; 3 + (ROW(A7)-1)*4)*100</f>
        <v>-50.023866348448699</v>
      </c>
      <c r="F11" s="64">
        <v>2.8719490663203402E-11</v>
      </c>
      <c r="G11" s="67" t="s">
        <v>180</v>
      </c>
      <c r="H11" s="64" cm="1">
        <f t="array" aca="1" ref="H11" ca="1">INDIRECT("'C Impact of Optimization'!M" &amp; 3 + (ROW(A7)-1)*4)</f>
        <v>79.861400000000003</v>
      </c>
      <c r="I11" s="64" cm="1">
        <f t="array" aca="1" ref="I11" ca="1">INDIRECT("'C Impact of Optimization'!M" &amp; 4 + (ROW(A7)-1)*4)</f>
        <v>30.760860000000001</v>
      </c>
      <c r="J11" s="64" cm="1">
        <f t="array" aca="1" ref="J11" ca="1">INDIRECT("'C Impact of Optimization'!Q" &amp; 3 + (ROW(A7)-1)*4)*100</f>
        <v>-61.482192899197862</v>
      </c>
      <c r="K11" s="64">
        <v>2.8719490663203402E-11</v>
      </c>
      <c r="L11" s="64" t="s">
        <v>180</v>
      </c>
      <c r="M11" s="68" t="s">
        <v>21</v>
      </c>
      <c r="N11" s="64" cm="1">
        <f t="array" aca="1" ref="N11" ca="1">INDIRECT("'C Impact of Optimization'!D" &amp; 5 + (ROW(A7)-1)*4)</f>
        <v>2.0939999999999999</v>
      </c>
      <c r="O11" s="64" cm="1">
        <f t="array" aca="1" ref="O11" ca="1">INDIRECT("'C Impact of Optimization'!D" &amp; 6 + (ROW(A7)-1)*4)</f>
        <v>1.0469999999999999</v>
      </c>
      <c r="P11" s="64" cm="1">
        <f t="array" aca="1" ref="P11" ca="1">INDIRECT("'C Impact of Optimization'!N" &amp; 5 + (ROW(A7)-1)*4)*100</f>
        <v>-50</v>
      </c>
      <c r="Q11" s="64">
        <v>2.8719490663203402E-11</v>
      </c>
      <c r="R11" s="64" t="s">
        <v>180</v>
      </c>
      <c r="S11" s="64" cm="1">
        <f t="array" aca="1" ref="S11" ca="1">INDIRECT("'C Impact of Optimization'!M" &amp; 5 + (ROW(A7)-1)*4)</f>
        <v>79.739519999999985</v>
      </c>
      <c r="T11" s="64" cm="1">
        <f t="array" aca="1" ref="T11" ca="1">INDIRECT("'C Impact of Optimization'!M" &amp; 6 + (ROW(A7)-1)*4)</f>
        <v>24.37416</v>
      </c>
      <c r="U11" s="64" cm="1">
        <f t="array" aca="1" ref="U11" ca="1">INDIRECT("'C Impact of Optimization'!Q" &amp; 5 + (ROW(A7)-1)*4)*100</f>
        <v>-69.432773109243684</v>
      </c>
      <c r="V11" s="64">
        <v>2.8719490663203402E-11</v>
      </c>
      <c r="W11" s="64" t="s">
        <v>180</v>
      </c>
      <c r="X11" s="64">
        <f t="shared" ca="1" si="0"/>
        <v>-65.457483004220776</v>
      </c>
      <c r="Z11" s="48" t="s">
        <v>159</v>
      </c>
      <c r="AA11" s="24" t="str" cm="1">
        <f t="array" aca="1" ref="AA11" ca="1">_xlfn.TEXTJOIN(", ", TRUE, IF((J5:J30 &gt;= 25) * (J5:J30 &lt; 75), B5:B30, ""))</f>
        <v/>
      </c>
      <c r="AC11" s="48" t="s">
        <v>159</v>
      </c>
      <c r="AD11" s="24" t="str" cm="1">
        <f t="array" aca="1" ref="AD11" ca="1">_xlfn.TEXTJOIN(", ", TRUE, IF((U5:U30 &gt;= 25) * (U5:U30 &lt; 75), M5:M30, ""))</f>
        <v/>
      </c>
    </row>
    <row r="12" spans="2:30" x14ac:dyDescent="0.25">
      <c r="B12" s="66" t="s">
        <v>23</v>
      </c>
      <c r="C12" s="64" cm="1">
        <f t="array" aca="1" ref="C12" ca="1">INDIRECT("'C Impact of Optimization'!D" &amp; 3 + (ROW(A8)-1)*4)</f>
        <v>1.0469999999999999</v>
      </c>
      <c r="D12" s="64" cm="1">
        <f t="array" aca="1" ref="D12" ca="1">INDIRECT("'C Impact of Optimization'!D" &amp; 4 + (ROW(A8)-1)*4)</f>
        <v>1.0469999999999999</v>
      </c>
      <c r="E12" s="64" cm="1">
        <f t="array" aca="1" ref="E12" ca="1">INDIRECT("'C Impact of Optimization'!N" &amp; 3 + (ROW(A8)-1)*4)*100</f>
        <v>0</v>
      </c>
      <c r="F12" s="64">
        <v>2.8715847742981089E-10</v>
      </c>
      <c r="G12" s="67" t="s">
        <v>180</v>
      </c>
      <c r="H12" s="64" cm="1">
        <f t="array" aca="1" ref="H12" ca="1">INDIRECT("'C Impact of Optimization'!M" &amp; 3 + (ROW(A8)-1)*4)</f>
        <v>27.389520000000001</v>
      </c>
      <c r="I12" s="64" cm="1">
        <f t="array" aca="1" ref="I12" ca="1">INDIRECT("'C Impact of Optimization'!M" &amp; 4 + (ROW(A8)-1)*4)</f>
        <v>25.22223</v>
      </c>
      <c r="J12" s="64" cm="1">
        <f t="array" aca="1" ref="J12" ca="1">INDIRECT("'C Impact of Optimization'!Q" &amp; 3 + (ROW(A8)-1)*4)*100</f>
        <v>-7.9128440366972512</v>
      </c>
      <c r="K12" s="64">
        <v>2.8719490663203402E-11</v>
      </c>
      <c r="L12" s="64" t="s">
        <v>180</v>
      </c>
      <c r="M12" s="68" t="s">
        <v>23</v>
      </c>
      <c r="N12" s="64" cm="1">
        <f t="array" aca="1" ref="N12" ca="1">INDIRECT("'C Impact of Optimization'!D" &amp; 5 + (ROW(A8)-1)*4)</f>
        <v>1.0469999999999999</v>
      </c>
      <c r="O12" s="64" cm="1">
        <f t="array" aca="1" ref="O12" ca="1">INDIRECT("'C Impact of Optimization'!D" &amp; 6 + (ROW(A8)-1)*4)</f>
        <v>0.61099999999999999</v>
      </c>
      <c r="P12" s="64" cm="1">
        <f t="array" aca="1" ref="P12" ca="1">INDIRECT("'C Impact of Optimization'!N" &amp; 5 + (ROW(A8)-1)*4)*100</f>
        <v>-41.642788920725884</v>
      </c>
      <c r="Q12" s="64">
        <v>2.2272692640697902E-9</v>
      </c>
      <c r="R12" s="64" t="s">
        <v>180</v>
      </c>
      <c r="S12" s="64" cm="1">
        <f t="array" aca="1" ref="S12" ca="1">INDIRECT("'C Impact of Optimization'!M" &amp; 5 + (ROW(A8)-1)*4)</f>
        <v>23.52609</v>
      </c>
      <c r="T12" s="64" cm="1">
        <f t="array" aca="1" ref="T12" ca="1">INDIRECT("'C Impact of Optimization'!M" &amp; 6 + (ROW(A8)-1)*4)</f>
        <v>10.99189</v>
      </c>
      <c r="U12" s="64" cm="1">
        <f t="array" aca="1" ref="U12" ca="1">INDIRECT("'C Impact of Optimization'!Q" &amp; 5 + (ROW(A8)-1)*4)*100</f>
        <v>-53.277871503509509</v>
      </c>
      <c r="V12" s="64">
        <v>2.8719490663203402E-11</v>
      </c>
      <c r="W12" s="64" t="s">
        <v>180</v>
      </c>
      <c r="X12" s="64">
        <f t="shared" ca="1" si="0"/>
        <v>-30.59535777010338</v>
      </c>
      <c r="Z12" s="49" t="s">
        <v>160</v>
      </c>
      <c r="AA12" s="27" t="str" cm="1">
        <f t="array" aca="1" ref="AA12" ca="1">_xlfn.TEXTJOIN(", ", TRUE, IF(J5:J30 &gt;= 75, B5:B30, ""))</f>
        <v>T8</v>
      </c>
      <c r="AC12" s="49" t="s">
        <v>160</v>
      </c>
      <c r="AD12" s="27" t="str" cm="1">
        <f t="array" aca="1" ref="AD12" ca="1">_xlfn.TEXTJOIN(", ", TRUE, IF(U5:U30 &gt;= 75, M5:M30, ""))</f>
        <v/>
      </c>
    </row>
    <row r="13" spans="2:30" x14ac:dyDescent="0.25">
      <c r="B13" s="66" t="s">
        <v>25</v>
      </c>
      <c r="C13" s="64" cm="1">
        <f t="array" aca="1" ref="C13" ca="1">INDIRECT("'C Impact of Optimization'!D" &amp; 3 + (ROW(A9)-1)*4)</f>
        <v>8.3780000000000001</v>
      </c>
      <c r="D13" s="64" cm="1">
        <f t="array" aca="1" ref="D13" ca="1">INDIRECT("'C Impact of Optimization'!D" &amp; 4 + (ROW(A9)-1)*4)</f>
        <v>6.2830000000000004</v>
      </c>
      <c r="E13" s="64" cm="1">
        <f t="array" aca="1" ref="E13" ca="1">INDIRECT("'C Impact of Optimization'!N" &amp; 3 + (ROW(A9)-1)*4)*100</f>
        <v>-25.005968011458577</v>
      </c>
      <c r="F13" s="64">
        <v>2.8719490663203402E-11</v>
      </c>
      <c r="G13" s="67" t="s">
        <v>180</v>
      </c>
      <c r="H13" s="64" cm="1">
        <f t="array" aca="1" ref="H13" ca="1">INDIRECT("'C Impact of Optimization'!M" &amp; 3 + (ROW(A9)-1)*4)</f>
        <v>455.00918000000001</v>
      </c>
      <c r="I13" s="64" cm="1">
        <f t="array" aca="1" ref="I13" ca="1">INDIRECT("'C Impact of Optimization'!M" &amp; 4 + (ROW(A9)-1)*4)</f>
        <v>327.09298000000001</v>
      </c>
      <c r="J13" s="64" cm="1">
        <f t="array" aca="1" ref="J13" ca="1">INDIRECT("'C Impact of Optimization'!Q" &amp; 3 + (ROW(A9)-1)*4)*100</f>
        <v>-28.112883348859025</v>
      </c>
      <c r="K13" s="64">
        <v>2.8719490663203402E-11</v>
      </c>
      <c r="L13" s="64" t="s">
        <v>180</v>
      </c>
      <c r="M13" s="68" t="s">
        <v>25</v>
      </c>
      <c r="N13" s="64" cm="1">
        <f t="array" aca="1" ref="N13" ca="1">INDIRECT("'C Impact of Optimization'!D" &amp; 5 + (ROW(A9)-1)*4)</f>
        <v>8.4740000000000002</v>
      </c>
      <c r="O13" s="64" cm="1">
        <f t="array" aca="1" ref="O13" ca="1">INDIRECT("'C Impact of Optimization'!D" &amp; 6 + (ROW(A9)-1)*4)</f>
        <v>6.3079999999999998</v>
      </c>
      <c r="P13" s="64" cm="1">
        <f t="array" aca="1" ref="P13" ca="1">INDIRECT("'C Impact of Optimization'!N" &amp; 5 + (ROW(A9)-1)*4)*100</f>
        <v>-25.560538116591928</v>
      </c>
      <c r="Q13" s="64">
        <v>2.8719490663203402E-11</v>
      </c>
      <c r="R13" s="64" t="s">
        <v>180</v>
      </c>
      <c r="S13" s="64" cm="1">
        <f t="array" aca="1" ref="S13" ca="1">INDIRECT("'C Impact of Optimization'!M" &amp; 5 + (ROW(A9)-1)*4)</f>
        <v>452.17264</v>
      </c>
      <c r="T13" s="64" cm="1">
        <f t="array" aca="1" ref="T13" ca="1">INDIRECT("'C Impact of Optimization'!M" &amp; 6 + (ROW(A9)-1)*4)</f>
        <v>299.37768</v>
      </c>
      <c r="U13" s="64" cm="1">
        <f t="array" aca="1" ref="U13" ca="1">INDIRECT("'C Impact of Optimization'!Q" &amp; 5 + (ROW(A9)-1)*4)*100</f>
        <v>-33.79128821239604</v>
      </c>
      <c r="V13" s="64">
        <v>2.8719490663203402E-11</v>
      </c>
      <c r="W13" s="64" t="s">
        <v>180</v>
      </c>
      <c r="X13" s="64">
        <f t="shared" ca="1" si="0"/>
        <v>-30.952085780627534</v>
      </c>
    </row>
    <row r="14" spans="2:30" x14ac:dyDescent="0.25">
      <c r="B14" s="66" t="s">
        <v>31</v>
      </c>
      <c r="C14" s="64" cm="1">
        <f t="array" aca="1" ref="C14" ca="1">INDIRECT("'C Impact of Optimization'!D" &amp; 3 + (ROW(A10)-1)*4)</f>
        <v>1.0469999999999999</v>
      </c>
      <c r="D14" s="64" cm="1">
        <f t="array" aca="1" ref="D14" ca="1">INDIRECT("'C Impact of Optimization'!D" &amp; 4 + (ROW(A10)-1)*4)</f>
        <v>1.0469999999999999</v>
      </c>
      <c r="E14" s="64" cm="1">
        <f t="array" aca="1" ref="E14" ca="1">INDIRECT("'C Impact of Optimization'!N" &amp; 3 + (ROW(A10)-1)*4)*100</f>
        <v>0</v>
      </c>
      <c r="F14" s="64">
        <v>1.8567337307334022E-9</v>
      </c>
      <c r="G14" s="67" t="s">
        <v>180</v>
      </c>
      <c r="H14" s="64" cm="1">
        <f t="array" aca="1" ref="H14" ca="1">INDIRECT("'C Impact of Optimization'!M" &amp; 3 + (ROW(A10)-1)*4)</f>
        <v>24.269459999999999</v>
      </c>
      <c r="I14" s="64" cm="1">
        <f t="array" aca="1" ref="I14" ca="1">INDIRECT("'C Impact of Optimization'!M" &amp; 4 + (ROW(A10)-1)*4)</f>
        <v>23.557500000000001</v>
      </c>
      <c r="J14" s="64" cm="1">
        <f t="array" aca="1" ref="J14" ca="1">INDIRECT("'C Impact of Optimization'!Q" &amp; 3 + (ROW(A10)-1)*4)*100</f>
        <v>-2.9335634167385582</v>
      </c>
      <c r="K14" s="64">
        <v>2.8719490663203402E-11</v>
      </c>
      <c r="L14" s="64" t="s">
        <v>180</v>
      </c>
      <c r="M14" s="68" t="s">
        <v>31</v>
      </c>
      <c r="N14" s="64" cm="1">
        <f t="array" aca="1" ref="N14" ca="1">INDIRECT("'C Impact of Optimization'!D" &amp; 5 + (ROW(A10)-1)*4)</f>
        <v>1.0469999999999999</v>
      </c>
      <c r="O14" s="64" cm="1">
        <f t="array" aca="1" ref="O14" ca="1">INDIRECT("'C Impact of Optimization'!D" &amp; 6 + (ROW(A10)-1)*4)</f>
        <v>1.0469999999999999</v>
      </c>
      <c r="P14" s="64" cm="1">
        <f t="array" aca="1" ref="P14" ca="1">INDIRECT("'C Impact of Optimization'!N" &amp; 5 + (ROW(A10)-1)*4)*100</f>
        <v>0</v>
      </c>
      <c r="Q14" s="64">
        <v>2.4934439776647416E-8</v>
      </c>
      <c r="R14" s="64" t="s">
        <v>180</v>
      </c>
      <c r="S14" s="64" cm="1">
        <f t="array" aca="1" ref="S14" ca="1">INDIRECT("'C Impact of Optimization'!M" &amp; 5 + (ROW(A10)-1)*4)</f>
        <v>22.259219999999999</v>
      </c>
      <c r="T14" s="64" cm="1">
        <f t="array" aca="1" ref="T14" ca="1">INDIRECT("'C Impact of Optimization'!M" &amp; 6 + (ROW(A10)-1)*4)</f>
        <v>21.871829999999999</v>
      </c>
      <c r="U14" s="64" cm="1">
        <f t="array" aca="1" ref="U14" ca="1">INDIRECT("'C Impact of Optimization'!Q" &amp; 5 + (ROW(A10)-1)*4)*100</f>
        <v>-1.7403574788334899</v>
      </c>
      <c r="V14" s="64">
        <v>3.1752172486680018E-11</v>
      </c>
      <c r="W14" s="64" t="s">
        <v>180</v>
      </c>
      <c r="X14" s="64">
        <f t="shared" ca="1" si="0"/>
        <v>-2.3369604477860242</v>
      </c>
    </row>
    <row r="15" spans="2:30" x14ac:dyDescent="0.25">
      <c r="B15" s="66" t="s">
        <v>33</v>
      </c>
      <c r="C15" s="64" cm="1">
        <f t="array" aca="1" ref="C15" ca="1">INDIRECT("'C Impact of Optimization'!D" &amp; 3 + (ROW(A11)-1)*4)</f>
        <v>1.0469999999999999</v>
      </c>
      <c r="D15" s="64" cm="1">
        <f t="array" aca="1" ref="D15" ca="1">INDIRECT("'C Impact of Optimization'!D" &amp; 4 + (ROW(A11)-1)*4)</f>
        <v>1.0469999999999999</v>
      </c>
      <c r="E15" s="64" cm="1">
        <f t="array" aca="1" ref="E15" ca="1">INDIRECT("'C Impact of Optimization'!N" &amp; 3 + (ROW(A11)-1)*4)*100</f>
        <v>0</v>
      </c>
      <c r="F15" s="64">
        <v>7.6949635609501229E-8</v>
      </c>
      <c r="G15" s="67" t="s">
        <v>180</v>
      </c>
      <c r="H15" s="64" cm="1">
        <f t="array" aca="1" ref="H15" ca="1">INDIRECT("'C Impact of Optimization'!M" &amp; 3 + (ROW(A11)-1)*4)</f>
        <v>24.489329999999999</v>
      </c>
      <c r="I15" s="64" cm="1">
        <f t="array" aca="1" ref="I15" ca="1">INDIRECT("'C Impact of Optimization'!M" &amp; 4 + (ROW(A11)-1)*4)</f>
        <v>23.882069999999999</v>
      </c>
      <c r="J15" s="64" cm="1">
        <f t="array" aca="1" ref="J15" ca="1">INDIRECT("'C Impact of Optimization'!Q" &amp; 3 + (ROW(A11)-1)*4)*100</f>
        <v>-2.4796921761436517</v>
      </c>
      <c r="K15" s="64">
        <v>3.5097576968084933E-11</v>
      </c>
      <c r="L15" s="64" t="s">
        <v>180</v>
      </c>
      <c r="M15" s="68" t="s">
        <v>33</v>
      </c>
      <c r="N15" s="64" cm="1">
        <f t="array" aca="1" ref="N15" ca="1">INDIRECT("'C Impact of Optimization'!D" &amp; 5 + (ROW(A11)-1)*4)</f>
        <v>1.0469999999999999</v>
      </c>
      <c r="O15" s="64" cm="1">
        <f t="array" aca="1" ref="O15" ca="1">INDIRECT("'C Impact of Optimization'!D" &amp; 6 + (ROW(A11)-1)*4)</f>
        <v>1.0469999999999999</v>
      </c>
      <c r="P15" s="64" cm="1">
        <f t="array" aca="1" ref="P15" ca="1">INDIRECT("'C Impact of Optimization'!N" &amp; 5 + (ROW(A11)-1)*4)*100</f>
        <v>0</v>
      </c>
      <c r="Q15" s="64">
        <v>4.0771648468253477E-11</v>
      </c>
      <c r="R15" s="64" t="s">
        <v>180</v>
      </c>
      <c r="S15" s="64" cm="1">
        <f t="array" aca="1" ref="S15" ca="1">INDIRECT("'C Impact of Optimization'!M" &amp; 5 + (ROW(A11)-1)*4)</f>
        <v>24.03912</v>
      </c>
      <c r="T15" s="64" cm="1">
        <f t="array" aca="1" ref="T15" ca="1">INDIRECT("'C Impact of Optimization'!M" &amp; 6 + (ROW(A11)-1)*4)</f>
        <v>23.714549999999999</v>
      </c>
      <c r="U15" s="64" cm="1">
        <f t="array" aca="1" ref="U15" ca="1">INDIRECT("'C Impact of Optimization'!Q" &amp; 5 + (ROW(A11)-1)*4)*100</f>
        <v>-1.35017421602788</v>
      </c>
      <c r="V15" s="64">
        <v>3.5097576968084933E-11</v>
      </c>
      <c r="W15" s="64" t="s">
        <v>180</v>
      </c>
      <c r="X15" s="64">
        <f t="shared" ca="1" si="0"/>
        <v>-1.9149331960857658</v>
      </c>
    </row>
    <row r="16" spans="2:30" x14ac:dyDescent="0.25">
      <c r="B16" s="66" t="s">
        <v>37</v>
      </c>
      <c r="C16" s="64" cm="1">
        <f t="array" aca="1" ref="C16" ca="1">INDIRECT("'C Impact of Optimization'!D" &amp; 3 + (ROW(A12)-1)*4)</f>
        <v>12.95</v>
      </c>
      <c r="D16" s="64" cm="1">
        <f t="array" aca="1" ref="D16" ca="1">INDIRECT("'C Impact of Optimization'!D" &amp; 4 + (ROW(A12)-1)*4)</f>
        <v>1.57</v>
      </c>
      <c r="E16" s="64" cm="1">
        <f t="array" aca="1" ref="E16" ca="1">INDIRECT("'C Impact of Optimization'!N" &amp; 3 + (ROW(A12)-1)*4)*100</f>
        <v>-87.87644787644787</v>
      </c>
      <c r="F16" s="64">
        <v>2.8719490663203402E-11</v>
      </c>
      <c r="G16" s="67" t="s">
        <v>180</v>
      </c>
      <c r="H16" s="64" cm="1">
        <f t="array" aca="1" ref="H16" ca="1">INDIRECT("'C Impact of Optimization'!M" &amp; 3 + (ROW(A12)-1)*4)</f>
        <v>661.6155</v>
      </c>
      <c r="I16" s="64" cm="1">
        <f t="array" aca="1" ref="I16" ca="1">INDIRECT("'C Impact of Optimization'!M" &amp; 4 + (ROW(A12)-1)*4)</f>
        <v>51.307600000000001</v>
      </c>
      <c r="J16" s="64" cm="1">
        <f t="array" aca="1" ref="J16" ca="1">INDIRECT("'C Impact of Optimization'!Q" &amp; 3 + (ROW(A12)-1)*4)*100</f>
        <v>-92.245103084797748</v>
      </c>
      <c r="K16" s="64">
        <v>2.8719490663203402E-11</v>
      </c>
      <c r="L16" s="64" t="s">
        <v>180</v>
      </c>
      <c r="M16" s="68" t="s">
        <v>37</v>
      </c>
      <c r="N16" s="64" cm="1">
        <f t="array" aca="1" ref="N16" ca="1">INDIRECT("'C Impact of Optimization'!D" &amp; 5 + (ROW(A12)-1)*4)</f>
        <v>12.733000000000001</v>
      </c>
      <c r="O16" s="64" cm="1">
        <f t="array" aca="1" ref="O16" ca="1">INDIRECT("'C Impact of Optimization'!D" &amp; 6 + (ROW(A12)-1)*4)</f>
        <v>1.577</v>
      </c>
      <c r="P16" s="64" cm="1">
        <f t="array" aca="1" ref="P16" ca="1">INDIRECT("'C Impact of Optimization'!N" &amp; 5 + (ROW(A12)-1)*4)*100</f>
        <v>-87.614859027723242</v>
      </c>
      <c r="Q16" s="64">
        <v>2.8719490663203402E-11</v>
      </c>
      <c r="R16" s="64" t="s">
        <v>180</v>
      </c>
      <c r="S16" s="64" cm="1">
        <f t="array" aca="1" ref="S16" ca="1">INDIRECT("'C Impact of Optimization'!M" &amp; 5 + (ROW(A12)-1)*4)</f>
        <v>681.97948000000008</v>
      </c>
      <c r="T16" s="64" cm="1">
        <f t="array" aca="1" ref="T16" ca="1">INDIRECT("'C Impact of Optimization'!M" &amp; 6 + (ROW(A12)-1)*4)</f>
        <v>57.970519999999993</v>
      </c>
      <c r="U16" s="64" cm="1">
        <f t="array" aca="1" ref="U16" ca="1">INDIRECT("'C Impact of Optimization'!Q" &amp; 5 + (ROW(A12)-1)*4)*100</f>
        <v>-91.499667995875782</v>
      </c>
      <c r="V16" s="64">
        <v>2.8719490663203402E-11</v>
      </c>
      <c r="W16" s="64" t="s">
        <v>180</v>
      </c>
      <c r="X16" s="64">
        <f t="shared" ca="1" si="0"/>
        <v>-91.872385540336765</v>
      </c>
    </row>
    <row r="17" spans="2:24" x14ac:dyDescent="0.25">
      <c r="B17" s="66" t="s">
        <v>39</v>
      </c>
      <c r="C17" s="64" cm="1">
        <f t="array" aca="1" ref="C17" ca="1">INDIRECT("'C Impact of Optimization'!D" &amp; 3 + (ROW(A13)-1)*4)</f>
        <v>8.9009999999999998</v>
      </c>
      <c r="D17" s="64" cm="1">
        <f t="array" aca="1" ref="D17" ca="1">INDIRECT("'C Impact of Optimization'!D" &amp; 4 + (ROW(A13)-1)*4)</f>
        <v>1.1000000000000001</v>
      </c>
      <c r="E17" s="64" cm="1">
        <f t="array" aca="1" ref="E17" ca="1">INDIRECT("'C Impact of Optimization'!N" &amp; 3 + (ROW(A13)-1)*4)*100</f>
        <v>-87.641837995730825</v>
      </c>
      <c r="F17" s="64">
        <v>2.8719490663203402E-11</v>
      </c>
      <c r="G17" s="67" t="s">
        <v>180</v>
      </c>
      <c r="H17" s="64" cm="1">
        <f t="array" aca="1" ref="H17" ca="1">INDIRECT("'C Impact of Optimization'!M" &amp; 3 + (ROW(A13)-1)*4)</f>
        <v>423.06452999999999</v>
      </c>
      <c r="I17" s="64" cm="1">
        <f t="array" aca="1" ref="I17" ca="1">INDIRECT("'C Impact of Optimization'!M" &amp; 4 + (ROW(A13)-1)*4)</f>
        <v>29.491</v>
      </c>
      <c r="J17" s="64" cm="1">
        <f t="array" aca="1" ref="J17" ca="1">INDIRECT("'C Impact of Optimization'!Q" &amp; 3 + (ROW(A13)-1)*4)*100</f>
        <v>-93.029195806133885</v>
      </c>
      <c r="K17" s="64">
        <v>2.8719490663203402E-11</v>
      </c>
      <c r="L17" s="64" t="s">
        <v>180</v>
      </c>
      <c r="M17" s="68" t="s">
        <v>39</v>
      </c>
      <c r="N17" s="64" cm="1">
        <f t="array" aca="1" ref="N17" ca="1">INDIRECT("'C Impact of Optimization'!D" &amp; 5 + (ROW(A13)-1)*4)</f>
        <v>3.1419999999999999</v>
      </c>
      <c r="O17" s="64" cm="1">
        <f t="array" aca="1" ref="O17" ca="1">INDIRECT("'C Impact of Optimization'!D" &amp; 6 + (ROW(A13)-1)*4)</f>
        <v>1.5760000000000001</v>
      </c>
      <c r="P17" s="64" cm="1">
        <f t="array" aca="1" ref="P17" ca="1">INDIRECT("'C Impact of Optimization'!N" &amp; 5 + (ROW(A13)-1)*4)*100</f>
        <v>-49.8408656906429</v>
      </c>
      <c r="Q17" s="64">
        <v>2.8719490663203402E-11</v>
      </c>
      <c r="R17" s="64" t="s">
        <v>180</v>
      </c>
      <c r="S17" s="64" cm="1">
        <f t="array" aca="1" ref="S17" ca="1">INDIRECT("'C Impact of Optimization'!M" &amp; 5 + (ROW(A13)-1)*4)</f>
        <v>138.84497999999999</v>
      </c>
      <c r="T17" s="64" cm="1">
        <f t="array" aca="1" ref="T17" ca="1">INDIRECT("'C Impact of Optimization'!M" &amp; 6 + (ROW(A13)-1)*4)</f>
        <v>44.191040000000001</v>
      </c>
      <c r="U17" s="64" cm="1">
        <f t="array" aca="1" ref="U17" ca="1">INDIRECT("'C Impact of Optimization'!Q" &amp; 5 + (ROW(A13)-1)*4)*100</f>
        <v>-68.172389091777035</v>
      </c>
      <c r="V17" s="64">
        <v>2.8719490663203402E-11</v>
      </c>
      <c r="W17" s="64" t="s">
        <v>180</v>
      </c>
      <c r="X17" s="64">
        <f t="shared" ca="1" si="0"/>
        <v>-80.60079244895546</v>
      </c>
    </row>
    <row r="18" spans="2:24" x14ac:dyDescent="0.25">
      <c r="B18" s="66" t="s">
        <v>49</v>
      </c>
      <c r="C18" s="64" cm="1">
        <f t="array" aca="1" ref="C18" ca="1">INDIRECT("'C Impact of Optimization'!D" &amp; 3 + (ROW(A14)-1)*4)</f>
        <v>18.850000000000001</v>
      </c>
      <c r="D18" s="64" cm="1">
        <f t="array" aca="1" ref="D18" ca="1">INDIRECT("'C Impact of Optimization'!D" &amp; 4 + (ROW(A14)-1)*4)</f>
        <v>4.7290000000000001</v>
      </c>
      <c r="E18" s="64" cm="1">
        <f t="array" aca="1" ref="E18" ca="1">INDIRECT("'C Impact of Optimization'!N" &amp; 3 + (ROW(A14)-1)*4)*100</f>
        <v>-74.912466843501335</v>
      </c>
      <c r="F18" s="64">
        <v>2.8719490663203402E-11</v>
      </c>
      <c r="G18" s="67" t="s">
        <v>180</v>
      </c>
      <c r="H18" s="64" cm="1">
        <f t="array" aca="1" ref="H18" ca="1">INDIRECT("'C Impact of Optimization'!M" &amp; 3 + (ROW(A14)-1)*4)</f>
        <v>1018.0885</v>
      </c>
      <c r="I18" s="64" cm="1">
        <f t="array" aca="1" ref="I18" ca="1">INDIRECT("'C Impact of Optimization'!M" &amp; 4 + (ROW(A14)-1)*4)</f>
        <v>222.87777</v>
      </c>
      <c r="J18" s="64" cm="1">
        <f t="array" aca="1" ref="J18" ca="1">INDIRECT("'C Impact of Optimization'!Q" &amp; 3 + (ROW(A14)-1)*4)*100</f>
        <v>-78.108212596449135</v>
      </c>
      <c r="K18" s="64">
        <v>2.8719490663203402E-11</v>
      </c>
      <c r="L18" s="64" t="s">
        <v>180</v>
      </c>
      <c r="M18" s="68" t="s">
        <v>49</v>
      </c>
      <c r="N18" s="64" cm="1">
        <f t="array" aca="1" ref="N18" ca="1">INDIRECT("'C Impact of Optimization'!D" &amp; 5 + (ROW(A14)-1)*4)</f>
        <v>15.737</v>
      </c>
      <c r="O18" s="64" cm="1">
        <f t="array" aca="1" ref="O18" ca="1">INDIRECT("'C Impact of Optimization'!D" &amp; 6 + (ROW(A14)-1)*4)</f>
        <v>3.6819999999999999</v>
      </c>
      <c r="P18" s="64" cm="1">
        <f t="array" aca="1" ref="P18" ca="1">INDIRECT("'C Impact of Optimization'!N" &amp; 5 + (ROW(A14)-1)*4)*100</f>
        <v>-76.602910338692254</v>
      </c>
      <c r="Q18" s="64">
        <v>2.8719490663203402E-11</v>
      </c>
      <c r="R18" s="64" t="s">
        <v>180</v>
      </c>
      <c r="S18" s="64" cm="1">
        <f t="array" aca="1" ref="S18" ca="1">INDIRECT("'C Impact of Optimization'!M" &amp; 5 + (ROW(A14)-1)*4)</f>
        <v>837.05102999999997</v>
      </c>
      <c r="T18" s="64" cm="1">
        <f t="array" aca="1" ref="T18" ca="1">INDIRECT("'C Impact of Optimization'!M" &amp; 6 + (ROW(A14)-1)*4)</f>
        <v>169.18790000000001</v>
      </c>
      <c r="U18" s="64" cm="1">
        <f t="array" aca="1" ref="U18" ca="1">INDIRECT("'C Impact of Optimization'!Q" &amp; 5 + (ROW(A14)-1)*4)*100</f>
        <v>-79.787624178659684</v>
      </c>
      <c r="V18" s="64">
        <v>2.8719490663203402E-11</v>
      </c>
      <c r="W18" s="64" t="s">
        <v>180</v>
      </c>
      <c r="X18" s="64">
        <f t="shared" ca="1" si="0"/>
        <v>-78.947918387554409</v>
      </c>
    </row>
    <row r="19" spans="2:24" x14ac:dyDescent="0.25">
      <c r="B19" s="66" t="s">
        <v>51</v>
      </c>
      <c r="C19" s="64" cm="1">
        <f t="array" aca="1" ref="C19" ca="1">INDIRECT("'C Impact of Optimization'!D" &amp; 3 + (ROW(A15)-1)*4)</f>
        <v>18.324999999999999</v>
      </c>
      <c r="D19" s="64" cm="1">
        <f t="array" aca="1" ref="D19" ca="1">INDIRECT("'C Impact of Optimization'!D" &amp; 4 + (ROW(A15)-1)*4)</f>
        <v>5.2539999999999996</v>
      </c>
      <c r="E19" s="64" cm="1">
        <f t="array" aca="1" ref="E19" ca="1">INDIRECT("'C Impact of Optimization'!N" &amp; 3 + (ROW(A15)-1)*4)*100</f>
        <v>-71.328785811732615</v>
      </c>
      <c r="F19" s="64">
        <v>2.8719490663203402E-11</v>
      </c>
      <c r="G19" s="67" t="s">
        <v>180</v>
      </c>
      <c r="H19" s="64" cm="1">
        <f t="array" aca="1" ref="H19" ca="1">INDIRECT("'C Impact of Optimization'!M" &amp; 3 + (ROW(A15)-1)*4)</f>
        <v>918.44899999999996</v>
      </c>
      <c r="I19" s="64" cm="1">
        <f t="array" aca="1" ref="I19" ca="1">INDIRECT("'C Impact of Optimization'!M" &amp; 4 + (ROW(A15)-1)*4)</f>
        <v>237.16556</v>
      </c>
      <c r="J19" s="64" cm="1">
        <f t="array" aca="1" ref="J19" ca="1">INDIRECT("'C Impact of Optimization'!Q" &amp; 3 + (ROW(A15)-1)*4)*100</f>
        <v>-74.177601587023332</v>
      </c>
      <c r="K19" s="64">
        <v>2.8719490663203402E-11</v>
      </c>
      <c r="L19" s="64" t="s">
        <v>180</v>
      </c>
      <c r="M19" s="68" t="s">
        <v>51</v>
      </c>
      <c r="N19" s="64" cm="1">
        <f t="array" aca="1" ref="N19" ca="1">INDIRECT("'C Impact of Optimization'!D" &amp; 5 + (ROW(A15)-1)*4)</f>
        <v>18.927</v>
      </c>
      <c r="O19" s="64" cm="1">
        <f t="array" aca="1" ref="O19" ca="1">INDIRECT("'C Impact of Optimization'!D" &amp; 6 + (ROW(A15)-1)*4)</f>
        <v>1.087</v>
      </c>
      <c r="P19" s="64" cm="1">
        <f t="array" aca="1" ref="P19" ca="1">INDIRECT("'C Impact of Optimization'!N" &amp; 5 + (ROW(A15)-1)*4)*100</f>
        <v>-94.256881703386696</v>
      </c>
      <c r="Q19" s="64">
        <v>2.8719490663203402E-11</v>
      </c>
      <c r="R19" s="64" t="s">
        <v>180</v>
      </c>
      <c r="S19" s="64" cm="1">
        <f t="array" aca="1" ref="S19" ca="1">INDIRECT("'C Impact of Optimization'!M" &amp; 5 + (ROW(A15)-1)*4)</f>
        <v>907.73892000000001</v>
      </c>
      <c r="T19" s="64" cm="1">
        <f t="array" aca="1" ref="T19" ca="1">INDIRECT("'C Impact of Optimization'!M" &amp; 6 + (ROW(A15)-1)*4)</f>
        <v>25.94669</v>
      </c>
      <c r="U19" s="64" cm="1">
        <f t="array" aca="1" ref="U19" ca="1">INDIRECT("'C Impact of Optimization'!Q" &amp; 5 + (ROW(A15)-1)*4)*100</f>
        <v>-97.141613141364473</v>
      </c>
      <c r="V19" s="64">
        <v>2.8719490663203402E-11</v>
      </c>
      <c r="W19" s="64" t="s">
        <v>180</v>
      </c>
      <c r="X19" s="64">
        <f t="shared" ca="1" si="0"/>
        <v>-85.659607364193903</v>
      </c>
    </row>
    <row r="20" spans="2:24" x14ac:dyDescent="0.25">
      <c r="B20" s="66" t="s">
        <v>55</v>
      </c>
      <c r="C20" s="64" cm="1">
        <f t="array" aca="1" ref="C20" ca="1">INDIRECT("'C Impact of Optimization'!D" &amp; 3 + (ROW(A16)-1)*4)</f>
        <v>9.9480000000000004</v>
      </c>
      <c r="D20" s="64" cm="1">
        <f t="array" aca="1" ref="D20" ca="1">INDIRECT("'C Impact of Optimization'!D" &amp; 4 + (ROW(A16)-1)*4)</f>
        <v>2.7050000000000001</v>
      </c>
      <c r="E20" s="64" cm="1">
        <f t="array" aca="1" ref="E20" ca="1">INDIRECT("'C Impact of Optimization'!N" &amp; 3 + (ROW(A16)-1)*4)*100</f>
        <v>-72.808604744672294</v>
      </c>
      <c r="F20" s="64">
        <v>2.8719490663203402E-11</v>
      </c>
      <c r="G20" s="67" t="s">
        <v>180</v>
      </c>
      <c r="H20" s="64" cm="1">
        <f t="array" aca="1" ref="H20" ca="1">INDIRECT("'C Impact of Optimization'!M" &amp; 3 + (ROW(A16)-1)*4)</f>
        <v>531.42216000000008</v>
      </c>
      <c r="I20" s="64" cm="1">
        <f t="array" aca="1" ref="I20" ca="1">INDIRECT("'C Impact of Optimization'!M" &amp; 4 + (ROW(A16)-1)*4)</f>
        <v>116.61255</v>
      </c>
      <c r="J20" s="64" cm="1">
        <f t="array" aca="1" ref="J20" ca="1">INDIRECT("'C Impact of Optimization'!Q" &amp; 3 + (ROW(A16)-1)*4)*100</f>
        <v>-78.056513488259498</v>
      </c>
      <c r="K20" s="64">
        <v>2.8719490663203402E-11</v>
      </c>
      <c r="L20" s="64" t="s">
        <v>180</v>
      </c>
      <c r="M20" s="68" t="s">
        <v>55</v>
      </c>
      <c r="N20" s="64" cm="1">
        <f t="array" aca="1" ref="N20" ca="1">INDIRECT("'C Impact of Optimization'!D" &amp; 5 + (ROW(A16)-1)*4)</f>
        <v>13.654999999999999</v>
      </c>
      <c r="O20" s="64" cm="1">
        <f t="array" aca="1" ref="O20" ca="1">INDIRECT("'C Impact of Optimization'!D" &amp; 6 + (ROW(A16)-1)*4)</f>
        <v>3.153</v>
      </c>
      <c r="P20" s="64" cm="1">
        <f t="array" aca="1" ref="P20" ca="1">INDIRECT("'C Impact of Optimization'!N" &amp; 5 + (ROW(A16)-1)*4)*100</f>
        <v>-76.90955693885023</v>
      </c>
      <c r="Q20" s="64">
        <v>2.8719490663203402E-11</v>
      </c>
      <c r="R20" s="64" t="s">
        <v>180</v>
      </c>
      <c r="S20" s="64" cm="1">
        <f t="array" aca="1" ref="S20" ca="1">INDIRECT("'C Impact of Optimization'!M" &amp; 5 + (ROW(A16)-1)*4)</f>
        <v>747.06504999999993</v>
      </c>
      <c r="T20" s="64" cm="1">
        <f t="array" aca="1" ref="T20" ca="1">INDIRECT("'C Impact of Optimization'!M" &amp; 6 + (ROW(A16)-1)*4)</f>
        <v>134.0025</v>
      </c>
      <c r="U20" s="64" cm="1">
        <f t="array" aca="1" ref="U20" ca="1">INDIRECT("'C Impact of Optimization'!Q" &amp; 5 + (ROW(A16)-1)*4)*100</f>
        <v>-82.06280698046308</v>
      </c>
      <c r="V20" s="64">
        <v>2.8719490663203402E-11</v>
      </c>
      <c r="W20" s="64" t="s">
        <v>180</v>
      </c>
      <c r="X20" s="64">
        <f t="shared" ca="1" si="0"/>
        <v>-80.059660234361289</v>
      </c>
    </row>
    <row r="21" spans="2:24" x14ac:dyDescent="0.25">
      <c r="B21" s="66" t="s">
        <v>57</v>
      </c>
      <c r="C21" s="64" cm="1">
        <f t="array" aca="1" ref="C21" ca="1">INDIRECT("'C Impact of Optimization'!D" &amp; 3 + (ROW(A17)-1)*4)</f>
        <v>1.0469999999999999</v>
      </c>
      <c r="D21" s="64" cm="1">
        <f t="array" aca="1" ref="D21" ca="1">INDIRECT("'C Impact of Optimization'!D" &amp; 4 + (ROW(A17)-1)*4)</f>
        <v>0.52400000000000002</v>
      </c>
      <c r="E21" s="64" cm="1">
        <f t="array" aca="1" ref="E21" ca="1">INDIRECT("'C Impact of Optimization'!N" &amp; 3 + (ROW(A17)-1)*4)*100</f>
        <v>-49.952244508118426</v>
      </c>
      <c r="F21" s="64">
        <v>2.8719490663203402E-11</v>
      </c>
      <c r="G21" s="67" t="s">
        <v>180</v>
      </c>
      <c r="H21" s="64" cm="1">
        <f t="array" aca="1" ref="H21" ca="1">INDIRECT("'C Impact of Optimization'!M" &amp; 3 + (ROW(A17)-1)*4)</f>
        <v>20.898119999999999</v>
      </c>
      <c r="I21" s="64" cm="1">
        <f t="array" aca="1" ref="I21" ca="1">INDIRECT("'C Impact of Optimization'!M" &amp; 4 + (ROW(A17)-1)*4)</f>
        <v>10.197039999999999</v>
      </c>
      <c r="J21" s="64" cm="1">
        <f t="array" aca="1" ref="J21" ca="1">INDIRECT("'C Impact of Optimization'!Q" &amp; 3 + (ROW(A17)-1)*4)*100</f>
        <v>-51.20594579799522</v>
      </c>
      <c r="K21" s="64">
        <v>2.8719490663203402E-11</v>
      </c>
      <c r="L21" s="64" t="s">
        <v>180</v>
      </c>
      <c r="M21" s="68" t="s">
        <v>57</v>
      </c>
      <c r="N21" s="64" cm="1">
        <f t="array" aca="1" ref="N21" ca="1">INDIRECT("'C Impact of Optimization'!D" &amp; 5 + (ROW(A17)-1)*4)</f>
        <v>1.0469999999999999</v>
      </c>
      <c r="O21" s="64" cm="1">
        <f t="array" aca="1" ref="O21" ca="1">INDIRECT("'C Impact of Optimization'!D" &amp; 6 + (ROW(A17)-1)*4)</f>
        <v>0.52300000000000002</v>
      </c>
      <c r="P21" s="64" cm="1">
        <f t="array" aca="1" ref="P21" ca="1">INDIRECT("'C Impact of Optimization'!N" &amp; 5 + (ROW(A17)-1)*4)*100</f>
        <v>-50.04775549188156</v>
      </c>
      <c r="Q21" s="64">
        <v>2.8719490663203402E-11</v>
      </c>
      <c r="R21" s="64" t="s">
        <v>180</v>
      </c>
      <c r="S21" s="64" cm="1">
        <f t="array" aca="1" ref="S21" ca="1">INDIRECT("'C Impact of Optimization'!M" &amp; 5 + (ROW(A17)-1)*4)</f>
        <v>21.159870000000002</v>
      </c>
      <c r="T21" s="64" cm="1">
        <f t="array" aca="1" ref="T21" ca="1">INDIRECT("'C Impact of Optimization'!M" &amp; 6 + (ROW(A17)-1)*4)</f>
        <v>10.26126</v>
      </c>
      <c r="U21" s="64" cm="1">
        <f t="array" aca="1" ref="U21" ca="1">INDIRECT("'C Impact of Optimization'!Q" &amp; 5 + (ROW(A17)-1)*4)*100</f>
        <v>-51.506034772425359</v>
      </c>
      <c r="V21" s="64">
        <v>2.8719490663203402E-11</v>
      </c>
      <c r="W21" s="64" t="s">
        <v>180</v>
      </c>
      <c r="X21" s="64">
        <f t="shared" ca="1" si="0"/>
        <v>-51.355990285210289</v>
      </c>
    </row>
    <row r="22" spans="2:24" x14ac:dyDescent="0.25">
      <c r="B22" s="66" t="s">
        <v>61</v>
      </c>
      <c r="C22" s="64" cm="1">
        <f t="array" aca="1" ref="C22" ca="1">INDIRECT("'C Impact of Optimization'!D" &amp; 3 + (ROW(A18)-1)*4)</f>
        <v>16.18</v>
      </c>
      <c r="D22" s="64" cm="1">
        <f t="array" aca="1" ref="D22" ca="1">INDIRECT("'C Impact of Optimization'!D" &amp; 4 + (ROW(A18)-1)*4)</f>
        <v>12.467000000000001</v>
      </c>
      <c r="E22" s="64" cm="1">
        <f t="array" aca="1" ref="E22" ca="1">INDIRECT("'C Impact of Optimization'!N" &amp; 3 + (ROW(A18)-1)*4)*100</f>
        <v>-22.948084054388129</v>
      </c>
      <c r="F22" s="64">
        <v>2.8719490663203402E-11</v>
      </c>
      <c r="G22" s="67" t="s">
        <v>180</v>
      </c>
      <c r="H22" s="64" cm="1">
        <f t="array" aca="1" ref="H22" ca="1">INDIRECT("'C Impact of Optimization'!M" &amp; 3 + (ROW(A18)-1)*4)</f>
        <v>1067.2328</v>
      </c>
      <c r="I22" s="64" cm="1">
        <f t="array" aca="1" ref="I22" ca="1">INDIRECT("'C Impact of Optimization'!M" &amp; 4 + (ROW(A18)-1)*4)</f>
        <v>850.62341000000004</v>
      </c>
      <c r="J22" s="64" cm="1">
        <f t="array" aca="1" ref="J22" ca="1">INDIRECT("'C Impact of Optimization'!Q" &amp; 3 + (ROW(A18)-1)*4)*100</f>
        <v>-20.296358020480625</v>
      </c>
      <c r="K22" s="64">
        <v>2.8719490663203402E-11</v>
      </c>
      <c r="L22" s="64" t="s">
        <v>180</v>
      </c>
      <c r="M22" s="68" t="s">
        <v>61</v>
      </c>
      <c r="N22" s="64" cm="1">
        <f t="array" aca="1" ref="N22" ca="1">INDIRECT("'C Impact of Optimization'!D" &amp; 5 + (ROW(A18)-1)*4)</f>
        <v>23.395</v>
      </c>
      <c r="O22" s="64" cm="1">
        <f t="array" aca="1" ref="O22" ca="1">INDIRECT("'C Impact of Optimization'!D" &amp; 6 + (ROW(A18)-1)*4)</f>
        <v>17.895</v>
      </c>
      <c r="P22" s="64" cm="1">
        <f t="array" aca="1" ref="P22" ca="1">INDIRECT("'C Impact of Optimization'!N" &amp; 5 + (ROW(A18)-1)*4)*100</f>
        <v>-23.509296858303056</v>
      </c>
      <c r="Q22" s="64">
        <v>2.8719490663203402E-11</v>
      </c>
      <c r="R22" s="64" t="s">
        <v>180</v>
      </c>
      <c r="S22" s="64" cm="1">
        <f t="array" aca="1" ref="S22" ca="1">INDIRECT("'C Impact of Optimization'!M" &amp; 5 + (ROW(A18)-1)*4)</f>
        <v>1591.7958000000001</v>
      </c>
      <c r="T22" s="64" cm="1">
        <f t="array" aca="1" ref="T22" ca="1">INDIRECT("'C Impact of Optimization'!M" &amp; 6 + (ROW(A18)-1)*4)</f>
        <v>1205.2282499999999</v>
      </c>
      <c r="U22" s="64" cm="1">
        <f t="array" aca="1" ref="U22" ca="1">INDIRECT("'C Impact of Optimization'!Q" &amp; 5 + (ROW(A18)-1)*4)*100</f>
        <v>-24.284996228787648</v>
      </c>
      <c r="V22" s="64">
        <v>2.8719490663203402E-11</v>
      </c>
      <c r="W22" s="64" t="s">
        <v>180</v>
      </c>
      <c r="X22" s="64">
        <f t="shared" ca="1" si="0"/>
        <v>-22.290677124634136</v>
      </c>
    </row>
    <row r="23" spans="2:24" x14ac:dyDescent="0.25">
      <c r="B23" s="66" t="s">
        <v>63</v>
      </c>
      <c r="C23" s="64" cm="1">
        <f t="array" aca="1" ref="C23" ca="1">INDIRECT("'C Impact of Optimization'!D" &amp; 3 + (ROW(A19)-1)*4)</f>
        <v>1.0469999999999999</v>
      </c>
      <c r="D23" s="64" cm="1">
        <f t="array" aca="1" ref="D23" ca="1">INDIRECT("'C Impact of Optimization'!D" &amp; 4 + (ROW(A19)-1)*4)</f>
        <v>1.0469999999999999</v>
      </c>
      <c r="E23" s="64" cm="1">
        <f t="array" aca="1" ref="E23" ca="1">INDIRECT("'C Impact of Optimization'!N" &amp; 3 + (ROW(A19)-1)*4)*100</f>
        <v>0</v>
      </c>
      <c r="F23" s="64">
        <v>2.8719490663203402E-11</v>
      </c>
      <c r="G23" s="67" t="s">
        <v>180</v>
      </c>
      <c r="H23" s="64" cm="1">
        <f t="array" aca="1" ref="H23" ca="1">INDIRECT("'C Impact of Optimization'!M" &amp; 3 + (ROW(A19)-1)*4)</f>
        <v>32.226660000000003</v>
      </c>
      <c r="I23" s="64" cm="1">
        <f t="array" aca="1" ref="I23" ca="1">INDIRECT("'C Impact of Optimization'!M" &amp; 4 + (ROW(A19)-1)*4)</f>
        <v>25.243169999999999</v>
      </c>
      <c r="J23" s="64" cm="1">
        <f t="array" aca="1" ref="J23" ca="1">INDIRECT("'C Impact of Optimization'!Q" &amp; 3 + (ROW(A19)-1)*4)*100</f>
        <v>-21.669915529564662</v>
      </c>
      <c r="K23" s="64">
        <v>2.8719490663203402E-11</v>
      </c>
      <c r="L23" s="64" t="s">
        <v>180</v>
      </c>
      <c r="M23" s="68" t="s">
        <v>63</v>
      </c>
      <c r="N23" s="64" cm="1">
        <f t="array" aca="1" ref="N23" ca="1">INDIRECT("'C Impact of Optimization'!D" &amp; 5 + (ROW(A19)-1)*4)</f>
        <v>1.048</v>
      </c>
      <c r="O23" s="64" cm="1">
        <f t="array" aca="1" ref="O23" ca="1">INDIRECT("'C Impact of Optimization'!D" &amp; 6 + (ROW(A19)-1)*4)</f>
        <v>1.0469999999999999</v>
      </c>
      <c r="P23" s="64" cm="1">
        <f t="array" aca="1" ref="P23" ca="1">INDIRECT("'C Impact of Optimization'!N" &amp; 5 + (ROW(A19)-1)*4)*100</f>
        <v>-9.5419847328254953E-2</v>
      </c>
      <c r="Q23" s="64">
        <v>2.8719490663203402E-11</v>
      </c>
      <c r="R23" s="64" t="s">
        <v>180</v>
      </c>
      <c r="S23" s="64" cm="1">
        <f t="array" aca="1" ref="S23" ca="1">INDIRECT("'C Impact of Optimization'!M" &amp; 5 + (ROW(A19)-1)*4)</f>
        <v>31.743919999999999</v>
      </c>
      <c r="T23" s="64" cm="1">
        <f t="array" aca="1" ref="T23" ca="1">INDIRECT("'C Impact of Optimization'!M" &amp; 6 + (ROW(A19)-1)*4)</f>
        <v>24.635909999999999</v>
      </c>
      <c r="U23" s="64" cm="1">
        <f t="array" aca="1" ref="U23" ca="1">INDIRECT("'C Impact of Optimization'!Q" &amp; 5 + (ROW(A19)-1)*4)*100</f>
        <v>-22.391720997280739</v>
      </c>
      <c r="V23" s="64">
        <v>2.8719490663203402E-11</v>
      </c>
      <c r="W23" s="64" t="s">
        <v>180</v>
      </c>
      <c r="X23" s="64">
        <f t="shared" ca="1" si="0"/>
        <v>-22.030818263422702</v>
      </c>
    </row>
    <row r="24" spans="2:24" x14ac:dyDescent="0.25">
      <c r="B24" s="66" t="s">
        <v>65</v>
      </c>
      <c r="C24" s="64" cm="1">
        <f t="array" aca="1" ref="C24" ca="1">INDIRECT("'C Impact of Optimization'!D" &amp; 3 + (ROW(A20)-1)*4)</f>
        <v>1.0469999999999999</v>
      </c>
      <c r="D24" s="64" cm="1">
        <f t="array" aca="1" ref="D24" ca="1">INDIRECT("'C Impact of Optimization'!D" &amp; 4 + (ROW(A20)-1)*4)</f>
        <v>1.0469999999999999</v>
      </c>
      <c r="E24" s="64" cm="1">
        <f t="array" aca="1" ref="E24" ca="1">INDIRECT("'C Impact of Optimization'!N" &amp; 3 + (ROW(A20)-1)*4)*100</f>
        <v>0</v>
      </c>
      <c r="F24" s="64">
        <v>0.44641943595997247</v>
      </c>
      <c r="G24" s="67" t="s">
        <v>210</v>
      </c>
      <c r="H24" s="64" cm="1">
        <f t="array" aca="1" ref="H24" ca="1">INDIRECT("'C Impact of Optimization'!M" &amp; 3 + (ROW(A20)-1)*4)</f>
        <v>27.399989999999999</v>
      </c>
      <c r="I24" s="64" cm="1">
        <f t="array" aca="1" ref="I24" ca="1">INDIRECT("'C Impact of Optimization'!M" &amp; 4 + (ROW(A20)-1)*4)</f>
        <v>22.248750000000001</v>
      </c>
      <c r="J24" s="64" cm="1">
        <f t="array" aca="1" ref="J24" ca="1">INDIRECT("'C Impact of Optimization'!Q" &amp; 3 + (ROW(A20)-1)*4)*100</f>
        <v>-18.800152846771105</v>
      </c>
      <c r="K24" s="64">
        <v>2.0532682990164651E-10</v>
      </c>
      <c r="L24" s="64" t="s">
        <v>180</v>
      </c>
      <c r="M24" s="68" t="s">
        <v>65</v>
      </c>
      <c r="N24" s="64" cm="1">
        <f t="array" aca="1" ref="N24" ca="1">INDIRECT("'C Impact of Optimization'!D" &amp; 5 + (ROW(A20)-1)*4)</f>
        <v>1.0469999999999999</v>
      </c>
      <c r="O24" s="64" cm="1">
        <f t="array" aca="1" ref="O24" ca="1">INDIRECT("'C Impact of Optimization'!D" &amp; 6 + (ROW(A20)-1)*4)</f>
        <v>1.0469999999999999</v>
      </c>
      <c r="P24" s="64" cm="1">
        <f t="array" aca="1" ref="P24" ca="1">INDIRECT("'C Impact of Optimization'!N" &amp; 5 + (ROW(A20)-1)*4)*100</f>
        <v>0</v>
      </c>
      <c r="Q24" s="64">
        <v>0.93519197023933909</v>
      </c>
      <c r="R24" s="64" t="s">
        <v>210</v>
      </c>
      <c r="S24" s="64" cm="1">
        <f t="array" aca="1" ref="S24" ca="1">INDIRECT("'C Impact of Optimization'!M" &amp; 5 + (ROW(A20)-1)*4)</f>
        <v>27.002130000000001</v>
      </c>
      <c r="T24" s="64" cm="1">
        <f t="array" aca="1" ref="T24" ca="1">INDIRECT("'C Impact of Optimization'!M" &amp; 6 + (ROW(A20)-1)*4)</f>
        <v>23.7669</v>
      </c>
      <c r="U24" s="64" cm="1">
        <f t="array" aca="1" ref="U24" ca="1">INDIRECT("'C Impact of Optimization'!Q" &amp; 5 + (ROW(A20)-1)*4)*100</f>
        <v>-11.981388134936026</v>
      </c>
      <c r="V24" s="64">
        <v>2.7141182122491357E-8</v>
      </c>
      <c r="W24" s="64" t="s">
        <v>180</v>
      </c>
      <c r="X24" s="64">
        <f t="shared" ca="1" si="0"/>
        <v>-15.390770490853566</v>
      </c>
    </row>
    <row r="25" spans="2:24" x14ac:dyDescent="0.25">
      <c r="B25" s="66" t="s">
        <v>71</v>
      </c>
      <c r="C25" s="64" cm="1">
        <f t="array" aca="1" ref="C25" ca="1">INDIRECT("'C Impact of Optimization'!D" &amp; 3 + (ROW(A21)-1)*4)</f>
        <v>4.1890000000000001</v>
      </c>
      <c r="D25" s="64" cm="1">
        <f t="array" aca="1" ref="D25" ca="1">INDIRECT("'C Impact of Optimization'!D" &amp; 4 + (ROW(A21)-1)*4)</f>
        <v>0.52400000000000002</v>
      </c>
      <c r="E25" s="64" cm="1">
        <f t="array" aca="1" ref="E25" ca="1">INDIRECT("'C Impact of Optimization'!N" &amp; 3 + (ROW(A21)-1)*4)*100</f>
        <v>-87.491047982812134</v>
      </c>
      <c r="F25" s="64">
        <v>2.8719490663203402E-11</v>
      </c>
      <c r="G25" s="67" t="s">
        <v>180</v>
      </c>
      <c r="H25" s="64" cm="1">
        <f t="array" aca="1" ref="H25" ca="1">INDIRECT("'C Impact of Optimization'!M" &amp; 3 + (ROW(A21)-1)*4)</f>
        <v>193.02912000000001</v>
      </c>
      <c r="I25" s="64" cm="1">
        <f t="array" aca="1" ref="I25" ca="1">INDIRECT("'C Impact of Optimization'!M" &amp; 4 + (ROW(A21)-1)*4)</f>
        <v>9.0232799999999997</v>
      </c>
      <c r="J25" s="64" cm="1">
        <f t="array" aca="1" ref="J25" ca="1">INDIRECT("'C Impact of Optimization'!Q" &amp; 3 + (ROW(A21)-1)*4)*100</f>
        <v>-95.325430691493594</v>
      </c>
      <c r="K25" s="64">
        <v>2.8719490663203402E-11</v>
      </c>
      <c r="L25" s="64" t="s">
        <v>180</v>
      </c>
      <c r="M25" s="68" t="s">
        <v>71</v>
      </c>
      <c r="N25" s="64" cm="1">
        <f t="array" aca="1" ref="N25" ca="1">INDIRECT("'C Impact of Optimization'!D" &amp; 5 + (ROW(A21)-1)*4)</f>
        <v>4.7119999999999997</v>
      </c>
      <c r="O25" s="64" cm="1">
        <f t="array" aca="1" ref="O25" ca="1">INDIRECT("'C Impact of Optimization'!D" &amp; 6 + (ROW(A21)-1)*4)</f>
        <v>0.52300000000000002</v>
      </c>
      <c r="P25" s="64" cm="1">
        <f t="array" aca="1" ref="P25" ca="1">INDIRECT("'C Impact of Optimization'!N" &amp; 5 + (ROW(A21)-1)*4)*100</f>
        <v>-88.900679117147718</v>
      </c>
      <c r="Q25" s="64">
        <v>2.8719490663203402E-11</v>
      </c>
      <c r="R25" s="64" t="s">
        <v>180</v>
      </c>
      <c r="S25" s="64" cm="1">
        <f t="array" aca="1" ref="S25" ca="1">INDIRECT("'C Impact of Optimization'!M" &amp; 5 + (ROW(A21)-1)*4)</f>
        <v>201.01392000000001</v>
      </c>
      <c r="T25" s="64" cm="1">
        <f t="array" aca="1" ref="T25" ca="1">INDIRECT("'C Impact of Optimization'!M" &amp; 6 + (ROW(A21)-1)*4)</f>
        <v>9.2466400000000011</v>
      </c>
      <c r="U25" s="64" cm="1">
        <f t="array" aca="1" ref="U25" ca="1">INDIRECT("'C Impact of Optimization'!Q" &amp; 5 + (ROW(A21)-1)*4)*100</f>
        <v>-95.400000159192942</v>
      </c>
      <c r="V25" s="64">
        <v>2.8719490663203402E-11</v>
      </c>
      <c r="W25" s="64" t="s">
        <v>180</v>
      </c>
      <c r="X25" s="64">
        <f t="shared" ca="1" si="0"/>
        <v>-95.362715425343268</v>
      </c>
    </row>
    <row r="26" spans="2:24" x14ac:dyDescent="0.25">
      <c r="B26" s="66" t="s">
        <v>79</v>
      </c>
      <c r="C26" s="64" cm="1">
        <f t="array" aca="1" ref="C26" ca="1">INDIRECT("'C Impact of Optimization'!D" &amp; 3 + (ROW(A22)-1)*4)</f>
        <v>11.519</v>
      </c>
      <c r="D26" s="64" cm="1">
        <f t="array" aca="1" ref="D26" ca="1">INDIRECT("'C Impact of Optimization'!D" &amp; 4 + (ROW(A22)-1)*4)</f>
        <v>6.2149999999999999</v>
      </c>
      <c r="E26" s="64" cm="1">
        <f t="array" aca="1" ref="E26" ca="1">INDIRECT("'C Impact of Optimization'!N" &amp; 3 + (ROW(A22)-1)*4)*100</f>
        <v>-46.045663686083863</v>
      </c>
      <c r="F26" s="64">
        <v>2.8719490663203402E-11</v>
      </c>
      <c r="G26" s="67" t="s">
        <v>180</v>
      </c>
      <c r="H26" s="64" cm="1">
        <f t="array" aca="1" ref="H26" ca="1">INDIRECT("'C Impact of Optimization'!M" &amp; 3 + (ROW(A22)-1)*4)</f>
        <v>695.97798</v>
      </c>
      <c r="I26" s="64" cm="1">
        <f t="array" aca="1" ref="I26" ca="1">INDIRECT("'C Impact of Optimization'!M" &amp; 4 + (ROW(A22)-1)*4)</f>
        <v>328.64920000000001</v>
      </c>
      <c r="J26" s="64" cm="1">
        <f t="array" aca="1" ref="J26" ca="1">INDIRECT("'C Impact of Optimization'!Q" &amp; 3 + (ROW(A22)-1)*4)*100</f>
        <v>-52.778793375043279</v>
      </c>
      <c r="K26" s="64">
        <v>2.8719490663203402E-11</v>
      </c>
      <c r="L26" s="64" t="s">
        <v>180</v>
      </c>
      <c r="M26" s="68" t="s">
        <v>79</v>
      </c>
      <c r="N26" s="64" cm="1">
        <f t="array" aca="1" ref="N26" ca="1">INDIRECT("'C Impact of Optimization'!D" &amp; 5 + (ROW(A22)-1)*4)</f>
        <v>10.023</v>
      </c>
      <c r="O26" s="64" cm="1">
        <f t="array" aca="1" ref="O26" ca="1">INDIRECT("'C Impact of Optimization'!D" &amp; 6 + (ROW(A22)-1)*4)</f>
        <v>1.577</v>
      </c>
      <c r="P26" s="64" cm="1">
        <f t="array" aca="1" ref="P26" ca="1">INDIRECT("'C Impact of Optimization'!N" &amp; 5 + (ROW(A22)-1)*4)*100</f>
        <v>-84.266187768133292</v>
      </c>
      <c r="Q26" s="64">
        <v>2.8719490663203402E-11</v>
      </c>
      <c r="R26" s="64" t="s">
        <v>180</v>
      </c>
      <c r="S26" s="64" cm="1">
        <f t="array" aca="1" ref="S26" ca="1">INDIRECT("'C Impact of Optimization'!M" &amp; 5 + (ROW(A22)-1)*4)</f>
        <v>568.70501999999999</v>
      </c>
      <c r="T26" s="64" cm="1">
        <f t="array" aca="1" ref="T26" ca="1">INDIRECT("'C Impact of Optimization'!M" &amp; 6 + (ROW(A22)-1)*4)</f>
        <v>63.553099999999993</v>
      </c>
      <c r="U26" s="64" cm="1">
        <f t="array" aca="1" ref="U26" ca="1">INDIRECT("'C Impact of Optimization'!Q" &amp; 5 + (ROW(A22)-1)*4)*100</f>
        <v>-88.824944784204646</v>
      </c>
      <c r="V26" s="64">
        <v>2.8719490663203402E-11</v>
      </c>
      <c r="W26" s="64" t="s">
        <v>180</v>
      </c>
      <c r="X26" s="64">
        <f t="shared" ca="1" si="0"/>
        <v>-70.80186907962397</v>
      </c>
    </row>
    <row r="27" spans="2:24" x14ac:dyDescent="0.25">
      <c r="B27" s="66" t="s">
        <v>87</v>
      </c>
      <c r="C27" s="64" cm="1">
        <f t="array" aca="1" ref="C27" ca="1">INDIRECT("'C Impact of Optimization'!D" &amp; 3 + (ROW(A23)-1)*4)</f>
        <v>1.0469999999999999</v>
      </c>
      <c r="D27" s="64" cm="1">
        <f t="array" aca="1" ref="D27" ca="1">INDIRECT("'C Impact of Optimization'!D" &amp; 4 + (ROW(A23)-1)*4)</f>
        <v>0.54100000000000004</v>
      </c>
      <c r="E27" s="64" cm="1">
        <f t="array" aca="1" ref="E27" ca="1">INDIRECT("'C Impact of Optimization'!N" &amp; 3 + (ROW(A23)-1)*4)*100</f>
        <v>-48.328557784145168</v>
      </c>
      <c r="F27" s="64">
        <v>0.45084580127351437</v>
      </c>
      <c r="G27" s="67" t="s">
        <v>210</v>
      </c>
      <c r="H27" s="64" cm="1">
        <f t="array" aca="1" ref="H27" ca="1">INDIRECT("'C Impact of Optimization'!M" &amp; 3 + (ROW(A23)-1)*4)</f>
        <v>23.787839999999999</v>
      </c>
      <c r="I27" s="64" cm="1">
        <f t="array" aca="1" ref="I27" ca="1">INDIRECT("'C Impact of Optimization'!M" &amp; 4 + (ROW(A23)-1)*4)</f>
        <v>11.32854</v>
      </c>
      <c r="J27" s="64" cm="1">
        <f t="array" aca="1" ref="J27" ca="1">INDIRECT("'C Impact of Optimization'!Q" &amp; 3 + (ROW(A23)-1)*4)*100</f>
        <v>-52.376760563380273</v>
      </c>
      <c r="K27" s="64">
        <v>5.6977341940655079E-3</v>
      </c>
      <c r="L27" s="64" t="s">
        <v>209</v>
      </c>
      <c r="M27" s="68" t="s">
        <v>87</v>
      </c>
      <c r="N27" s="64" cm="1">
        <f t="array" aca="1" ref="N27" ca="1">INDIRECT("'C Impact of Optimization'!D" &amp; 5 + (ROW(A23)-1)*4)</f>
        <v>1.0469999999999999</v>
      </c>
      <c r="O27" s="64" cm="1">
        <f t="array" aca="1" ref="O27" ca="1">INDIRECT("'C Impact of Optimization'!D" &amp; 6 + (ROW(A23)-1)*4)</f>
        <v>0.52300000000000002</v>
      </c>
      <c r="P27" s="64" cm="1">
        <f t="array" aca="1" ref="P27" ca="1">INDIRECT("'C Impact of Optimization'!N" &amp; 5 + (ROW(A23)-1)*4)*100</f>
        <v>-50.04775549188156</v>
      </c>
      <c r="Q27" s="64">
        <v>0.70617148828122955</v>
      </c>
      <c r="R27" s="64" t="s">
        <v>210</v>
      </c>
      <c r="S27" s="64" cm="1">
        <f t="array" aca="1" ref="S27" ca="1">INDIRECT("'C Impact of Optimization'!M" &amp; 5 + (ROW(A23)-1)*4)</f>
        <v>23.243400000000001</v>
      </c>
      <c r="T27" s="64" cm="1">
        <f t="array" aca="1" ref="T27" ca="1">INDIRECT("'C Impact of Optimization'!M" &amp; 6 + (ROW(A23)-1)*4)</f>
        <v>10.78426</v>
      </c>
      <c r="U27" s="64" cm="1">
        <f t="array" aca="1" ref="U27" ca="1">INDIRECT("'C Impact of Optimization'!Q" &amp; 5 + (ROW(A23)-1)*4)*100</f>
        <v>-53.602915236153059</v>
      </c>
      <c r="V27" s="64">
        <v>2.0278491165597802E-2</v>
      </c>
      <c r="W27" s="64" t="s">
        <v>179</v>
      </c>
      <c r="X27" s="64">
        <f t="shared" ca="1" si="0"/>
        <v>-52.98983789976667</v>
      </c>
    </row>
    <row r="28" spans="2:24" x14ac:dyDescent="0.25">
      <c r="B28" s="66" t="s">
        <v>91</v>
      </c>
      <c r="C28" s="64" cm="1">
        <f t="array" aca="1" ref="C28" ca="1">INDIRECT("'C Impact of Optimization'!D" &amp; 3 + (ROW(A24)-1)*4)</f>
        <v>4.7119999999999997</v>
      </c>
      <c r="D28" s="64" cm="1">
        <f t="array" aca="1" ref="D28" ca="1">INDIRECT("'C Impact of Optimization'!D" &amp; 4 + (ROW(A24)-1)*4)</f>
        <v>0.52300000000000002</v>
      </c>
      <c r="E28" s="64" cm="1">
        <f t="array" aca="1" ref="E28" ca="1">INDIRECT("'C Impact of Optimization'!N" &amp; 3 + (ROW(A24)-1)*4)*100</f>
        <v>-88.900679117147718</v>
      </c>
      <c r="F28" s="64">
        <v>2.8719490663203402E-11</v>
      </c>
      <c r="G28" s="67" t="s">
        <v>180</v>
      </c>
      <c r="H28" s="64" cm="1">
        <f t="array" aca="1" ref="H28" ca="1">INDIRECT("'C Impact of Optimization'!M" &amp; 3 + (ROW(A24)-1)*4)</f>
        <v>230.88800000000001</v>
      </c>
      <c r="I28" s="64" cm="1">
        <f t="array" aca="1" ref="I28" ca="1">INDIRECT("'C Impact of Optimization'!M" &amp; 4 + (ROW(A24)-1)*4)</f>
        <v>11.79888</v>
      </c>
      <c r="J28" s="64" cm="1">
        <f t="array" aca="1" ref="J28" ca="1">INDIRECT("'C Impact of Optimization'!Q" &amp; 3 + (ROW(A24)-1)*4)*100</f>
        <v>-94.889782058833731</v>
      </c>
      <c r="K28" s="64">
        <v>2.8719490663203402E-11</v>
      </c>
      <c r="L28" s="64" t="s">
        <v>180</v>
      </c>
      <c r="M28" s="68" t="s">
        <v>91</v>
      </c>
      <c r="N28" s="64" cm="1">
        <f t="array" aca="1" ref="N28" ca="1">INDIRECT("'C Impact of Optimization'!D" &amp; 5 + (ROW(A24)-1)*4)</f>
        <v>4.1890000000000001</v>
      </c>
      <c r="O28" s="64" cm="1">
        <f t="array" aca="1" ref="O28" ca="1">INDIRECT("'C Impact of Optimization'!D" &amp; 6 + (ROW(A24)-1)*4)</f>
        <v>1.571</v>
      </c>
      <c r="P28" s="64" cm="1">
        <f t="array" aca="1" ref="P28" ca="1">INDIRECT("'C Impact of Optimization'!N" &amp; 5 + (ROW(A24)-1)*4)*100</f>
        <v>-62.497015994270711</v>
      </c>
      <c r="Q28" s="64">
        <v>2.8719490663203402E-11</v>
      </c>
      <c r="R28" s="64" t="s">
        <v>180</v>
      </c>
      <c r="S28" s="64" cm="1">
        <f t="array" aca="1" ref="S28" ca="1">INDIRECT("'C Impact of Optimization'!M" &amp; 5 + (ROW(A24)-1)*4)</f>
        <v>201.11389</v>
      </c>
      <c r="T28" s="64" cm="1">
        <f t="array" aca="1" ref="T28" ca="1">INDIRECT("'C Impact of Optimization'!M" &amp; 6 + (ROW(A24)-1)*4)</f>
        <v>54.010980000000004</v>
      </c>
      <c r="U28" s="64" cm="1">
        <f t="array" aca="1" ref="U28" ca="1">INDIRECT("'C Impact of Optimization'!Q" &amp; 5 + (ROW(A24)-1)*4)*100</f>
        <v>-73.144082688669599</v>
      </c>
      <c r="V28" s="64">
        <v>2.8719490663203402E-11</v>
      </c>
      <c r="W28" s="64" t="s">
        <v>180</v>
      </c>
      <c r="X28" s="64">
        <f t="shared" ca="1" si="0"/>
        <v>-84.016932373751672</v>
      </c>
    </row>
    <row r="29" spans="2:24" x14ac:dyDescent="0.25">
      <c r="B29" s="66" t="s">
        <v>93</v>
      </c>
      <c r="C29" s="64" cm="1">
        <f t="array" aca="1" ref="C29" ca="1">INDIRECT("'C Impact of Optimization'!D" &amp; 3 + (ROW(A25)-1)*4)</f>
        <v>403.29399999999998</v>
      </c>
      <c r="D29" s="64" cm="1">
        <f t="array" aca="1" ref="D29" ca="1">INDIRECT("'C Impact of Optimization'!D" &amp; 4 + (ROW(A25)-1)*4)</f>
        <v>16.832999999999998</v>
      </c>
      <c r="E29" s="64" cm="1">
        <f t="array" aca="1" ref="E29" ca="1">INDIRECT("'C Impact of Optimization'!N" &amp; 3 + (ROW(A25)-1)*4)*100</f>
        <v>-95.826121886266606</v>
      </c>
      <c r="F29" s="64">
        <v>2.8719490663203402E-11</v>
      </c>
      <c r="G29" s="67" t="s">
        <v>180</v>
      </c>
      <c r="H29" s="64" cm="1">
        <f t="array" aca="1" ref="H29" ca="1">INDIRECT("'C Impact of Optimization'!M" &amp; 3 + (ROW(A25)-1)*4)</f>
        <v>23673.357800000002</v>
      </c>
      <c r="I29" s="64" cm="1">
        <f t="array" aca="1" ref="I29" ca="1">INDIRECT("'C Impact of Optimization'!M" &amp; 4 + (ROW(A25)-1)*4)</f>
        <v>947.0245799999999</v>
      </c>
      <c r="J29" s="64" cm="1">
        <f t="array" aca="1" ref="J29" ca="1">INDIRECT("'C Impact of Optimization'!Q" &amp; 3 + (ROW(A25)-1)*4)*100</f>
        <v>-95.999618693719896</v>
      </c>
      <c r="K29" s="64">
        <v>2.8719490663203402E-11</v>
      </c>
      <c r="L29" s="64" t="s">
        <v>180</v>
      </c>
      <c r="M29" s="68" t="s">
        <v>93</v>
      </c>
      <c r="N29" s="64" cm="1">
        <f t="array" aca="1" ref="N29" ca="1">INDIRECT("'C Impact of Optimization'!D" &amp; 5 + (ROW(A25)-1)*4)</f>
        <v>155.691</v>
      </c>
      <c r="O29" s="64" cm="1">
        <f t="array" aca="1" ref="O29" ca="1">INDIRECT("'C Impact of Optimization'!D" &amp; 6 + (ROW(A25)-1)*4)</f>
        <v>14.205</v>
      </c>
      <c r="P29" s="64" cm="1">
        <f t="array" aca="1" ref="P29" ca="1">INDIRECT("'C Impact of Optimization'!N" &amp; 5 + (ROW(A25)-1)*4)*100</f>
        <v>-90.876158544809897</v>
      </c>
      <c r="Q29" s="64">
        <v>2.8719490663203402E-11</v>
      </c>
      <c r="R29" s="64" t="s">
        <v>180</v>
      </c>
      <c r="S29" s="64" cm="1">
        <f t="array" aca="1" ref="S29" ca="1">INDIRECT("'C Impact of Optimization'!M" &amp; 5 + (ROW(A25)-1)*4)</f>
        <v>9592.1225099999992</v>
      </c>
      <c r="T29" s="64" cm="1">
        <f t="array" aca="1" ref="T29" ca="1">INDIRECT("'C Impact of Optimization'!M" &amp; 6 + (ROW(A25)-1)*4)</f>
        <v>792.92309999999998</v>
      </c>
      <c r="U29" s="64" cm="1">
        <f t="array" aca="1" ref="U29" ca="1">INDIRECT("'C Impact of Optimization'!Q" &amp; 5 + (ROW(A25)-1)*4)*100</f>
        <v>-91.733601200637708</v>
      </c>
      <c r="V29" s="64">
        <v>2.8719490663203402E-11</v>
      </c>
      <c r="W29" s="64" t="s">
        <v>180</v>
      </c>
      <c r="X29" s="64">
        <f t="shared" ca="1" si="0"/>
        <v>-93.866609947178802</v>
      </c>
    </row>
    <row r="30" spans="2:24" x14ac:dyDescent="0.25">
      <c r="B30" s="23" t="s">
        <v>95</v>
      </c>
      <c r="C30" s="64" cm="1">
        <f t="array" aca="1" ref="C30" ca="1">INDIRECT("'C Impact of Optimization'!D" &amp; 3 + (ROW(A26)-1)*4)</f>
        <v>90.43</v>
      </c>
      <c r="D30" s="64" cm="1">
        <f t="array" aca="1" ref="D30" ca="1">INDIRECT("'C Impact of Optimization'!D" &amp; 4 + (ROW(A26)-1)*4)</f>
        <v>33.162999999999997</v>
      </c>
      <c r="E30" s="64" cm="1">
        <f t="array" aca="1" ref="E30" ca="1">INDIRECT("'C Impact of Optimization'!N" &amp; 3 + (ROW(A26)-1)*4)*100</f>
        <v>-63.327435585535788</v>
      </c>
      <c r="F30" s="64">
        <v>2.8719490663203402E-11</v>
      </c>
      <c r="G30" s="67" t="s">
        <v>180</v>
      </c>
      <c r="H30" s="64" cm="1">
        <f t="array" aca="1" ref="H30" ca="1">INDIRECT("'C Impact of Optimization'!M" &amp; 3 + (ROW(A26)-1)*4)</f>
        <v>5767.6254000000008</v>
      </c>
      <c r="I30" s="64" cm="1">
        <f t="array" aca="1" ref="I30" ca="1">INDIRECT("'C Impact of Optimization'!M" &amp; 4 + (ROW(A26)-1)*4)</f>
        <v>2127.7380800000001</v>
      </c>
      <c r="J30" s="64" cm="1">
        <f t="array" aca="1" ref="J30" ca="1">INDIRECT("'C Impact of Optimization'!Q" &amp; 3 + (ROW(A26)-1)*4)*100</f>
        <v>-63.108941159736212</v>
      </c>
      <c r="K30" s="64">
        <v>2.8719490663203402E-11</v>
      </c>
      <c r="L30" s="64" t="s">
        <v>180</v>
      </c>
      <c r="M30" s="69" t="s">
        <v>95</v>
      </c>
      <c r="N30" s="64" cm="1">
        <f t="array" aca="1" ref="N30" ca="1">INDIRECT("'C Impact of Optimization'!D" &amp; 5 + (ROW(A26)-1)*4)</f>
        <v>66.108000000000004</v>
      </c>
      <c r="O30" s="64" cm="1">
        <f t="array" aca="1" ref="O30" ca="1">INDIRECT("'C Impact of Optimization'!D" &amp; 6 + (ROW(A26)-1)*4)</f>
        <v>24.193999999999999</v>
      </c>
      <c r="P30" s="64" cm="1">
        <f t="array" aca="1" ref="P30" ca="1">INDIRECT("'C Impact of Optimization'!N" &amp; 5 + (ROW(A26)-1)*4)*100</f>
        <v>-63.402311369274521</v>
      </c>
      <c r="Q30" s="64">
        <v>2.8719490663203402E-11</v>
      </c>
      <c r="R30" s="64" t="s">
        <v>180</v>
      </c>
      <c r="S30" s="64" cm="1">
        <f t="array" aca="1" ref="S30" ca="1">INDIRECT("'C Impact of Optimization'!M" &amp; 5 + (ROW(A26)-1)*4)</f>
        <v>4180.6699200000003</v>
      </c>
      <c r="T30" s="64" cm="1">
        <f t="array" aca="1" ref="T30" ca="1">INDIRECT("'C Impact of Optimization'!M" &amp; 6 + (ROW(A26)-1)*4)</f>
        <v>1511.15724</v>
      </c>
      <c r="U30" s="64" cm="1">
        <f t="array" aca="1" ref="U30" ca="1">INDIRECT("'C Impact of Optimization'!Q" &amp; 5 + (ROW(A26)-1)*4)*100</f>
        <v>-63.85370601082996</v>
      </c>
      <c r="V30" s="64">
        <v>2.8719490663203402E-11</v>
      </c>
      <c r="W30" s="64" t="s">
        <v>180</v>
      </c>
      <c r="X30" s="64">
        <f t="shared" ca="1" si="0"/>
        <v>-63.481323585283086</v>
      </c>
    </row>
    <row r="31" spans="2:24" x14ac:dyDescent="0.25">
      <c r="X31" s="1"/>
    </row>
    <row r="32" spans="2:24" ht="18.75" x14ac:dyDescent="0.3">
      <c r="B32" s="108" t="s">
        <v>149</v>
      </c>
      <c r="C32" s="109"/>
      <c r="D32" s="109"/>
      <c r="E32" s="109"/>
      <c r="F32" s="109"/>
      <c r="G32" s="109"/>
      <c r="H32" s="109"/>
      <c r="I32" s="109"/>
      <c r="J32" s="109"/>
      <c r="K32" s="109"/>
      <c r="L32" s="109"/>
      <c r="M32" s="109"/>
      <c r="N32" s="109"/>
      <c r="O32" s="110"/>
    </row>
    <row r="33" spans="2:15" ht="15.75" x14ac:dyDescent="0.25">
      <c r="B33" s="105" t="s">
        <v>205</v>
      </c>
      <c r="C33" s="106"/>
      <c r="D33" s="106"/>
      <c r="E33" s="107"/>
      <c r="F33" s="70"/>
      <c r="G33" s="105" t="s">
        <v>205</v>
      </c>
      <c r="H33" s="106"/>
      <c r="I33" s="106"/>
      <c r="J33" s="107"/>
      <c r="K33" s="70"/>
      <c r="L33" s="105" t="s">
        <v>205</v>
      </c>
      <c r="M33" s="106"/>
      <c r="N33" s="106"/>
      <c r="O33" s="107"/>
    </row>
    <row r="34" spans="2:15" x14ac:dyDescent="0.25">
      <c r="B34" s="82" t="s">
        <v>111</v>
      </c>
      <c r="C34" s="83"/>
      <c r="D34" s="83"/>
      <c r="E34" s="84"/>
      <c r="F34" s="71"/>
      <c r="G34" s="82" t="s">
        <v>114</v>
      </c>
      <c r="H34" s="83"/>
      <c r="I34" s="83"/>
      <c r="J34" s="84"/>
      <c r="K34" s="71"/>
      <c r="L34" s="82" t="s">
        <v>215</v>
      </c>
      <c r="M34" s="83"/>
      <c r="N34" s="83"/>
      <c r="O34" s="84"/>
    </row>
    <row r="35" spans="2:15" x14ac:dyDescent="0.25">
      <c r="B35" s="39" t="s">
        <v>149</v>
      </c>
      <c r="C35" s="40" t="s">
        <v>173</v>
      </c>
      <c r="D35" s="40" t="s">
        <v>174</v>
      </c>
      <c r="E35" s="41" t="s">
        <v>175</v>
      </c>
      <c r="F35" s="71"/>
      <c r="G35" s="39" t="s">
        <v>149</v>
      </c>
      <c r="H35" s="40" t="s">
        <v>173</v>
      </c>
      <c r="I35" s="40" t="s">
        <v>174</v>
      </c>
      <c r="J35" s="41" t="s">
        <v>175</v>
      </c>
      <c r="K35" s="71"/>
      <c r="L35" s="39" t="s">
        <v>149</v>
      </c>
      <c r="M35" s="40" t="s">
        <v>173</v>
      </c>
      <c r="N35" s="40" t="s">
        <v>174</v>
      </c>
      <c r="O35" s="41" t="s">
        <v>175</v>
      </c>
    </row>
    <row r="36" spans="2:15" x14ac:dyDescent="0.25">
      <c r="B36" s="5" t="s">
        <v>176</v>
      </c>
      <c r="C36" s="28" cm="1">
        <f t="array" aca="1" ref="C36" ca="1">AVERAGE(_xlfn._xlws.FILTER($J$5:$J$30, ISNUMBER(MATCH($B$5:$B$30, _xlfn.TEXTSPLIT(_xlfn.TEXTJOIN(", ", TRUE, AA6:AA8), ", "), 0))))</f>
        <v>-55.925205006924152</v>
      </c>
      <c r="D36" s="28" cm="1">
        <f t="array" aca="1" ref="D36" ca="1">MIN(_xlfn._xlws.FILTER($J$5:$J$30, ISNUMBER(MATCH($B$5:$B$30, _xlfn.TEXTSPLIT(_xlfn.TEXTJOIN(", ", TRUE, AA6:AA8), ", "), 0))))</f>
        <v>-95.999618693719896</v>
      </c>
      <c r="E36" s="28" cm="1">
        <f t="array" aca="1" ref="E36" ca="1">MAX(_xlfn._xlws.FILTER($J$5:$J$30, ISNUMBER(MATCH($B$5:$B$30, _xlfn.TEXTSPLIT(_xlfn.TEXTJOIN(", ", TRUE, AA6:AA8), ", "), 0))))</f>
        <v>-4.5255474452554738</v>
      </c>
      <c r="F36" s="71"/>
      <c r="G36" s="5" t="s">
        <v>176</v>
      </c>
      <c r="H36" s="28" cm="1">
        <f t="array" aca="1" ref="H36" ca="1">AVERAGE(_xlfn._xlws.FILTER($U$5:$U$30, ISNUMBER(MATCH($M$5:$M$30, _xlfn.TEXTSPLIT(_xlfn.TEXTJOIN(", ", TRUE, AD6:AD8), ", "), 0))))</f>
        <v>-63.083946460453859</v>
      </c>
      <c r="I36" s="28" cm="1">
        <f t="array" aca="1" ref="I36" ca="1">MIN(_xlfn._xlws.FILTER($U$5:$U$30, ISNUMBER(MATCH($M$5:$M$30, _xlfn.TEXTSPLIT(_xlfn.TEXTJOIN(", ", TRUE, AD6:AD8), ", "), 0))))</f>
        <v>-97.141613141364473</v>
      </c>
      <c r="J36" s="28" cm="1">
        <f t="array" aca="1" ref="J36" ca="1">MAX(_xlfn._xlws.FILTER($U$5:$U$30, ISNUMBER(MATCH($M$5:$M$30, _xlfn.TEXTSPLIT(_xlfn.TEXTJOIN(", ", TRUE, AD6:AD8), ", "), 0))))</f>
        <v>-3.6309127248501007</v>
      </c>
      <c r="K36" s="71"/>
      <c r="L36" s="5" t="s">
        <v>176</v>
      </c>
      <c r="M36" s="28">
        <f ca="1">AVERAGE(C36,H36)</f>
        <v>-59.504575733689009</v>
      </c>
      <c r="N36" s="28">
        <f ca="1">MIN(D36,I36)</f>
        <v>-97.141613141364473</v>
      </c>
      <c r="O36" s="28">
        <f ca="1">MAX(E36,J36)</f>
        <v>-3.6309127248501007</v>
      </c>
    </row>
    <row r="37" spans="2:15" x14ac:dyDescent="0.25">
      <c r="B37" s="5" t="s">
        <v>177</v>
      </c>
      <c r="C37" s="28" cm="1">
        <f t="array" aca="1" ref="C37" ca="1">AVERAGE(_xlfn._xlws.FILTER($J$5:$J$30, ISNUMBER(MATCH($B$5:$B$30, _xlfn.TEXTSPLIT(_xlfn.TEXTJOIN(", ", TRUE, AA9), ", "), 0))))</f>
        <v>-1.3722971060144999</v>
      </c>
      <c r="D37" s="28" cm="1">
        <f t="array" aca="1" ref="D37" ca="1">MIN(_xlfn._xlws.FILTER($J$5:$J$30, ISNUMBER(MATCH($B$5:$B$30, _xlfn.TEXTSPLIT(_xlfn.TEXTJOIN(", ", TRUE, AA9), ", "), 0))))</f>
        <v>-2.9335634167385582</v>
      </c>
      <c r="E37" s="28" cm="1">
        <f t="array" aca="1" ref="E37" ca="1">MAX(_xlfn._xlws.FILTER($J$5:$J$30, ISNUMBER(MATCH($B$5:$B$30, _xlfn.TEXTSPLIT(_xlfn.TEXTJOIN(", ", TRUE, AA9), ", "), 0))))</f>
        <v>1.2963642748387096</v>
      </c>
      <c r="F37" s="71"/>
      <c r="G37" s="5" t="s">
        <v>177</v>
      </c>
      <c r="H37" s="28" cm="1">
        <f t="array" aca="1" ref="H37" ca="1">AVERAGE(_xlfn._xlws.FILTER($U$5:$U$30, ISNUMBER(MATCH($M$5:$M$30, _xlfn.TEXTSPLIT(_xlfn.TEXTJOIN(", ", TRUE, AD9), ", "), 0))))</f>
        <v>-0.3045651385186337</v>
      </c>
      <c r="I37" s="28" cm="1">
        <f t="array" aca="1" ref="I37" ca="1">MIN(_xlfn._xlws.FILTER($U$5:$U$30, ISNUMBER(MATCH($M$5:$M$30, _xlfn.TEXTSPLIT(_xlfn.TEXTJOIN(", ", TRUE, AD9), ", "), 0))))</f>
        <v>-1.7403574788334899</v>
      </c>
      <c r="J37" s="28" cm="1">
        <f t="array" aca="1" ref="J37" ca="1">MAX(_xlfn._xlws.FILTER($U$5:$U$30, ISNUMBER(MATCH($M$5:$M$30, _xlfn.TEXTSPLIT(_xlfn.TEXTJOIN(", ", TRUE, AD9), ", "), 0))))</f>
        <v>2.1768362793054687</v>
      </c>
      <c r="K37" s="71"/>
      <c r="L37" s="5" t="s">
        <v>177</v>
      </c>
      <c r="M37" s="28">
        <f ca="1">AVERAGE(C37,H37)</f>
        <v>-0.8384311222665668</v>
      </c>
      <c r="N37" s="28">
        <f ca="1">MIN(D37,I37)</f>
        <v>-2.9335634167385582</v>
      </c>
      <c r="O37" s="28">
        <f ca="1">MAX(E37,J37)</f>
        <v>2.1768362793054687</v>
      </c>
    </row>
    <row r="38" spans="2:15" x14ac:dyDescent="0.25">
      <c r="B38" s="5" t="s">
        <v>178</v>
      </c>
      <c r="C38" s="28" cm="1">
        <f t="array" aca="1" ref="C38" ca="1">AVERAGE(_xlfn._xlws.FILTER($J$5:$J$30, ISNUMBER(MATCH($B$5:$B$30, _xlfn.TEXTSPLIT(_xlfn.TEXTJOIN(", ", TRUE, AA10:AA12), ", "), 0))))</f>
        <v>352.33469434115182</v>
      </c>
      <c r="D38" s="28" cm="1">
        <f t="array" aca="1" ref="D38" ca="1">MIN(_xlfn._xlws.FILTER($J$5:$J$30, ISNUMBER(MATCH($B$5:$B$30, _xlfn.TEXTSPLIT(_xlfn.TEXTJOIN(", ", TRUE, AA10:AA12), ", "), 0))))</f>
        <v>352.33469434115182</v>
      </c>
      <c r="E38" s="28" cm="1">
        <f t="array" aca="1" ref="E38" ca="1">MAX(_xlfn._xlws.FILTER($J$5:$J$30, ISNUMBER(MATCH($B$5:$B$30, _xlfn.TEXTSPLIT(_xlfn.TEXTJOIN(", ", TRUE, AA10:AA12), ", "), 0))))</f>
        <v>352.33469434115182</v>
      </c>
      <c r="F38" s="71"/>
      <c r="G38" s="5" t="s">
        <v>178</v>
      </c>
      <c r="H38" s="28" cm="1">
        <f t="array" aca="1" ref="H38" ca="1">AVERAGE(_xlfn._xlws.FILTER($U$5:$U$30, ISNUMBER(MATCH($M$5:$M$30, _xlfn.TEXTSPLIT(_xlfn.TEXTJOIN(", ", TRUE, AD10:AD12), ", "), 0))))</f>
        <v>3.1931069437404953</v>
      </c>
      <c r="I38" s="28" cm="1">
        <f t="array" aca="1" ref="I38" ca="1">MIN(_xlfn._xlws.FILTER($U$5:$U$30, ISNUMBER(MATCH($M$5:$M$30, _xlfn.TEXTSPLIT(_xlfn.TEXTJOIN(", ", TRUE, AD10:AD12), ", "), 0))))</f>
        <v>3.1931069437404953</v>
      </c>
      <c r="J38" s="28" cm="1">
        <f t="array" aca="1" ref="J38" ca="1">MAX(_xlfn._xlws.FILTER($U$5:$U$30, ISNUMBER(MATCH($M$5:$M$30, _xlfn.TEXTSPLIT(_xlfn.TEXTJOIN(", ", TRUE, AD10:AD12), ", "), 0))))</f>
        <v>3.1931069437404953</v>
      </c>
      <c r="K38" s="71"/>
      <c r="L38" s="5" t="s">
        <v>178</v>
      </c>
      <c r="M38" s="28">
        <f ca="1">AVERAGE(C38,H38)</f>
        <v>177.76390064244615</v>
      </c>
      <c r="N38" s="28">
        <f ca="1">MIN(D38,I38)</f>
        <v>3.1931069437404953</v>
      </c>
      <c r="O38" s="28">
        <f ca="1">MAX(E38,J38)</f>
        <v>352.33469434115182</v>
      </c>
    </row>
    <row r="39" spans="2:15" x14ac:dyDescent="0.25">
      <c r="B39" s="5" t="s">
        <v>121</v>
      </c>
      <c r="C39" s="28" cm="1">
        <f t="array" aca="1" ref="C39" ca="1">AVERAGE(_xlfn._xlws.FILTER($J$5:$J$30, ISNUMBER(MATCH($B$5:$B$30, _xlfn.TEXTSPLIT(_xlfn.TEXTJOIN(", ", TRUE, AA6:AA12), ", "), 0))))</f>
        <v>-33.928334889585507</v>
      </c>
      <c r="D39" s="28" cm="1">
        <f t="array" aca="1" ref="D39" ca="1">MIN(_xlfn._xlws.FILTER($J$5:$J$30, ISNUMBER(MATCH($B$5:$B$30, _xlfn.TEXTSPLIT(_xlfn.TEXTJOIN(", ", TRUE, AA6:AA12), ", "), 0))))</f>
        <v>-95.999618693719896</v>
      </c>
      <c r="E39" s="28" cm="1">
        <f t="array" aca="1" ref="E39" ca="1">MAX(_xlfn._xlws.FILTER($J$5:$J$30, ISNUMBER(MATCH($B$5:$B$30, _xlfn.TEXTSPLIT(_xlfn.TEXTJOIN(", ", TRUE, AA6:AA12), ", "), 0))))</f>
        <v>352.33469434115182</v>
      </c>
      <c r="F39" s="72"/>
      <c r="G39" s="5" t="s">
        <v>121</v>
      </c>
      <c r="H39" s="28" cm="1">
        <f t="array" aca="1" ref="H39" ca="1">AVERAGE(_xlfn._xlws.FILTER($U$5:$U$30, ISNUMBER(MATCH($M$5:$M$30, _xlfn.TEXTSPLIT(_xlfn.TEXTJOIN(", ", TRUE, AD6:AD12), ", "), 0))))</f>
        <v>-53.291054253915405</v>
      </c>
      <c r="I39" s="28" cm="1">
        <f t="array" aca="1" ref="I39" ca="1">MIN(_xlfn._xlws.FILTER($U$5:$U$30, ISNUMBER(MATCH($M$5:$M$30, _xlfn.TEXTSPLIT(_xlfn.TEXTJOIN(", ", TRUE, AD6:AD12), ", "), 0))))</f>
        <v>-97.141613141364473</v>
      </c>
      <c r="J39" s="28" cm="1">
        <f t="array" aca="1" ref="J39" ca="1">MAX(_xlfn._xlws.FILTER($U$5:$U$30, ISNUMBER(MATCH($M$5:$M$30, _xlfn.TEXTSPLIT(_xlfn.TEXTJOIN(", ", TRUE, AD6:AD12), ", "), 0))))</f>
        <v>3.1931069437404953</v>
      </c>
      <c r="K39" s="72"/>
      <c r="L39" s="5" t="s">
        <v>121</v>
      </c>
      <c r="M39" s="28">
        <f ca="1">AVERAGE(C39,H39)</f>
        <v>-43.609694571750452</v>
      </c>
      <c r="N39" s="28">
        <f ca="1">MIN(D39,I39)</f>
        <v>-97.141613141364473</v>
      </c>
      <c r="O39" s="28">
        <f ca="1">MAX(E39,J39)</f>
        <v>352.33469434115182</v>
      </c>
    </row>
    <row r="41" spans="2:15" ht="21" x14ac:dyDescent="0.35">
      <c r="B41" s="102" t="s">
        <v>148</v>
      </c>
      <c r="C41" s="103"/>
      <c r="D41" s="103"/>
      <c r="E41" s="103"/>
      <c r="F41" s="103"/>
      <c r="G41" s="103"/>
      <c r="H41" s="103"/>
      <c r="I41" s="103"/>
      <c r="J41" s="103"/>
      <c r="K41" s="103"/>
      <c r="L41" s="103"/>
      <c r="M41" s="103"/>
      <c r="N41" s="103"/>
      <c r="O41" s="104"/>
    </row>
    <row r="42" spans="2:15" ht="15.75" x14ac:dyDescent="0.25">
      <c r="B42" s="105" t="s">
        <v>205</v>
      </c>
      <c r="C42" s="106"/>
      <c r="D42" s="106"/>
      <c r="E42" s="107"/>
      <c r="F42" s="70"/>
      <c r="G42" s="105" t="s">
        <v>205</v>
      </c>
      <c r="H42" s="106"/>
      <c r="I42" s="106"/>
      <c r="J42" s="107"/>
      <c r="K42" s="70"/>
      <c r="L42" s="105" t="s">
        <v>205</v>
      </c>
      <c r="M42" s="106"/>
      <c r="N42" s="106"/>
      <c r="O42" s="107"/>
    </row>
    <row r="43" spans="2:15" x14ac:dyDescent="0.25">
      <c r="B43" s="82" t="s">
        <v>111</v>
      </c>
      <c r="C43" s="83"/>
      <c r="D43" s="83"/>
      <c r="E43" s="84"/>
      <c r="F43" s="71"/>
      <c r="G43" s="82" t="s">
        <v>114</v>
      </c>
      <c r="H43" s="83"/>
      <c r="I43" s="83"/>
      <c r="J43" s="84"/>
      <c r="K43" s="71"/>
      <c r="L43" s="82" t="s">
        <v>215</v>
      </c>
      <c r="M43" s="83"/>
      <c r="N43" s="83"/>
      <c r="O43" s="84"/>
    </row>
    <row r="44" spans="2:15" x14ac:dyDescent="0.25">
      <c r="B44" s="39" t="s">
        <v>149</v>
      </c>
      <c r="C44" s="82" t="s">
        <v>214</v>
      </c>
      <c r="D44" s="83"/>
      <c r="E44" s="15" t="s">
        <v>213</v>
      </c>
      <c r="F44" s="73"/>
      <c r="G44" s="39" t="s">
        <v>149</v>
      </c>
      <c r="H44" s="82" t="s">
        <v>214</v>
      </c>
      <c r="I44" s="83"/>
      <c r="J44" s="15" t="s">
        <v>213</v>
      </c>
      <c r="K44" s="71"/>
      <c r="L44" s="39" t="s">
        <v>149</v>
      </c>
      <c r="M44" s="82" t="s">
        <v>214</v>
      </c>
      <c r="N44" s="83"/>
      <c r="O44" s="15" t="s">
        <v>213</v>
      </c>
    </row>
    <row r="45" spans="2:15" x14ac:dyDescent="0.25">
      <c r="B45" s="5" t="s">
        <v>176</v>
      </c>
      <c r="C45" s="100" cm="1">
        <f t="array" aca="1" ref="C45" ca="1">COUNT(_xlfn._xlws.FILTER($J$5:$J$30, ISNUMBER(MATCH($B$5:$B$30, _xlfn.TEXTSPLIT(_xlfn.TEXTJOIN(", ", TRUE, AA6:AA8), ", "), 0))))</f>
        <v>22</v>
      </c>
      <c r="D45" s="101"/>
      <c r="E45" s="56">
        <f ca="1">C45/C$48</f>
        <v>0.84615384615384615</v>
      </c>
      <c r="F45" s="71"/>
      <c r="G45" s="5" t="s">
        <v>176</v>
      </c>
      <c r="H45" s="100" cm="1">
        <f t="array" aca="1" ref="H45" ca="1">COUNT(_xlfn._xlws.FILTER($U$5:$U$30, ISNUMBER(MATCH($M$5:$M$30, _xlfn.TEXTSPLIT(_xlfn.TEXTJOIN(", ", TRUE, AD6:AD8), ", "), 0))))</f>
        <v>22</v>
      </c>
      <c r="I45" s="101"/>
      <c r="J45" s="56">
        <f ca="1">H45/H$48</f>
        <v>0.84615384615384615</v>
      </c>
      <c r="K45" s="71"/>
      <c r="L45" s="5" t="s">
        <v>176</v>
      </c>
      <c r="M45" s="100">
        <f ca="1">SUM(C45,H45)</f>
        <v>44</v>
      </c>
      <c r="N45" s="101"/>
      <c r="O45" s="56">
        <f ca="1">M45/M$48</f>
        <v>0.84615384615384615</v>
      </c>
    </row>
    <row r="46" spans="2:15" x14ac:dyDescent="0.25">
      <c r="B46" s="5" t="s">
        <v>177</v>
      </c>
      <c r="C46" s="100" cm="1">
        <f t="array" aca="1" ref="C46" ca="1">COUNT(_xlfn._xlws.FILTER($J$5:$J$30, ISNUMBER(MATCH($B$5:$B$30, _xlfn.TEXTSPLIT(_xlfn.TEXTJOIN(", ", TRUE, AA9), ", "), 0))))</f>
        <v>3</v>
      </c>
      <c r="D46" s="101"/>
      <c r="E46" s="56">
        <f ca="1">C46/C$48</f>
        <v>0.11538461538461539</v>
      </c>
      <c r="F46" s="71"/>
      <c r="G46" s="5" t="s">
        <v>177</v>
      </c>
      <c r="H46" s="100" cm="1">
        <f t="array" aca="1" ref="H46" ca="1">COUNT(_xlfn._xlws.FILTER($U$5:$U$30, ISNUMBER(MATCH($M$5:$M$30, _xlfn.TEXTSPLIT(_xlfn.TEXTJOIN(", ", TRUE, AD9), ", "), 0))))</f>
        <v>3</v>
      </c>
      <c r="I46" s="101"/>
      <c r="J46" s="56">
        <f ca="1">H46/H$48</f>
        <v>0.11538461538461539</v>
      </c>
      <c r="K46" s="71"/>
      <c r="L46" s="5" t="s">
        <v>177</v>
      </c>
      <c r="M46" s="100">
        <f ca="1">SUM(C46,H46)</f>
        <v>6</v>
      </c>
      <c r="N46" s="101"/>
      <c r="O46" s="56">
        <f ca="1">M46/M$48</f>
        <v>0.11538461538461539</v>
      </c>
    </row>
    <row r="47" spans="2:15" x14ac:dyDescent="0.25">
      <c r="B47" s="5" t="s">
        <v>178</v>
      </c>
      <c r="C47" s="100" cm="1">
        <f t="array" aca="1" ref="C47" ca="1">COUNT(_xlfn._xlws.FILTER($J$5:$J$30, ISNUMBER(MATCH($B$5:$B$30, _xlfn.TEXTSPLIT(_xlfn.TEXTJOIN(", ", TRUE, AA10:AA12), ", "), 0))))</f>
        <v>1</v>
      </c>
      <c r="D47" s="101"/>
      <c r="E47" s="56">
        <f ca="1">C47/C$48</f>
        <v>3.8461538461538464E-2</v>
      </c>
      <c r="F47" s="71"/>
      <c r="G47" s="5" t="s">
        <v>178</v>
      </c>
      <c r="H47" s="100" cm="1">
        <f t="array" aca="1" ref="H47" ca="1">COUNT(_xlfn._xlws.FILTER($U$5:$U$30, ISNUMBER(MATCH($M$5:$M$30, _xlfn.TEXTSPLIT(_xlfn.TEXTJOIN(", ", TRUE, AD10:AD12), ", "), 0))))</f>
        <v>1</v>
      </c>
      <c r="I47" s="101"/>
      <c r="J47" s="56">
        <f ca="1">H47/H$48</f>
        <v>3.8461538461538464E-2</v>
      </c>
      <c r="K47" s="71"/>
      <c r="L47" s="5" t="s">
        <v>178</v>
      </c>
      <c r="M47" s="100">
        <f ca="1">SUM(C47,H47)</f>
        <v>2</v>
      </c>
      <c r="N47" s="101"/>
      <c r="O47" s="56">
        <f ca="1">M47/M$48</f>
        <v>3.8461538461538464E-2</v>
      </c>
    </row>
    <row r="48" spans="2:15" x14ac:dyDescent="0.25">
      <c r="B48" s="5" t="s">
        <v>121</v>
      </c>
      <c r="C48" s="100">
        <f ca="1">SUM(C45:D47)</f>
        <v>26</v>
      </c>
      <c r="D48" s="101"/>
      <c r="E48" s="56">
        <f ca="1">C48/C$48</f>
        <v>1</v>
      </c>
      <c r="F48" s="72"/>
      <c r="G48" s="5" t="s">
        <v>121</v>
      </c>
      <c r="H48" s="100">
        <f ca="1">SUM(H45:I47)</f>
        <v>26</v>
      </c>
      <c r="I48" s="101"/>
      <c r="J48" s="56">
        <f ca="1">H48/H$48</f>
        <v>1</v>
      </c>
      <c r="K48" s="72"/>
      <c r="L48" s="5" t="s">
        <v>121</v>
      </c>
      <c r="M48" s="100">
        <f ca="1">SUM(M45:N47)</f>
        <v>52</v>
      </c>
      <c r="N48" s="101"/>
      <c r="O48" s="56">
        <f ca="1">M48/M$48</f>
        <v>1</v>
      </c>
    </row>
  </sheetData>
  <mergeCells count="39">
    <mergeCell ref="B33:E33"/>
    <mergeCell ref="G33:J33"/>
    <mergeCell ref="L33:O33"/>
    <mergeCell ref="C2:L2"/>
    <mergeCell ref="N2:W2"/>
    <mergeCell ref="C3:G3"/>
    <mergeCell ref="H3:L3"/>
    <mergeCell ref="N3:R3"/>
    <mergeCell ref="S3:U3"/>
    <mergeCell ref="Z3:AA3"/>
    <mergeCell ref="AC3:AD3"/>
    <mergeCell ref="Z4:AA4"/>
    <mergeCell ref="AC4:AD4"/>
    <mergeCell ref="B32:O32"/>
    <mergeCell ref="B34:E34"/>
    <mergeCell ref="G34:J34"/>
    <mergeCell ref="L34:O34"/>
    <mergeCell ref="B41:O41"/>
    <mergeCell ref="B42:E42"/>
    <mergeCell ref="G42:J42"/>
    <mergeCell ref="L42:O42"/>
    <mergeCell ref="B43:E43"/>
    <mergeCell ref="G43:J43"/>
    <mergeCell ref="L43:O43"/>
    <mergeCell ref="C44:D44"/>
    <mergeCell ref="H44:I44"/>
    <mergeCell ref="M44:N44"/>
    <mergeCell ref="C45:D45"/>
    <mergeCell ref="H45:I45"/>
    <mergeCell ref="M45:N45"/>
    <mergeCell ref="C46:D46"/>
    <mergeCell ref="H46:I46"/>
    <mergeCell ref="M46:N46"/>
    <mergeCell ref="C47:D47"/>
    <mergeCell ref="H47:I47"/>
    <mergeCell ref="M47:N47"/>
    <mergeCell ref="C48:D48"/>
    <mergeCell ref="H48:I48"/>
    <mergeCell ref="M48:N48"/>
  </mergeCells>
  <conditionalFormatting sqref="E5:E30">
    <cfRule type="expression" dxfId="195" priority="15">
      <formula>AND(E5 &gt; -3, E5 &lt; 3)</formula>
    </cfRule>
    <cfRule type="expression" dxfId="194" priority="16">
      <formula>AND(E5 &gt; -25, E5 &lt;= -3)</formula>
    </cfRule>
    <cfRule type="expression" dxfId="193" priority="17">
      <formula>AND(E5 &gt; -75, E5 &lt;= -25)</formula>
    </cfRule>
    <cfRule type="expression" dxfId="192" priority="18">
      <formula>E5 &lt;= -75</formula>
    </cfRule>
    <cfRule type="expression" dxfId="191" priority="19">
      <formula>AND(E5 &lt; 25, E5 &gt;= 3)</formula>
    </cfRule>
    <cfRule type="expression" dxfId="190" priority="20">
      <formula>AND(E5 &lt; 75, E5 &gt;= 25)</formula>
    </cfRule>
    <cfRule type="expression" dxfId="189" priority="21">
      <formula>E5 &gt;= 75</formula>
    </cfRule>
  </conditionalFormatting>
  <conditionalFormatting sqref="J5:J30">
    <cfRule type="expression" dxfId="188" priority="29">
      <formula>AND(J5 &gt; -3, J5 &lt; 3)</formula>
    </cfRule>
    <cfRule type="expression" dxfId="187" priority="30">
      <formula>AND(J5 &gt; -25, J5 &lt;= -3)</formula>
    </cfRule>
    <cfRule type="expression" dxfId="186" priority="31">
      <formula>AND(J5 &gt; -75, J5 &lt;= -25)</formula>
    </cfRule>
    <cfRule type="expression" dxfId="185" priority="32">
      <formula>J5 &lt;= -75</formula>
    </cfRule>
    <cfRule type="expression" dxfId="184" priority="33">
      <formula>AND(J5 &lt; 25, J5 &gt;= 3)</formula>
    </cfRule>
    <cfRule type="expression" dxfId="183" priority="34">
      <formula>AND(J5 &lt; 75, J5 &gt;= 25)</formula>
    </cfRule>
    <cfRule type="expression" dxfId="182" priority="35">
      <formula>J5 &gt;= 75</formula>
    </cfRule>
  </conditionalFormatting>
  <conditionalFormatting sqref="P5:P30">
    <cfRule type="expression" dxfId="181" priority="8">
      <formula>AND(P5 &gt; -3, P5 &lt; 3)</formula>
    </cfRule>
    <cfRule type="expression" dxfId="180" priority="9">
      <formula>AND(P5 &gt; -25, P5 &lt;= -3)</formula>
    </cfRule>
    <cfRule type="expression" dxfId="179" priority="10">
      <formula>AND(P5 &gt; -75, P5 &lt;= -25)</formula>
    </cfRule>
    <cfRule type="expression" dxfId="178" priority="11">
      <formula>P5 &lt;= -75</formula>
    </cfRule>
    <cfRule type="expression" dxfId="177" priority="12">
      <formula>AND(P5 &lt; 25, P5 &gt;= 3)</formula>
    </cfRule>
    <cfRule type="expression" dxfId="176" priority="13">
      <formula>AND(P5 &lt; 75, P5 &gt;= 25)</formula>
    </cfRule>
    <cfRule type="expression" dxfId="175" priority="14">
      <formula>P5 &gt;= 75</formula>
    </cfRule>
  </conditionalFormatting>
  <conditionalFormatting sqref="U5:U30">
    <cfRule type="expression" dxfId="174" priority="22">
      <formula>AND(U5 &gt; -3, U5 &lt; 3)</formula>
    </cfRule>
    <cfRule type="expression" dxfId="173" priority="23">
      <formula>AND(U5 &gt; -25, U5 &lt;= -3)</formula>
    </cfRule>
    <cfRule type="expression" dxfId="172" priority="24">
      <formula>AND(U5 &gt; -75, U5 &lt;= -25)</formula>
    </cfRule>
    <cfRule type="expression" dxfId="171" priority="25">
      <formula>U5 &lt;= -75</formula>
    </cfRule>
    <cfRule type="expression" dxfId="170" priority="26">
      <formula>AND(U5 &lt; 25, U5 &gt;= 3)</formula>
    </cfRule>
    <cfRule type="expression" dxfId="169" priority="27">
      <formula>AND(U5 &lt; 75, U5 &gt;= 25)</formula>
    </cfRule>
    <cfRule type="expression" dxfId="168" priority="28">
      <formula>U5 &gt;= 75</formula>
    </cfRule>
  </conditionalFormatting>
  <conditionalFormatting sqref="X5:X30">
    <cfRule type="expression" dxfId="167" priority="1">
      <formula>AND(X5 &gt; -3, X5 &lt; 3)</formula>
    </cfRule>
    <cfRule type="expression" dxfId="166" priority="2">
      <formula>AND(X5 &gt; -25, X5 &lt;= -3)</formula>
    </cfRule>
    <cfRule type="expression" dxfId="165" priority="3">
      <formula>AND(X5 &gt; -75, X5 &lt;= -25)</formula>
    </cfRule>
    <cfRule type="expression" dxfId="164" priority="4">
      <formula>X5 &lt;= -75</formula>
    </cfRule>
    <cfRule type="expression" dxfId="163" priority="5">
      <formula>AND(X5 &lt; 25, X5 &gt;= 3)</formula>
    </cfRule>
    <cfRule type="expression" dxfId="162" priority="6">
      <formula>AND(X5 &lt; 75, X5 &gt;= 25)</formula>
    </cfRule>
    <cfRule type="expression" dxfId="161" priority="7">
      <formula>X5 &gt;= 75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8E2C1-5413-4983-A156-366175D5D4CE}">
  <dimension ref="A1:V107"/>
  <sheetViews>
    <sheetView zoomScale="85" zoomScaleNormal="85" workbookViewId="0">
      <selection activeCell="F51" sqref="F51:O54"/>
    </sheetView>
  </sheetViews>
  <sheetFormatPr baseColWidth="10" defaultColWidth="9.140625" defaultRowHeight="15" x14ac:dyDescent="0.25"/>
  <cols>
    <col min="1" max="1" width="11.85546875" bestFit="1" customWidth="1"/>
    <col min="2" max="2" width="11" bestFit="1" customWidth="1"/>
    <col min="3" max="3" width="11" customWidth="1"/>
    <col min="4" max="4" width="17" bestFit="1" customWidth="1"/>
    <col min="5" max="5" width="7.140625" bestFit="1" customWidth="1"/>
    <col min="6" max="8" width="11.28515625" bestFit="1" customWidth="1"/>
    <col min="9" max="9" width="11.140625" bestFit="1" customWidth="1"/>
    <col min="10" max="11" width="13.28515625" customWidth="1"/>
    <col min="12" max="12" width="13.42578125" customWidth="1"/>
    <col min="13" max="14" width="14" customWidth="1"/>
    <col min="15" max="15" width="14.85546875" customWidth="1"/>
    <col min="16" max="16" width="8.7109375" customWidth="1"/>
    <col min="17" max="17" width="9.7109375" bestFit="1" customWidth="1"/>
    <col min="18" max="18" width="20.42578125" customWidth="1"/>
    <col min="22" max="22" width="8.5703125" bestFit="1" customWidth="1"/>
    <col min="31" max="36" width="12" bestFit="1" customWidth="1"/>
  </cols>
  <sheetData>
    <row r="1" spans="1:22" x14ac:dyDescent="0.25">
      <c r="A1" s="99" t="s">
        <v>115</v>
      </c>
      <c r="B1" s="111" t="s">
        <v>165</v>
      </c>
      <c r="C1" s="111" t="s">
        <v>166</v>
      </c>
      <c r="D1" s="99" t="s">
        <v>99</v>
      </c>
      <c r="E1" s="99" t="s">
        <v>98</v>
      </c>
      <c r="F1" s="99" t="s">
        <v>100</v>
      </c>
      <c r="G1" s="99" t="s">
        <v>101</v>
      </c>
      <c r="H1" s="99"/>
      <c r="I1" s="99"/>
      <c r="J1" s="99" t="s">
        <v>102</v>
      </c>
      <c r="K1" s="99"/>
      <c r="L1" s="99"/>
      <c r="M1" s="99" t="s">
        <v>103</v>
      </c>
      <c r="N1" s="99"/>
      <c r="O1" s="99"/>
      <c r="P1" s="99" t="s">
        <v>168</v>
      </c>
      <c r="Q1" s="99"/>
      <c r="R1" s="99"/>
      <c r="S1" s="82" t="s">
        <v>104</v>
      </c>
      <c r="T1" s="83"/>
      <c r="U1" s="83"/>
      <c r="V1" s="84"/>
    </row>
    <row r="2" spans="1:22" x14ac:dyDescent="0.25">
      <c r="A2" s="99"/>
      <c r="B2" s="112"/>
      <c r="C2" s="116"/>
      <c r="D2" s="99"/>
      <c r="E2" s="99"/>
      <c r="F2" s="99"/>
      <c r="G2" s="13" t="s">
        <v>105</v>
      </c>
      <c r="H2" s="13" t="s">
        <v>106</v>
      </c>
      <c r="I2" s="13" t="s">
        <v>107</v>
      </c>
      <c r="J2" s="13" t="s">
        <v>108</v>
      </c>
      <c r="K2" s="13" t="s">
        <v>109</v>
      </c>
      <c r="L2" s="13" t="s">
        <v>110</v>
      </c>
      <c r="M2" s="13" t="s">
        <v>108</v>
      </c>
      <c r="N2" s="13" t="s">
        <v>109</v>
      </c>
      <c r="O2" s="13" t="s">
        <v>110</v>
      </c>
      <c r="P2" s="29" t="s">
        <v>108</v>
      </c>
      <c r="Q2" s="29" t="s">
        <v>109</v>
      </c>
      <c r="R2" s="29" t="s">
        <v>110</v>
      </c>
      <c r="S2" s="29" t="s">
        <v>100</v>
      </c>
      <c r="T2" s="29" t="s">
        <v>108</v>
      </c>
      <c r="U2" s="29" t="s">
        <v>109</v>
      </c>
      <c r="V2" s="29" t="s">
        <v>110</v>
      </c>
    </row>
    <row r="3" spans="1:22" x14ac:dyDescent="0.25">
      <c r="A3" s="92" t="s">
        <v>7</v>
      </c>
      <c r="B3" s="34">
        <v>100000000</v>
      </c>
      <c r="C3" s="34">
        <f>100000000/B3</f>
        <v>1</v>
      </c>
      <c r="D3" s="113"/>
      <c r="E3" s="5" t="s">
        <v>111</v>
      </c>
      <c r="F3">
        <v>85.152000000000001</v>
      </c>
      <c r="G3">
        <v>3.53</v>
      </c>
      <c r="H3">
        <v>29.51</v>
      </c>
      <c r="I3">
        <v>154.11000000000001</v>
      </c>
      <c r="J3">
        <v>300.58656000000002</v>
      </c>
      <c r="K3">
        <v>2512.8355200000001</v>
      </c>
      <c r="L3">
        <v>13122.774719999999</v>
      </c>
      <c r="M3">
        <v>264.82272</v>
      </c>
      <c r="N3">
        <v>2463.4473600000001</v>
      </c>
      <c r="O3">
        <v>5897.6275200000009</v>
      </c>
      <c r="P3" s="31">
        <f>$C3*M3</f>
        <v>264.82272</v>
      </c>
      <c r="Q3" s="32">
        <f>$C3*N3</f>
        <v>2463.4473600000001</v>
      </c>
      <c r="R3" s="32">
        <f>$C3*O3</f>
        <v>5897.6275200000009</v>
      </c>
      <c r="S3" s="117">
        <f>(F4-F3)/F3</f>
        <v>-0.43956689214580985</v>
      </c>
      <c r="T3" s="118">
        <f>(P4-P3)/P3</f>
        <v>-0.4395668921458098</v>
      </c>
      <c r="U3" s="118">
        <f>(Q4-Q3)/Q3</f>
        <v>-0.43704852698780622</v>
      </c>
      <c r="V3" s="119">
        <f>(R4-R3)/R3</f>
        <v>-0.4375439600498881</v>
      </c>
    </row>
    <row r="4" spans="1:22" x14ac:dyDescent="0.25">
      <c r="A4" s="92"/>
      <c r="B4" s="34">
        <v>100000000</v>
      </c>
      <c r="C4" s="34">
        <f t="shared" ref="C4:C67" si="0">100000000/B4</f>
        <v>1</v>
      </c>
      <c r="D4" s="92"/>
      <c r="E4" s="5" t="s">
        <v>114</v>
      </c>
      <c r="F4">
        <v>47.722000000000001</v>
      </c>
      <c r="G4">
        <v>3.53</v>
      </c>
      <c r="H4">
        <v>29.64</v>
      </c>
      <c r="I4">
        <v>154.36000000000001</v>
      </c>
      <c r="J4">
        <v>168.45866000000001</v>
      </c>
      <c r="K4">
        <v>1414.48008</v>
      </c>
      <c r="L4">
        <v>7366.3679200000006</v>
      </c>
      <c r="M4">
        <v>148.41542000000001</v>
      </c>
      <c r="N4">
        <v>1386.80132</v>
      </c>
      <c r="O4">
        <v>3317.1562199999998</v>
      </c>
      <c r="P4" s="17">
        <f t="shared" ref="P4:P67" si="1">C4*M4</f>
        <v>148.41542000000001</v>
      </c>
      <c r="Q4" s="16">
        <f t="shared" ref="Q4:R67" si="2">$C4*N4</f>
        <v>1386.80132</v>
      </c>
      <c r="R4" s="16">
        <f t="shared" si="2"/>
        <v>3317.1562199999998</v>
      </c>
      <c r="S4" s="93"/>
      <c r="T4" s="94"/>
      <c r="U4" s="94"/>
      <c r="V4" s="95"/>
    </row>
    <row r="5" spans="1:22" x14ac:dyDescent="0.25">
      <c r="A5" s="92"/>
      <c r="B5" s="34">
        <v>100000000</v>
      </c>
      <c r="C5" s="34">
        <f t="shared" si="0"/>
        <v>1</v>
      </c>
      <c r="D5" s="92" t="s">
        <v>118</v>
      </c>
      <c r="E5" s="5" t="s">
        <v>111</v>
      </c>
      <c r="F5">
        <v>136.29400000000001</v>
      </c>
      <c r="G5">
        <v>3.53</v>
      </c>
      <c r="H5">
        <v>29.19</v>
      </c>
      <c r="I5">
        <v>153.79</v>
      </c>
      <c r="J5">
        <v>481.11781999999999</v>
      </c>
      <c r="K5">
        <v>3978.4218599999999</v>
      </c>
      <c r="L5">
        <v>20960.654259999999</v>
      </c>
      <c r="M5">
        <v>423.87434000000002</v>
      </c>
      <c r="N5">
        <v>3899.3713400000001</v>
      </c>
      <c r="O5">
        <v>9396.1083600000002</v>
      </c>
      <c r="P5" s="17">
        <f t="shared" si="1"/>
        <v>423.87434000000002</v>
      </c>
      <c r="Q5" s="16">
        <f t="shared" si="2"/>
        <v>3899.3713400000001</v>
      </c>
      <c r="R5" s="16">
        <f t="shared" si="2"/>
        <v>9396.1083600000002</v>
      </c>
      <c r="S5" s="93">
        <f>(F6-F5)/F5</f>
        <v>-0.68598764435705173</v>
      </c>
      <c r="T5" s="94">
        <f>(P6-P5)/P5</f>
        <v>-0.68497795832604536</v>
      </c>
      <c r="U5" s="94">
        <f>(Q6-Q5)/Q5</f>
        <v>-0.69169496434776589</v>
      </c>
      <c r="V5" s="95">
        <f>(R6-R5)/R5</f>
        <v>-0.68758184691688673</v>
      </c>
    </row>
    <row r="6" spans="1:22" x14ac:dyDescent="0.25">
      <c r="A6" s="92"/>
      <c r="B6" s="34">
        <v>100000000</v>
      </c>
      <c r="C6" s="34">
        <f t="shared" si="0"/>
        <v>1</v>
      </c>
      <c r="D6" s="92"/>
      <c r="E6" s="5" t="s">
        <v>114</v>
      </c>
      <c r="F6">
        <v>42.798000000000002</v>
      </c>
      <c r="G6">
        <v>3.54</v>
      </c>
      <c r="H6">
        <v>28.67</v>
      </c>
      <c r="I6">
        <v>153.43</v>
      </c>
      <c r="J6">
        <v>151.50492</v>
      </c>
      <c r="K6">
        <v>1227.01866</v>
      </c>
      <c r="L6">
        <v>6566.4971400000004</v>
      </c>
      <c r="M6">
        <v>133.52976000000001</v>
      </c>
      <c r="N6">
        <v>1202.1958199999999</v>
      </c>
      <c r="O6">
        <v>2935.5148199999999</v>
      </c>
      <c r="P6" s="17">
        <f t="shared" si="1"/>
        <v>133.52976000000001</v>
      </c>
      <c r="Q6" s="16">
        <f t="shared" si="2"/>
        <v>1202.1958199999999</v>
      </c>
      <c r="R6" s="16">
        <f t="shared" si="2"/>
        <v>2935.5148199999999</v>
      </c>
      <c r="S6" s="93"/>
      <c r="T6" s="94"/>
      <c r="U6" s="94"/>
      <c r="V6" s="95"/>
    </row>
    <row r="7" spans="1:22" x14ac:dyDescent="0.25">
      <c r="A7" s="92" t="s">
        <v>9</v>
      </c>
      <c r="B7" s="34">
        <v>100000</v>
      </c>
      <c r="C7" s="34">
        <f t="shared" si="0"/>
        <v>1000</v>
      </c>
      <c r="D7" s="113"/>
      <c r="E7" s="5" t="s">
        <v>111</v>
      </c>
      <c r="F7">
        <v>5.6189999999999998</v>
      </c>
      <c r="G7">
        <v>3.52</v>
      </c>
      <c r="H7">
        <v>25.68</v>
      </c>
      <c r="I7">
        <v>147.24</v>
      </c>
      <c r="J7">
        <v>19.778880000000001</v>
      </c>
      <c r="K7">
        <v>144.29592</v>
      </c>
      <c r="L7">
        <v>827.34156000000007</v>
      </c>
      <c r="M7">
        <v>17.418900000000001</v>
      </c>
      <c r="N7">
        <v>141.0369</v>
      </c>
      <c r="O7">
        <v>347.36658</v>
      </c>
      <c r="P7" s="17">
        <f t="shared" si="1"/>
        <v>17418.900000000001</v>
      </c>
      <c r="Q7" s="16">
        <f t="shared" si="2"/>
        <v>141036.9</v>
      </c>
      <c r="R7" s="16">
        <f t="shared" si="2"/>
        <v>347366.58</v>
      </c>
      <c r="S7" s="93">
        <f>(F8-F7)/F7</f>
        <v>-6.2644598683039593E-2</v>
      </c>
      <c r="T7" s="94">
        <f>(P8-P7)/P7</f>
        <v>-5.9620871582017371E-2</v>
      </c>
      <c r="U7" s="94">
        <f>(Q8-Q7)/Q7</f>
        <v>-7.5341843163030359E-2</v>
      </c>
      <c r="V7" s="95">
        <f>(R8-R7)/R7</f>
        <v>-7.2651951722010749E-2</v>
      </c>
    </row>
    <row r="8" spans="1:22" x14ac:dyDescent="0.25">
      <c r="A8" s="92"/>
      <c r="B8" s="34">
        <v>100000</v>
      </c>
      <c r="C8" s="34">
        <f t="shared" si="0"/>
        <v>1000</v>
      </c>
      <c r="D8" s="92"/>
      <c r="E8" s="5" t="s">
        <v>114</v>
      </c>
      <c r="F8">
        <v>5.2670000000000003</v>
      </c>
      <c r="G8">
        <v>3.53</v>
      </c>
      <c r="H8">
        <v>25.34</v>
      </c>
      <c r="I8">
        <v>146.57</v>
      </c>
      <c r="J8">
        <v>18.592510000000001</v>
      </c>
      <c r="K8">
        <v>133.46578</v>
      </c>
      <c r="L8">
        <v>771.98419000000001</v>
      </c>
      <c r="M8">
        <v>16.380369999999999</v>
      </c>
      <c r="N8">
        <v>130.41092</v>
      </c>
      <c r="O8">
        <v>322.12972000000002</v>
      </c>
      <c r="P8" s="17">
        <f t="shared" si="1"/>
        <v>16380.369999999999</v>
      </c>
      <c r="Q8" s="16">
        <f t="shared" si="2"/>
        <v>130410.92</v>
      </c>
      <c r="R8" s="16">
        <f t="shared" si="2"/>
        <v>322129.72000000003</v>
      </c>
      <c r="S8" s="93"/>
      <c r="T8" s="94"/>
      <c r="U8" s="94"/>
      <c r="V8" s="95"/>
    </row>
    <row r="9" spans="1:22" x14ac:dyDescent="0.25">
      <c r="A9" s="92"/>
      <c r="B9" s="34">
        <v>100000</v>
      </c>
      <c r="C9" s="34">
        <f t="shared" si="0"/>
        <v>1000</v>
      </c>
      <c r="D9" s="92" t="s">
        <v>118</v>
      </c>
      <c r="E9" s="5" t="s">
        <v>111</v>
      </c>
      <c r="F9">
        <v>6.266</v>
      </c>
      <c r="G9">
        <v>3.53</v>
      </c>
      <c r="H9">
        <v>27.29</v>
      </c>
      <c r="I9">
        <v>152.75</v>
      </c>
      <c r="J9">
        <v>22.118980000000001</v>
      </c>
      <c r="K9">
        <v>170.99914000000001</v>
      </c>
      <c r="L9">
        <v>957.13149999999996</v>
      </c>
      <c r="M9">
        <v>19.487259999999999</v>
      </c>
      <c r="N9">
        <v>167.36485999999999</v>
      </c>
      <c r="O9">
        <v>421.95244000000002</v>
      </c>
      <c r="P9" s="17">
        <f t="shared" si="1"/>
        <v>19487.259999999998</v>
      </c>
      <c r="Q9" s="16">
        <f t="shared" si="2"/>
        <v>167364.85999999999</v>
      </c>
      <c r="R9" s="16">
        <f t="shared" si="2"/>
        <v>421952.44</v>
      </c>
      <c r="S9" s="93">
        <f>(F10-F9)/F9</f>
        <v>-4.9154165336737922E-2</v>
      </c>
      <c r="T9" s="94">
        <f>(P10-P9)/P9</f>
        <v>-4.6096783231711354E-2</v>
      </c>
      <c r="U9" s="94">
        <f>(Q10-Q9)/Q9</f>
        <v>-5.0578120162141568E-2</v>
      </c>
      <c r="V9" s="95">
        <f>(R10-R9)/R9</f>
        <v>-8.092433355759221E-2</v>
      </c>
    </row>
    <row r="10" spans="1:22" x14ac:dyDescent="0.25">
      <c r="A10" s="92"/>
      <c r="B10" s="34">
        <v>100000</v>
      </c>
      <c r="C10" s="34">
        <f t="shared" si="0"/>
        <v>1000</v>
      </c>
      <c r="D10" s="92"/>
      <c r="E10" s="5" t="s">
        <v>114</v>
      </c>
      <c r="F10">
        <v>5.9580000000000002</v>
      </c>
      <c r="G10">
        <v>3.54</v>
      </c>
      <c r="H10">
        <v>27.25</v>
      </c>
      <c r="I10">
        <v>150.51</v>
      </c>
      <c r="J10">
        <v>21.09132</v>
      </c>
      <c r="K10">
        <v>162.35550000000001</v>
      </c>
      <c r="L10">
        <v>896.73857999999996</v>
      </c>
      <c r="M10">
        <v>18.58896</v>
      </c>
      <c r="N10">
        <v>158.89985999999999</v>
      </c>
      <c r="O10">
        <v>387.80622000000011</v>
      </c>
      <c r="P10" s="17">
        <f t="shared" si="1"/>
        <v>18588.96</v>
      </c>
      <c r="Q10" s="16">
        <f t="shared" si="2"/>
        <v>158899.85999999999</v>
      </c>
      <c r="R10" s="16">
        <f t="shared" si="2"/>
        <v>387806.22000000009</v>
      </c>
      <c r="S10" s="93"/>
      <c r="T10" s="94"/>
      <c r="U10" s="94"/>
      <c r="V10" s="95"/>
    </row>
    <row r="11" spans="1:22" x14ac:dyDescent="0.25">
      <c r="A11" s="92" t="s">
        <v>13</v>
      </c>
      <c r="B11" s="34">
        <v>100000000</v>
      </c>
      <c r="C11" s="34">
        <f t="shared" si="0"/>
        <v>1</v>
      </c>
      <c r="D11" s="113"/>
      <c r="E11" s="5" t="s">
        <v>111</v>
      </c>
      <c r="F11">
        <v>21.376000000000001</v>
      </c>
      <c r="G11">
        <v>3.5</v>
      </c>
      <c r="H11">
        <v>30.5</v>
      </c>
      <c r="I11">
        <v>155.66</v>
      </c>
      <c r="J11">
        <v>74.816000000000003</v>
      </c>
      <c r="K11">
        <v>651.96800000000007</v>
      </c>
      <c r="L11">
        <v>3327.38816</v>
      </c>
      <c r="M11">
        <v>65.838080000000005</v>
      </c>
      <c r="N11">
        <v>639.56992000000002</v>
      </c>
      <c r="O11">
        <v>1516.1996799999999</v>
      </c>
      <c r="P11" s="17">
        <f t="shared" si="1"/>
        <v>65.838080000000005</v>
      </c>
      <c r="Q11" s="16">
        <f t="shared" si="2"/>
        <v>639.56992000000002</v>
      </c>
      <c r="R11" s="16">
        <f t="shared" si="2"/>
        <v>1516.1996799999999</v>
      </c>
      <c r="S11" s="93">
        <f>(F12-F11)/F11</f>
        <v>-0.29491017964071864</v>
      </c>
      <c r="T11" s="94">
        <f>(P12-P11)/P11</f>
        <v>-0.28804242165020616</v>
      </c>
      <c r="U11" s="94">
        <f>(Q12-Q11)/Q11</f>
        <v>-0.31706206570815587</v>
      </c>
      <c r="V11" s="95">
        <f>(R12-R11)/R11</f>
        <v>-0.30624251285951987</v>
      </c>
    </row>
    <row r="12" spans="1:22" x14ac:dyDescent="0.25">
      <c r="A12" s="92"/>
      <c r="B12" s="34">
        <v>100000000</v>
      </c>
      <c r="C12" s="34">
        <f t="shared" si="0"/>
        <v>1</v>
      </c>
      <c r="D12" s="92"/>
      <c r="E12" s="5" t="s">
        <v>114</v>
      </c>
      <c r="F12">
        <v>15.071999999999999</v>
      </c>
      <c r="G12">
        <v>3.53</v>
      </c>
      <c r="H12">
        <v>29.56</v>
      </c>
      <c r="I12">
        <v>154.52000000000001</v>
      </c>
      <c r="J12">
        <v>53.204159999999987</v>
      </c>
      <c r="K12">
        <v>445.52832000000001</v>
      </c>
      <c r="L12">
        <v>2328.92544</v>
      </c>
      <c r="M12">
        <v>46.873919999999998</v>
      </c>
      <c r="N12">
        <v>436.78656000000001</v>
      </c>
      <c r="O12">
        <v>1051.8748800000001</v>
      </c>
      <c r="P12" s="17">
        <f t="shared" si="1"/>
        <v>46.873919999999998</v>
      </c>
      <c r="Q12" s="16">
        <f t="shared" si="2"/>
        <v>436.78656000000001</v>
      </c>
      <c r="R12" s="16">
        <f t="shared" si="2"/>
        <v>1051.8748800000001</v>
      </c>
      <c r="S12" s="93"/>
      <c r="T12" s="94"/>
      <c r="U12" s="94"/>
      <c r="V12" s="95"/>
    </row>
    <row r="13" spans="1:22" x14ac:dyDescent="0.25">
      <c r="A13" s="92"/>
      <c r="B13" s="34">
        <v>100000000</v>
      </c>
      <c r="C13" s="34">
        <f t="shared" si="0"/>
        <v>1</v>
      </c>
      <c r="D13" s="92" t="s">
        <v>118</v>
      </c>
      <c r="E13" s="5" t="s">
        <v>111</v>
      </c>
      <c r="F13">
        <v>19.172000000000001</v>
      </c>
      <c r="G13">
        <v>3.52</v>
      </c>
      <c r="H13">
        <v>28.18</v>
      </c>
      <c r="I13">
        <v>151.69999999999999</v>
      </c>
      <c r="J13">
        <v>67.485439999999997</v>
      </c>
      <c r="K13">
        <v>540.26696000000004</v>
      </c>
      <c r="L13">
        <v>2908.3924000000002</v>
      </c>
      <c r="M13">
        <v>59.433200000000006</v>
      </c>
      <c r="N13">
        <v>529.1472</v>
      </c>
      <c r="O13">
        <v>1283.94884</v>
      </c>
      <c r="P13" s="17">
        <f>C13*M13</f>
        <v>59.433200000000006</v>
      </c>
      <c r="Q13" s="16">
        <f t="shared" si="2"/>
        <v>529.1472</v>
      </c>
      <c r="R13" s="16">
        <f t="shared" si="2"/>
        <v>1283.94884</v>
      </c>
      <c r="S13" s="93">
        <f>(F14-F13)/F13</f>
        <v>-0.39119549342791571</v>
      </c>
      <c r="T13" s="94">
        <f>(P14-P13)/P13</f>
        <v>-0.39119549342791576</v>
      </c>
      <c r="U13" s="94">
        <f>(Q14-Q13)/Q13</f>
        <v>-0.40310688594780436</v>
      </c>
      <c r="V13" s="95">
        <f>(R14-R13)/R13</f>
        <v>-0.41146776533557211</v>
      </c>
    </row>
    <row r="14" spans="1:22" x14ac:dyDescent="0.25">
      <c r="A14" s="92"/>
      <c r="B14" s="34">
        <v>100000000</v>
      </c>
      <c r="C14" s="34">
        <f t="shared" si="0"/>
        <v>1</v>
      </c>
      <c r="D14" s="92"/>
      <c r="E14" s="5" t="s">
        <v>114</v>
      </c>
      <c r="F14">
        <v>11.672000000000001</v>
      </c>
      <c r="G14">
        <v>3.52</v>
      </c>
      <c r="H14">
        <v>27.64</v>
      </c>
      <c r="I14">
        <v>149.47</v>
      </c>
      <c r="J14">
        <v>41.085440000000013</v>
      </c>
      <c r="K14">
        <v>322.61408</v>
      </c>
      <c r="L14">
        <v>1744.61384</v>
      </c>
      <c r="M14">
        <v>36.183199999999999</v>
      </c>
      <c r="N14">
        <v>315.84431999999998</v>
      </c>
      <c r="O14">
        <v>755.64527999999996</v>
      </c>
      <c r="P14" s="17">
        <f t="shared" si="1"/>
        <v>36.183199999999999</v>
      </c>
      <c r="Q14" s="16">
        <f t="shared" si="2"/>
        <v>315.84431999999998</v>
      </c>
      <c r="R14" s="16">
        <f t="shared" si="2"/>
        <v>755.64527999999996</v>
      </c>
      <c r="S14" s="93"/>
      <c r="T14" s="94"/>
      <c r="U14" s="94"/>
      <c r="V14" s="95"/>
    </row>
    <row r="15" spans="1:22" x14ac:dyDescent="0.25">
      <c r="A15" s="92" t="s">
        <v>15</v>
      </c>
      <c r="B15" s="34">
        <v>100000000</v>
      </c>
      <c r="C15" s="34">
        <f t="shared" si="0"/>
        <v>1</v>
      </c>
      <c r="D15" s="113"/>
      <c r="E15" s="5" t="s">
        <v>111</v>
      </c>
      <c r="F15">
        <v>24.300999999999998</v>
      </c>
      <c r="G15">
        <v>3.49</v>
      </c>
      <c r="H15">
        <v>26.4</v>
      </c>
      <c r="I15">
        <v>146.41</v>
      </c>
      <c r="J15">
        <v>84.810490000000001</v>
      </c>
      <c r="K15">
        <v>641.54639999999995</v>
      </c>
      <c r="L15">
        <v>3557.9094100000002</v>
      </c>
      <c r="M15">
        <v>74.604069999999993</v>
      </c>
      <c r="N15">
        <v>627.45182</v>
      </c>
      <c r="O15">
        <v>1506.4189899999999</v>
      </c>
      <c r="P15" s="17">
        <f t="shared" si="1"/>
        <v>74.604069999999993</v>
      </c>
      <c r="Q15" s="16">
        <f t="shared" si="2"/>
        <v>627.45182</v>
      </c>
      <c r="R15" s="16">
        <f t="shared" si="2"/>
        <v>1506.4189899999999</v>
      </c>
      <c r="S15" s="93">
        <f>(F16-F15)/F15</f>
        <v>-0.70721369490967456</v>
      </c>
      <c r="T15" s="94">
        <f>(P16-P15)/P15</f>
        <v>-0.70625999359016201</v>
      </c>
      <c r="U15" s="94">
        <f>(Q16-Q15)/Q15</f>
        <v>-0.71004857392875198</v>
      </c>
      <c r="V15" s="95">
        <f>(R16-R15)/R15</f>
        <v>-0.70376581617575062</v>
      </c>
    </row>
    <row r="16" spans="1:22" x14ac:dyDescent="0.25">
      <c r="A16" s="92"/>
      <c r="B16" s="34">
        <v>100000000</v>
      </c>
      <c r="C16" s="34">
        <f t="shared" si="0"/>
        <v>1</v>
      </c>
      <c r="D16" s="92"/>
      <c r="E16" s="5" t="s">
        <v>114</v>
      </c>
      <c r="F16">
        <v>7.1150000000000002</v>
      </c>
      <c r="G16">
        <v>3.5</v>
      </c>
      <c r="H16">
        <v>26.15</v>
      </c>
      <c r="I16">
        <v>147.13999999999999</v>
      </c>
      <c r="J16">
        <v>24.9025</v>
      </c>
      <c r="K16">
        <v>186.05725000000001</v>
      </c>
      <c r="L16">
        <v>1046.9011</v>
      </c>
      <c r="M16">
        <v>21.914200000000001</v>
      </c>
      <c r="N16">
        <v>181.93055000000001</v>
      </c>
      <c r="O16">
        <v>446.25279999999998</v>
      </c>
      <c r="P16" s="17">
        <f t="shared" si="1"/>
        <v>21.914200000000001</v>
      </c>
      <c r="Q16" s="16">
        <f t="shared" si="2"/>
        <v>181.93055000000001</v>
      </c>
      <c r="R16" s="16">
        <f t="shared" si="2"/>
        <v>446.25279999999998</v>
      </c>
      <c r="S16" s="93"/>
      <c r="T16" s="94"/>
      <c r="U16" s="94"/>
      <c r="V16" s="95"/>
    </row>
    <row r="17" spans="1:22" x14ac:dyDescent="0.25">
      <c r="A17" s="92"/>
      <c r="B17" s="34">
        <v>100000000</v>
      </c>
      <c r="C17" s="34">
        <f t="shared" si="0"/>
        <v>1</v>
      </c>
      <c r="D17" s="92" t="s">
        <v>118</v>
      </c>
      <c r="E17" s="5" t="s">
        <v>111</v>
      </c>
      <c r="F17">
        <v>18</v>
      </c>
      <c r="G17">
        <v>3.5</v>
      </c>
      <c r="H17">
        <v>26.25</v>
      </c>
      <c r="I17">
        <v>146.72</v>
      </c>
      <c r="J17">
        <v>63</v>
      </c>
      <c r="K17">
        <v>472.5</v>
      </c>
      <c r="L17">
        <v>2640.96</v>
      </c>
      <c r="M17">
        <v>55.44</v>
      </c>
      <c r="N17">
        <v>462.06000000000012</v>
      </c>
      <c r="O17">
        <v>1121.22</v>
      </c>
      <c r="P17" s="17">
        <f t="shared" si="1"/>
        <v>55.44</v>
      </c>
      <c r="Q17" s="16">
        <f t="shared" si="2"/>
        <v>462.06000000000012</v>
      </c>
      <c r="R17" s="16">
        <f t="shared" si="2"/>
        <v>1121.22</v>
      </c>
      <c r="S17" s="93">
        <f>(F18-F17)/F17</f>
        <v>-0.54722222222222217</v>
      </c>
      <c r="T17" s="94">
        <f>(P18-P17)/P17</f>
        <v>-0.54428210678210676</v>
      </c>
      <c r="U17" s="94">
        <f>(Q18-Q17)/Q17</f>
        <v>-0.53734471713630283</v>
      </c>
      <c r="V17" s="95">
        <f>(R18-R17)/R17</f>
        <v>-0.53093995825975271</v>
      </c>
    </row>
    <row r="18" spans="1:22" x14ac:dyDescent="0.25">
      <c r="A18" s="92"/>
      <c r="B18" s="34">
        <v>100000000</v>
      </c>
      <c r="C18" s="34">
        <f t="shared" si="0"/>
        <v>1</v>
      </c>
      <c r="D18" s="92"/>
      <c r="E18" s="5" t="s">
        <v>114</v>
      </c>
      <c r="F18">
        <v>8.15</v>
      </c>
      <c r="G18">
        <v>3.52</v>
      </c>
      <c r="H18">
        <v>26.81</v>
      </c>
      <c r="I18">
        <v>148.96</v>
      </c>
      <c r="J18">
        <v>28.687999999999999</v>
      </c>
      <c r="K18">
        <v>218.50149999999999</v>
      </c>
      <c r="L18">
        <v>1214.0239999999999</v>
      </c>
      <c r="M18">
        <v>25.265000000000001</v>
      </c>
      <c r="N18">
        <v>213.77449999999999</v>
      </c>
      <c r="O18">
        <v>525.91950000000008</v>
      </c>
      <c r="P18" s="17">
        <f t="shared" si="1"/>
        <v>25.265000000000001</v>
      </c>
      <c r="Q18" s="16">
        <f t="shared" si="2"/>
        <v>213.77449999999999</v>
      </c>
      <c r="R18" s="16">
        <f t="shared" si="2"/>
        <v>525.91950000000008</v>
      </c>
      <c r="S18" s="93"/>
      <c r="T18" s="94"/>
      <c r="U18" s="94"/>
      <c r="V18" s="95"/>
    </row>
    <row r="19" spans="1:22" x14ac:dyDescent="0.25">
      <c r="A19" s="92" t="s">
        <v>17</v>
      </c>
      <c r="B19" s="34">
        <v>100000000</v>
      </c>
      <c r="C19" s="34">
        <f t="shared" si="0"/>
        <v>1</v>
      </c>
      <c r="D19" s="113"/>
      <c r="E19" s="5" t="s">
        <v>111</v>
      </c>
      <c r="F19">
        <v>6.0209999999999999</v>
      </c>
      <c r="G19">
        <v>3.5</v>
      </c>
      <c r="H19">
        <v>27.76</v>
      </c>
      <c r="I19">
        <v>154.59</v>
      </c>
      <c r="J19">
        <v>21.073499999999999</v>
      </c>
      <c r="K19">
        <v>167.14295999999999</v>
      </c>
      <c r="L19">
        <v>930.78638999999998</v>
      </c>
      <c r="M19">
        <v>18.54468</v>
      </c>
      <c r="N19">
        <v>163.65078</v>
      </c>
      <c r="O19">
        <v>431.28422999999998</v>
      </c>
      <c r="P19" s="17">
        <f t="shared" si="1"/>
        <v>18.54468</v>
      </c>
      <c r="Q19" s="16">
        <f t="shared" si="2"/>
        <v>163.65078</v>
      </c>
      <c r="R19" s="16">
        <f t="shared" si="2"/>
        <v>431.28422999999998</v>
      </c>
      <c r="S19" s="93">
        <f>(F20-F19)/F19</f>
        <v>-0.26856003986048832</v>
      </c>
      <c r="T19" s="94">
        <f>(P20-P19)/P19</f>
        <v>-0.26143562466432413</v>
      </c>
      <c r="U19" s="94">
        <f>(Q20-Q19)/Q19</f>
        <v>-0.31780710119438471</v>
      </c>
      <c r="V19" s="95">
        <f>(R20-R19)/R19</f>
        <v>-0.33105358385118788</v>
      </c>
    </row>
    <row r="20" spans="1:22" x14ac:dyDescent="0.25">
      <c r="A20" s="92"/>
      <c r="B20" s="34">
        <v>100000000</v>
      </c>
      <c r="C20" s="34">
        <f t="shared" si="0"/>
        <v>1</v>
      </c>
      <c r="D20" s="92"/>
      <c r="E20" s="5" t="s">
        <v>114</v>
      </c>
      <c r="F20">
        <v>4.4039999999999999</v>
      </c>
      <c r="G20">
        <v>3.53</v>
      </c>
      <c r="H20">
        <v>25.93</v>
      </c>
      <c r="I20">
        <v>148.46</v>
      </c>
      <c r="J20">
        <v>15.54612</v>
      </c>
      <c r="K20">
        <v>114.19571999999999</v>
      </c>
      <c r="L20">
        <v>653.81784000000005</v>
      </c>
      <c r="M20">
        <v>13.696440000000001</v>
      </c>
      <c r="N20">
        <v>111.6414</v>
      </c>
      <c r="O20">
        <v>288.50603999999998</v>
      </c>
      <c r="P20" s="17">
        <f t="shared" si="1"/>
        <v>13.696440000000001</v>
      </c>
      <c r="Q20" s="16">
        <f t="shared" si="2"/>
        <v>111.6414</v>
      </c>
      <c r="R20" s="16">
        <f t="shared" si="2"/>
        <v>288.50603999999998</v>
      </c>
      <c r="S20" s="93"/>
      <c r="T20" s="94"/>
      <c r="U20" s="94"/>
      <c r="V20" s="95"/>
    </row>
    <row r="21" spans="1:22" x14ac:dyDescent="0.25">
      <c r="A21" s="92"/>
      <c r="B21" s="34">
        <v>100000000</v>
      </c>
      <c r="C21" s="34">
        <f t="shared" si="0"/>
        <v>1</v>
      </c>
      <c r="D21" s="92" t="s">
        <v>118</v>
      </c>
      <c r="E21" s="5" t="s">
        <v>111</v>
      </c>
      <c r="F21">
        <v>3.0720000000000001</v>
      </c>
      <c r="G21">
        <v>3.55</v>
      </c>
      <c r="H21">
        <v>24.05</v>
      </c>
      <c r="I21">
        <v>148.34</v>
      </c>
      <c r="J21">
        <v>10.9056</v>
      </c>
      <c r="K21">
        <v>73.881600000000006</v>
      </c>
      <c r="L21">
        <v>455.70048000000003</v>
      </c>
      <c r="M21">
        <v>9.615359999999999</v>
      </c>
      <c r="N21">
        <v>72.09984</v>
      </c>
      <c r="O21">
        <v>200.84736000000001</v>
      </c>
      <c r="P21" s="17">
        <f t="shared" si="1"/>
        <v>9.615359999999999</v>
      </c>
      <c r="Q21" s="16">
        <f t="shared" si="2"/>
        <v>72.09984</v>
      </c>
      <c r="R21" s="16">
        <f t="shared" si="2"/>
        <v>200.84736000000001</v>
      </c>
      <c r="S21" s="93">
        <f>(F22-F21)/F21</f>
        <v>-0.25846354166666669</v>
      </c>
      <c r="T21" s="94">
        <f>(P22-P21)/P21</f>
        <v>-0.25609441560170387</v>
      </c>
      <c r="U21" s="94">
        <f>(Q22-Q21)/Q21</f>
        <v>-0.27520893250248546</v>
      </c>
      <c r="V21" s="95">
        <f>(R22-R21)/R21</f>
        <v>-0.28273530705108596</v>
      </c>
    </row>
    <row r="22" spans="1:22" x14ac:dyDescent="0.25">
      <c r="A22" s="92"/>
      <c r="B22" s="34">
        <v>100000000</v>
      </c>
      <c r="C22" s="34">
        <f t="shared" si="0"/>
        <v>1</v>
      </c>
      <c r="D22" s="92"/>
      <c r="E22" s="5" t="s">
        <v>114</v>
      </c>
      <c r="F22">
        <v>2.278</v>
      </c>
      <c r="G22">
        <v>3.56</v>
      </c>
      <c r="H22">
        <v>23.52</v>
      </c>
      <c r="I22">
        <v>146.19</v>
      </c>
      <c r="J22">
        <v>8.1096800000000009</v>
      </c>
      <c r="K22">
        <v>53.578560000000003</v>
      </c>
      <c r="L22">
        <v>333.02082000000001</v>
      </c>
      <c r="M22">
        <v>7.1529199999999999</v>
      </c>
      <c r="N22">
        <v>52.25732</v>
      </c>
      <c r="O22">
        <v>144.06072</v>
      </c>
      <c r="P22" s="17">
        <f t="shared" si="1"/>
        <v>7.1529199999999999</v>
      </c>
      <c r="Q22" s="16">
        <f t="shared" si="2"/>
        <v>52.25732</v>
      </c>
      <c r="R22" s="16">
        <f t="shared" si="2"/>
        <v>144.06072</v>
      </c>
      <c r="S22" s="93"/>
      <c r="T22" s="94"/>
      <c r="U22" s="94"/>
      <c r="V22" s="95"/>
    </row>
    <row r="23" spans="1:22" x14ac:dyDescent="0.25">
      <c r="A23" s="92" t="s">
        <v>19</v>
      </c>
      <c r="B23" s="34">
        <v>100000000</v>
      </c>
      <c r="C23" s="34">
        <f t="shared" si="0"/>
        <v>1</v>
      </c>
      <c r="D23" s="113"/>
      <c r="E23" s="5" t="s">
        <v>111</v>
      </c>
      <c r="F23">
        <v>24.738</v>
      </c>
      <c r="G23">
        <v>3.57</v>
      </c>
      <c r="H23">
        <v>30.06</v>
      </c>
      <c r="I23">
        <v>154.29</v>
      </c>
      <c r="J23">
        <v>88.314659999999989</v>
      </c>
      <c r="K23">
        <v>743.62428</v>
      </c>
      <c r="L23">
        <v>3816.82602</v>
      </c>
      <c r="M23">
        <v>77.924700000000001</v>
      </c>
      <c r="N23">
        <v>729.27624000000003</v>
      </c>
      <c r="O23">
        <v>1697.2741799999999</v>
      </c>
      <c r="P23" s="17">
        <f t="shared" si="1"/>
        <v>77.924700000000001</v>
      </c>
      <c r="Q23" s="16">
        <f t="shared" si="2"/>
        <v>729.27624000000003</v>
      </c>
      <c r="R23" s="16">
        <f t="shared" si="2"/>
        <v>1697.2741799999999</v>
      </c>
      <c r="S23" s="93">
        <f>(F24-F23)/F23</f>
        <v>-0.48496240601503759</v>
      </c>
      <c r="T23" s="94">
        <f>(P24-P23)/P23</f>
        <v>-0.4931376059195608</v>
      </c>
      <c r="U23" s="94">
        <f>(Q24-Q23)/Q23</f>
        <v>-0.50592730129258023</v>
      </c>
      <c r="V23" s="95">
        <f>(R24-R23)/R23</f>
        <v>-0.49809920516200862</v>
      </c>
    </row>
    <row r="24" spans="1:22" x14ac:dyDescent="0.25">
      <c r="A24" s="92"/>
      <c r="B24" s="34">
        <v>100000000</v>
      </c>
      <c r="C24" s="34">
        <f t="shared" si="0"/>
        <v>1</v>
      </c>
      <c r="D24" s="92"/>
      <c r="E24" s="5" t="s">
        <v>114</v>
      </c>
      <c r="F24">
        <v>12.741</v>
      </c>
      <c r="G24">
        <v>3.52</v>
      </c>
      <c r="H24">
        <v>28.86</v>
      </c>
      <c r="I24">
        <v>152.53</v>
      </c>
      <c r="J24">
        <v>44.848320000000001</v>
      </c>
      <c r="K24">
        <v>367.70526000000001</v>
      </c>
      <c r="L24">
        <v>1943.38473</v>
      </c>
      <c r="M24">
        <v>39.497100000000003</v>
      </c>
      <c r="N24">
        <v>360.31547999999998</v>
      </c>
      <c r="O24">
        <v>851.86325999999997</v>
      </c>
      <c r="P24" s="17">
        <f t="shared" si="1"/>
        <v>39.497100000000003</v>
      </c>
      <c r="Q24" s="16">
        <f t="shared" si="2"/>
        <v>360.31547999999998</v>
      </c>
      <c r="R24" s="16">
        <f t="shared" si="2"/>
        <v>851.86325999999997</v>
      </c>
      <c r="S24" s="93"/>
      <c r="T24" s="94"/>
      <c r="U24" s="94"/>
      <c r="V24" s="95"/>
    </row>
    <row r="25" spans="1:22" x14ac:dyDescent="0.25">
      <c r="A25" s="92"/>
      <c r="B25" s="34">
        <v>100000000</v>
      </c>
      <c r="C25" s="34">
        <f t="shared" si="0"/>
        <v>1</v>
      </c>
      <c r="D25" s="92" t="s">
        <v>118</v>
      </c>
      <c r="E25" s="5" t="s">
        <v>111</v>
      </c>
      <c r="F25">
        <v>13.598000000000001</v>
      </c>
      <c r="G25">
        <v>3.52</v>
      </c>
      <c r="H25">
        <v>29.06</v>
      </c>
      <c r="I25">
        <v>153.4</v>
      </c>
      <c r="J25">
        <v>47.864960000000004</v>
      </c>
      <c r="K25">
        <v>395.15787999999998</v>
      </c>
      <c r="L25">
        <v>2085.9331999999999</v>
      </c>
      <c r="M25">
        <v>42.153799999999997</v>
      </c>
      <c r="N25">
        <v>387.27104000000003</v>
      </c>
      <c r="O25">
        <v>920.85656000000006</v>
      </c>
      <c r="P25" s="17">
        <f t="shared" si="1"/>
        <v>42.153799999999997</v>
      </c>
      <c r="Q25" s="16">
        <f t="shared" si="2"/>
        <v>387.27104000000003</v>
      </c>
      <c r="R25" s="16">
        <f t="shared" si="2"/>
        <v>920.85656000000006</v>
      </c>
      <c r="S25" s="93">
        <f>(F26-F25)/F25</f>
        <v>-0.65068392410648623</v>
      </c>
      <c r="T25" s="94">
        <f>(P26-P25)/P25</f>
        <v>-0.64730344595267808</v>
      </c>
      <c r="U25" s="94">
        <f>(Q26-Q25)/Q25</f>
        <v>-0.70477394849870523</v>
      </c>
      <c r="V25" s="95">
        <f>(R26-R25)/R25</f>
        <v>-0.68720426990279571</v>
      </c>
    </row>
    <row r="26" spans="1:22" x14ac:dyDescent="0.25">
      <c r="A26" s="92"/>
      <c r="B26" s="34">
        <v>100000000</v>
      </c>
      <c r="C26" s="34">
        <f t="shared" si="0"/>
        <v>1</v>
      </c>
      <c r="D26" s="92"/>
      <c r="E26" s="5" t="s">
        <v>114</v>
      </c>
      <c r="F26">
        <v>4.75</v>
      </c>
      <c r="G26">
        <v>3.55</v>
      </c>
      <c r="H26">
        <v>24.65</v>
      </c>
      <c r="I26">
        <v>146.31</v>
      </c>
      <c r="J26">
        <v>16.862500000000001</v>
      </c>
      <c r="K26">
        <v>117.08750000000001</v>
      </c>
      <c r="L26">
        <v>694.97249999999997</v>
      </c>
      <c r="M26">
        <v>14.8675</v>
      </c>
      <c r="N26">
        <v>114.3325</v>
      </c>
      <c r="O26">
        <v>288.04000000000002</v>
      </c>
      <c r="P26" s="17">
        <f t="shared" si="1"/>
        <v>14.8675</v>
      </c>
      <c r="Q26" s="16">
        <f t="shared" si="2"/>
        <v>114.3325</v>
      </c>
      <c r="R26" s="16">
        <f t="shared" si="2"/>
        <v>288.04000000000002</v>
      </c>
      <c r="S26" s="93"/>
      <c r="T26" s="94"/>
      <c r="U26" s="94"/>
      <c r="V26" s="95"/>
    </row>
    <row r="27" spans="1:22" x14ac:dyDescent="0.25">
      <c r="A27" s="92" t="s">
        <v>21</v>
      </c>
      <c r="B27" s="34">
        <v>100000000</v>
      </c>
      <c r="C27" s="34">
        <f t="shared" si="0"/>
        <v>1</v>
      </c>
      <c r="D27" s="113"/>
      <c r="E27" s="5" t="s">
        <v>111</v>
      </c>
      <c r="F27">
        <v>37.828000000000003</v>
      </c>
      <c r="G27">
        <v>3.53</v>
      </c>
      <c r="H27">
        <v>29.23</v>
      </c>
      <c r="I27">
        <v>153.68</v>
      </c>
      <c r="J27">
        <v>133.53283999999999</v>
      </c>
      <c r="K27">
        <v>1105.71244</v>
      </c>
      <c r="L27">
        <v>5813.407040000001</v>
      </c>
      <c r="M27">
        <v>117.64507999999999</v>
      </c>
      <c r="N27">
        <v>1083.7722000000001</v>
      </c>
      <c r="O27">
        <v>2551.12032</v>
      </c>
      <c r="P27" s="17">
        <f t="shared" si="1"/>
        <v>117.64507999999999</v>
      </c>
      <c r="Q27" s="16">
        <f t="shared" si="2"/>
        <v>1083.7722000000001</v>
      </c>
      <c r="R27" s="16">
        <f t="shared" si="2"/>
        <v>2551.12032</v>
      </c>
      <c r="S27" s="93">
        <f>(F28-F27)/F27</f>
        <v>-0.23868562969229148</v>
      </c>
      <c r="T27" s="94">
        <f>(P28-P27)/P27</f>
        <v>-0.23378971734304574</v>
      </c>
      <c r="U27" s="94">
        <f>(Q28-Q27)/Q27</f>
        <v>-0.23416823203252501</v>
      </c>
      <c r="V27" s="95">
        <f>(R28-R27)/R27</f>
        <v>-0.24297536072308817</v>
      </c>
    </row>
    <row r="28" spans="1:22" x14ac:dyDescent="0.25">
      <c r="A28" s="92"/>
      <c r="B28" s="34">
        <v>100000000</v>
      </c>
      <c r="C28" s="34">
        <f t="shared" si="0"/>
        <v>1</v>
      </c>
      <c r="D28" s="92"/>
      <c r="E28" s="5" t="s">
        <v>114</v>
      </c>
      <c r="F28">
        <v>28.798999999999999</v>
      </c>
      <c r="G28">
        <v>3.55</v>
      </c>
      <c r="H28">
        <v>29.4</v>
      </c>
      <c r="I28">
        <v>153.30000000000001</v>
      </c>
      <c r="J28">
        <v>102.23645</v>
      </c>
      <c r="K28">
        <v>846.6905999999999</v>
      </c>
      <c r="L28">
        <v>4414.8867</v>
      </c>
      <c r="M28">
        <v>90.140869999999993</v>
      </c>
      <c r="N28">
        <v>829.98717999999997</v>
      </c>
      <c r="O28">
        <v>1931.2609399999999</v>
      </c>
      <c r="P28" s="17">
        <f t="shared" si="1"/>
        <v>90.140869999999993</v>
      </c>
      <c r="Q28" s="16">
        <f t="shared" si="2"/>
        <v>829.98717999999997</v>
      </c>
      <c r="R28" s="16">
        <f t="shared" si="2"/>
        <v>1931.2609399999999</v>
      </c>
      <c r="S28" s="93"/>
      <c r="T28" s="94"/>
      <c r="U28" s="94"/>
      <c r="V28" s="95"/>
    </row>
    <row r="29" spans="1:22" x14ac:dyDescent="0.25">
      <c r="A29" s="92"/>
      <c r="B29" s="34">
        <v>100000000</v>
      </c>
      <c r="C29" s="34">
        <f t="shared" si="0"/>
        <v>1</v>
      </c>
      <c r="D29" s="92" t="s">
        <v>118</v>
      </c>
      <c r="E29" s="5" t="s">
        <v>111</v>
      </c>
      <c r="F29">
        <v>34.125</v>
      </c>
      <c r="G29">
        <v>3.55</v>
      </c>
      <c r="H29">
        <v>28.62</v>
      </c>
      <c r="I29">
        <v>152.58000000000001</v>
      </c>
      <c r="J29">
        <v>121.14375</v>
      </c>
      <c r="K29">
        <v>976.65750000000003</v>
      </c>
      <c r="L29">
        <v>5206.7924999999996</v>
      </c>
      <c r="M29">
        <v>106.81125</v>
      </c>
      <c r="N29">
        <v>956.86500000000001</v>
      </c>
      <c r="O29">
        <v>2263.8525</v>
      </c>
      <c r="P29" s="17">
        <f t="shared" si="1"/>
        <v>106.81125</v>
      </c>
      <c r="Q29" s="16">
        <f t="shared" si="2"/>
        <v>956.86500000000001</v>
      </c>
      <c r="R29" s="16">
        <f t="shared" si="2"/>
        <v>2263.8525</v>
      </c>
      <c r="S29" s="93">
        <f>(F30-F29)/F29</f>
        <v>-0.19818315018315022</v>
      </c>
      <c r="T29" s="94">
        <f>(P30-P29)/P29</f>
        <v>-0.20330658053341771</v>
      </c>
      <c r="U29" s="94">
        <f>(Q30-Q29)/Q29</f>
        <v>-0.20447415257115689</v>
      </c>
      <c r="V29" s="95">
        <f>(R30-R29)/R29</f>
        <v>-0.21111568001890577</v>
      </c>
    </row>
    <row r="30" spans="1:22" x14ac:dyDescent="0.25">
      <c r="A30" s="92"/>
      <c r="B30" s="34">
        <v>100000000</v>
      </c>
      <c r="C30" s="34">
        <f t="shared" si="0"/>
        <v>1</v>
      </c>
      <c r="D30" s="92"/>
      <c r="E30" s="5" t="s">
        <v>114</v>
      </c>
      <c r="F30">
        <v>27.361999999999998</v>
      </c>
      <c r="G30">
        <v>3.53</v>
      </c>
      <c r="H30">
        <v>28.4</v>
      </c>
      <c r="I30">
        <v>151.52000000000001</v>
      </c>
      <c r="J30">
        <v>96.587859999999992</v>
      </c>
      <c r="K30">
        <v>777.08079999999995</v>
      </c>
      <c r="L30">
        <v>4145.8902399999997</v>
      </c>
      <c r="M30">
        <v>85.095819999999989</v>
      </c>
      <c r="N30">
        <v>761.21083999999996</v>
      </c>
      <c r="O30">
        <v>1785.9177400000001</v>
      </c>
      <c r="P30" s="17">
        <f t="shared" si="1"/>
        <v>85.095819999999989</v>
      </c>
      <c r="Q30" s="16">
        <f t="shared" si="2"/>
        <v>761.21083999999996</v>
      </c>
      <c r="R30" s="16">
        <f t="shared" si="2"/>
        <v>1785.9177400000001</v>
      </c>
      <c r="S30" s="93"/>
      <c r="T30" s="94"/>
      <c r="U30" s="94"/>
      <c r="V30" s="95"/>
    </row>
    <row r="31" spans="1:22" x14ac:dyDescent="0.25">
      <c r="A31" s="92" t="s">
        <v>23</v>
      </c>
      <c r="B31" s="34">
        <v>100000000</v>
      </c>
      <c r="C31" s="34">
        <f t="shared" si="0"/>
        <v>1</v>
      </c>
      <c r="D31" s="113"/>
      <c r="E31" s="5" t="s">
        <v>111</v>
      </c>
      <c r="F31">
        <v>9.7210000000000001</v>
      </c>
      <c r="G31">
        <v>3.56</v>
      </c>
      <c r="H31">
        <v>26.71</v>
      </c>
      <c r="I31">
        <v>149.66999999999999</v>
      </c>
      <c r="J31">
        <v>34.606760000000001</v>
      </c>
      <c r="K31">
        <v>259.64791000000002</v>
      </c>
      <c r="L31">
        <v>1454.9420700000001</v>
      </c>
      <c r="M31">
        <v>30.52394</v>
      </c>
      <c r="N31">
        <v>254.00972999999999</v>
      </c>
      <c r="O31">
        <v>602.41036999999994</v>
      </c>
      <c r="P31" s="17">
        <f t="shared" si="1"/>
        <v>30.52394</v>
      </c>
      <c r="Q31" s="16">
        <f t="shared" si="2"/>
        <v>254.00972999999999</v>
      </c>
      <c r="R31" s="16">
        <f t="shared" si="2"/>
        <v>602.41036999999994</v>
      </c>
      <c r="S31" s="93">
        <f>(F32-F31)/F31</f>
        <v>-0.18331447381956589</v>
      </c>
      <c r="T31" s="94">
        <f>(P32-P31)/P31</f>
        <v>-0.19111720177670374</v>
      </c>
      <c r="U31" s="94">
        <f>(Q32-Q31)/Q31</f>
        <v>-0.19206579212536459</v>
      </c>
      <c r="V31" s="95">
        <f>(R32-R31)/R31</f>
        <v>-0.20611366633678624</v>
      </c>
    </row>
    <row r="32" spans="1:22" x14ac:dyDescent="0.25">
      <c r="A32" s="92"/>
      <c r="B32" s="34">
        <v>100000000</v>
      </c>
      <c r="C32" s="34">
        <f t="shared" si="0"/>
        <v>1</v>
      </c>
      <c r="D32" s="92"/>
      <c r="E32" s="5" t="s">
        <v>114</v>
      </c>
      <c r="F32">
        <v>7.9390000000000001</v>
      </c>
      <c r="G32">
        <v>3.53</v>
      </c>
      <c r="H32">
        <v>26.43</v>
      </c>
      <c r="I32">
        <v>147.94</v>
      </c>
      <c r="J32">
        <v>28.02467</v>
      </c>
      <c r="K32">
        <v>209.82776999999999</v>
      </c>
      <c r="L32">
        <v>1174.49566</v>
      </c>
      <c r="M32">
        <v>24.690290000000001</v>
      </c>
      <c r="N32">
        <v>205.22315</v>
      </c>
      <c r="O32">
        <v>478.24536000000001</v>
      </c>
      <c r="P32" s="17">
        <f t="shared" si="1"/>
        <v>24.690290000000001</v>
      </c>
      <c r="Q32" s="16">
        <f t="shared" si="2"/>
        <v>205.22315</v>
      </c>
      <c r="R32" s="16">
        <f t="shared" si="2"/>
        <v>478.24536000000001</v>
      </c>
      <c r="S32" s="93"/>
      <c r="T32" s="94"/>
      <c r="U32" s="94"/>
      <c r="V32" s="95"/>
    </row>
    <row r="33" spans="1:22" x14ac:dyDescent="0.25">
      <c r="A33" s="92"/>
      <c r="B33" s="34">
        <v>100000000</v>
      </c>
      <c r="C33" s="34">
        <f t="shared" si="0"/>
        <v>1</v>
      </c>
      <c r="D33" s="92" t="s">
        <v>118</v>
      </c>
      <c r="E33" s="5" t="s">
        <v>111</v>
      </c>
      <c r="F33">
        <v>5.0270000000000001</v>
      </c>
      <c r="G33">
        <v>3.57</v>
      </c>
      <c r="H33">
        <v>25.6</v>
      </c>
      <c r="I33">
        <v>148.51</v>
      </c>
      <c r="J33">
        <v>17.946390000000001</v>
      </c>
      <c r="K33">
        <v>128.69120000000001</v>
      </c>
      <c r="L33">
        <v>746.55976999999996</v>
      </c>
      <c r="M33">
        <v>15.835050000000001</v>
      </c>
      <c r="N33">
        <v>125.77554000000001</v>
      </c>
      <c r="O33">
        <v>305.69186999999999</v>
      </c>
      <c r="P33" s="17">
        <f t="shared" si="1"/>
        <v>15.835050000000001</v>
      </c>
      <c r="Q33" s="16">
        <f t="shared" si="2"/>
        <v>125.77554000000001</v>
      </c>
      <c r="R33" s="16">
        <f t="shared" si="2"/>
        <v>305.69186999999999</v>
      </c>
      <c r="S33" s="93">
        <f>(F34-F33)/F33</f>
        <v>-0.17028048537895363</v>
      </c>
      <c r="T33" s="94">
        <f>(P34-P33)/P33</f>
        <v>-0.1676464551738075</v>
      </c>
      <c r="U33" s="94">
        <f>(Q34-Q33)/Q33</f>
        <v>-0.18122402813774449</v>
      </c>
      <c r="V33" s="95">
        <f>(R34-R33)/R33</f>
        <v>-0.15991069700348914</v>
      </c>
    </row>
    <row r="34" spans="1:22" x14ac:dyDescent="0.25">
      <c r="A34" s="92"/>
      <c r="B34" s="34">
        <v>100000000</v>
      </c>
      <c r="C34" s="34">
        <f t="shared" si="0"/>
        <v>1</v>
      </c>
      <c r="D34" s="92"/>
      <c r="E34" s="5" t="s">
        <v>114</v>
      </c>
      <c r="F34">
        <v>4.1710000000000003</v>
      </c>
      <c r="G34">
        <v>3.58</v>
      </c>
      <c r="H34">
        <v>25.27</v>
      </c>
      <c r="I34">
        <v>149.27000000000001</v>
      </c>
      <c r="J34">
        <v>14.932180000000001</v>
      </c>
      <c r="K34">
        <v>105.40116999999999</v>
      </c>
      <c r="L34">
        <v>622.60517000000004</v>
      </c>
      <c r="M34">
        <v>13.18036</v>
      </c>
      <c r="N34">
        <v>102.98199</v>
      </c>
      <c r="O34">
        <v>256.80847</v>
      </c>
      <c r="P34" s="17">
        <f t="shared" si="1"/>
        <v>13.18036</v>
      </c>
      <c r="Q34" s="16">
        <f t="shared" si="2"/>
        <v>102.98199</v>
      </c>
      <c r="R34" s="16">
        <f t="shared" si="2"/>
        <v>256.80847</v>
      </c>
      <c r="S34" s="93"/>
      <c r="T34" s="94"/>
      <c r="U34" s="94"/>
      <c r="V34" s="95"/>
    </row>
    <row r="35" spans="1:22" x14ac:dyDescent="0.25">
      <c r="A35" s="92" t="s">
        <v>25</v>
      </c>
      <c r="B35" s="34">
        <v>100000000</v>
      </c>
      <c r="C35" s="34">
        <f t="shared" si="0"/>
        <v>1</v>
      </c>
      <c r="D35" s="113"/>
      <c r="E35" s="5" t="s">
        <v>111</v>
      </c>
      <c r="F35">
        <v>234.01599999999999</v>
      </c>
      <c r="G35">
        <v>3.48</v>
      </c>
      <c r="H35">
        <v>29.73</v>
      </c>
      <c r="I35">
        <v>153.97999999999999</v>
      </c>
      <c r="J35">
        <v>814.37567999999999</v>
      </c>
      <c r="K35">
        <v>6957.2956800000002</v>
      </c>
      <c r="L35">
        <v>36033.783679999993</v>
      </c>
      <c r="M35">
        <v>716.08895999999993</v>
      </c>
      <c r="N35">
        <v>6821.5663999999997</v>
      </c>
      <c r="O35">
        <v>16170.5056</v>
      </c>
      <c r="P35" s="17">
        <f t="shared" si="1"/>
        <v>716.08895999999993</v>
      </c>
      <c r="Q35" s="16">
        <f t="shared" si="2"/>
        <v>6821.5663999999997</v>
      </c>
      <c r="R35" s="16">
        <f t="shared" si="2"/>
        <v>16170.5056</v>
      </c>
      <c r="S35" s="93">
        <f>(F36-F35)/F35</f>
        <v>-0.17829122795022556</v>
      </c>
      <c r="T35" s="94">
        <f>(P36-P35)/P35</f>
        <v>-0.17292058238127264</v>
      </c>
      <c r="U35" s="94">
        <f>(Q36-Q35)/Q35</f>
        <v>-0.18900304041605451</v>
      </c>
      <c r="V35" s="95">
        <f>(R36-R35)/R35</f>
        <v>-0.18055062978364758</v>
      </c>
    </row>
    <row r="36" spans="1:22" x14ac:dyDescent="0.25">
      <c r="A36" s="92"/>
      <c r="B36" s="34">
        <v>100000000</v>
      </c>
      <c r="C36" s="34">
        <f t="shared" si="0"/>
        <v>1</v>
      </c>
      <c r="D36" s="92"/>
      <c r="E36" s="5" t="s">
        <v>114</v>
      </c>
      <c r="F36">
        <v>192.29300000000001</v>
      </c>
      <c r="G36">
        <v>3.5</v>
      </c>
      <c r="H36">
        <v>29.35</v>
      </c>
      <c r="I36">
        <v>153.78</v>
      </c>
      <c r="J36">
        <v>673.02549999999997</v>
      </c>
      <c r="K36">
        <v>5643.7995500000006</v>
      </c>
      <c r="L36">
        <v>29570.81754</v>
      </c>
      <c r="M36">
        <v>592.26244000000008</v>
      </c>
      <c r="N36">
        <v>5532.2696100000003</v>
      </c>
      <c r="O36">
        <v>13250.91063</v>
      </c>
      <c r="P36" s="17">
        <f t="shared" si="1"/>
        <v>592.26244000000008</v>
      </c>
      <c r="Q36" s="16">
        <f t="shared" si="2"/>
        <v>5532.2696100000003</v>
      </c>
      <c r="R36" s="16">
        <f t="shared" si="2"/>
        <v>13250.91063</v>
      </c>
      <c r="S36" s="93"/>
      <c r="T36" s="94"/>
      <c r="U36" s="94"/>
      <c r="V36" s="95"/>
    </row>
    <row r="37" spans="1:22" x14ac:dyDescent="0.25">
      <c r="A37" s="92"/>
      <c r="B37" s="34">
        <v>100000000</v>
      </c>
      <c r="C37" s="34">
        <f t="shared" si="0"/>
        <v>1</v>
      </c>
      <c r="D37" s="92" t="s">
        <v>118</v>
      </c>
      <c r="E37" s="5" t="s">
        <v>111</v>
      </c>
      <c r="F37">
        <v>103.762</v>
      </c>
      <c r="G37">
        <v>3.52</v>
      </c>
      <c r="H37">
        <v>27.94</v>
      </c>
      <c r="I37">
        <v>150.36000000000001</v>
      </c>
      <c r="J37">
        <v>365.24223999999998</v>
      </c>
      <c r="K37">
        <v>2899.1102799999999</v>
      </c>
      <c r="L37">
        <v>15601.65432</v>
      </c>
      <c r="M37">
        <v>321.66219999999998</v>
      </c>
      <c r="N37">
        <v>2838.92832</v>
      </c>
      <c r="O37">
        <v>6794.3357600000008</v>
      </c>
      <c r="P37" s="17">
        <f t="shared" si="1"/>
        <v>321.66219999999998</v>
      </c>
      <c r="Q37" s="16">
        <f t="shared" si="2"/>
        <v>2838.92832</v>
      </c>
      <c r="R37" s="16">
        <f t="shared" si="2"/>
        <v>6794.3357600000008</v>
      </c>
      <c r="S37" s="93">
        <f>(F38-F37)/F37</f>
        <v>-3.3249166361481106E-2</v>
      </c>
      <c r="T37" s="94">
        <f>(P38-P37)/P37</f>
        <v>-3.0130615285227702E-2</v>
      </c>
      <c r="U37" s="94">
        <f>(Q38-Q37)/Q37</f>
        <v>-3.6429267787923533E-2</v>
      </c>
      <c r="V37" s="95">
        <f>(R38-R37)/R37</f>
        <v>-2.8524666258177529E-2</v>
      </c>
    </row>
    <row r="38" spans="1:22" x14ac:dyDescent="0.25">
      <c r="A38" s="92"/>
      <c r="B38" s="34">
        <v>100000000</v>
      </c>
      <c r="C38" s="34">
        <f t="shared" si="0"/>
        <v>1</v>
      </c>
      <c r="D38" s="92"/>
      <c r="E38" s="5" t="s">
        <v>114</v>
      </c>
      <c r="F38">
        <v>100.312</v>
      </c>
      <c r="G38">
        <v>3.53</v>
      </c>
      <c r="H38">
        <v>27.85</v>
      </c>
      <c r="I38">
        <v>150.68</v>
      </c>
      <c r="J38">
        <v>354.10136</v>
      </c>
      <c r="K38">
        <v>2793.6891999999998</v>
      </c>
      <c r="L38">
        <v>15115.01216</v>
      </c>
      <c r="M38">
        <v>311.97032000000002</v>
      </c>
      <c r="N38">
        <v>2735.5082400000001</v>
      </c>
      <c r="O38">
        <v>6600.5295999999998</v>
      </c>
      <c r="P38" s="17">
        <f t="shared" si="1"/>
        <v>311.97032000000002</v>
      </c>
      <c r="Q38" s="16">
        <f t="shared" si="2"/>
        <v>2735.5082400000001</v>
      </c>
      <c r="R38" s="16">
        <f t="shared" si="2"/>
        <v>6600.5295999999998</v>
      </c>
      <c r="S38" s="93"/>
      <c r="T38" s="94"/>
      <c r="U38" s="94"/>
      <c r="V38" s="95"/>
    </row>
    <row r="39" spans="1:22" x14ac:dyDescent="0.25">
      <c r="A39" s="92" t="s">
        <v>31</v>
      </c>
      <c r="B39" s="34">
        <v>100000000</v>
      </c>
      <c r="C39" s="34">
        <f t="shared" si="0"/>
        <v>1</v>
      </c>
      <c r="D39" s="113"/>
      <c r="E39" s="5" t="s">
        <v>111</v>
      </c>
      <c r="F39">
        <v>8.6389999999999993</v>
      </c>
      <c r="G39">
        <v>3.51</v>
      </c>
      <c r="H39">
        <v>26.38</v>
      </c>
      <c r="I39">
        <v>147.4</v>
      </c>
      <c r="J39">
        <v>30.322890000000001</v>
      </c>
      <c r="K39">
        <v>227.89681999999999</v>
      </c>
      <c r="L39">
        <v>1273.3886</v>
      </c>
      <c r="M39">
        <v>26.694510000000001</v>
      </c>
      <c r="N39">
        <v>222.8862</v>
      </c>
      <c r="O39">
        <v>525.07841999999994</v>
      </c>
      <c r="P39" s="17">
        <f t="shared" si="1"/>
        <v>26.694510000000001</v>
      </c>
      <c r="Q39" s="16">
        <f t="shared" si="2"/>
        <v>222.8862</v>
      </c>
      <c r="R39" s="16">
        <f t="shared" si="2"/>
        <v>525.07841999999994</v>
      </c>
      <c r="S39" s="93">
        <f>(F40-F39)/F39</f>
        <v>-2.0719990739668771E-2</v>
      </c>
      <c r="T39" s="94">
        <f>(P40-P39)/P39</f>
        <v>-2.0719990739668952E-2</v>
      </c>
      <c r="U39" s="94">
        <f>(Q40-Q39)/Q39</f>
        <v>-6.6760526223696194E-3</v>
      </c>
      <c r="V39" s="95">
        <f>(R40-R39)/R39</f>
        <v>1.3920549239102508E-2</v>
      </c>
    </row>
    <row r="40" spans="1:22" x14ac:dyDescent="0.25">
      <c r="A40" s="92"/>
      <c r="B40" s="34">
        <v>100000000</v>
      </c>
      <c r="C40" s="34">
        <f t="shared" si="0"/>
        <v>1</v>
      </c>
      <c r="D40" s="92"/>
      <c r="E40" s="5" t="s">
        <v>114</v>
      </c>
      <c r="F40">
        <v>8.4600000000000009</v>
      </c>
      <c r="G40">
        <v>3.51</v>
      </c>
      <c r="H40">
        <v>26.75</v>
      </c>
      <c r="I40">
        <v>149.55000000000001</v>
      </c>
      <c r="J40">
        <v>29.694600000000001</v>
      </c>
      <c r="K40">
        <v>226.30500000000001</v>
      </c>
      <c r="L40">
        <v>1265.193</v>
      </c>
      <c r="M40">
        <v>26.141400000000001</v>
      </c>
      <c r="N40">
        <v>221.3982</v>
      </c>
      <c r="O40">
        <v>532.38780000000008</v>
      </c>
      <c r="P40" s="17">
        <f t="shared" si="1"/>
        <v>26.141400000000001</v>
      </c>
      <c r="Q40" s="16">
        <f t="shared" si="2"/>
        <v>221.3982</v>
      </c>
      <c r="R40" s="16">
        <f t="shared" si="2"/>
        <v>532.38780000000008</v>
      </c>
      <c r="S40" s="93"/>
      <c r="T40" s="94"/>
      <c r="U40" s="94"/>
      <c r="V40" s="95"/>
    </row>
    <row r="41" spans="1:22" x14ac:dyDescent="0.25">
      <c r="A41" s="92"/>
      <c r="B41" s="34">
        <v>100000000</v>
      </c>
      <c r="C41" s="34">
        <f t="shared" si="0"/>
        <v>1</v>
      </c>
      <c r="D41" s="92" t="s">
        <v>118</v>
      </c>
      <c r="E41" s="5" t="s">
        <v>111</v>
      </c>
      <c r="F41">
        <v>4.3810000000000002</v>
      </c>
      <c r="G41">
        <v>3.55</v>
      </c>
      <c r="H41">
        <v>25.39</v>
      </c>
      <c r="I41">
        <v>149.15</v>
      </c>
      <c r="J41">
        <v>15.55255</v>
      </c>
      <c r="K41">
        <v>111.23359000000001</v>
      </c>
      <c r="L41">
        <v>653.42615000000001</v>
      </c>
      <c r="M41">
        <v>13.712529999999999</v>
      </c>
      <c r="N41">
        <v>108.69261</v>
      </c>
      <c r="O41">
        <v>273.94393000000002</v>
      </c>
      <c r="P41" s="17">
        <f t="shared" si="1"/>
        <v>13.712529999999999</v>
      </c>
      <c r="Q41" s="16">
        <f t="shared" si="2"/>
        <v>108.69261</v>
      </c>
      <c r="R41" s="16">
        <f t="shared" si="2"/>
        <v>273.94393000000002</v>
      </c>
      <c r="S41" s="93">
        <f>(F42-F41)/F41</f>
        <v>8.7879479570874178E-2</v>
      </c>
      <c r="T41" s="94">
        <f>(P42-P41)/P41</f>
        <v>8.0928172992146663E-2</v>
      </c>
      <c r="U41" s="94">
        <f>(Q42-Q41)/Q41</f>
        <v>9.7964617833723844E-2</v>
      </c>
      <c r="V41" s="95">
        <f>(R42-R41)/R41</f>
        <v>7.9006641979619527E-2</v>
      </c>
    </row>
    <row r="42" spans="1:22" x14ac:dyDescent="0.25">
      <c r="A42" s="92"/>
      <c r="B42" s="34">
        <v>100000000</v>
      </c>
      <c r="C42" s="34">
        <f t="shared" si="0"/>
        <v>1</v>
      </c>
      <c r="D42" s="92"/>
      <c r="E42" s="5" t="s">
        <v>114</v>
      </c>
      <c r="F42">
        <v>4.766</v>
      </c>
      <c r="G42">
        <v>3.53</v>
      </c>
      <c r="H42">
        <v>25.62</v>
      </c>
      <c r="I42">
        <v>148.63999999999999</v>
      </c>
      <c r="J42">
        <v>16.823979999999999</v>
      </c>
      <c r="K42">
        <v>122.10492000000001</v>
      </c>
      <c r="L42">
        <v>708.41823999999997</v>
      </c>
      <c r="M42">
        <v>14.82226</v>
      </c>
      <c r="N42">
        <v>119.34063999999999</v>
      </c>
      <c r="O42">
        <v>295.58731999999998</v>
      </c>
      <c r="P42" s="17">
        <f t="shared" si="1"/>
        <v>14.82226</v>
      </c>
      <c r="Q42" s="16">
        <f t="shared" si="2"/>
        <v>119.34063999999999</v>
      </c>
      <c r="R42" s="16">
        <f t="shared" si="2"/>
        <v>295.58731999999998</v>
      </c>
      <c r="S42" s="93"/>
      <c r="T42" s="94"/>
      <c r="U42" s="94"/>
      <c r="V42" s="95"/>
    </row>
    <row r="43" spans="1:22" x14ac:dyDescent="0.25">
      <c r="A43" s="92" t="s">
        <v>33</v>
      </c>
      <c r="B43" s="34">
        <v>100000000</v>
      </c>
      <c r="C43" s="34">
        <f t="shared" si="0"/>
        <v>1</v>
      </c>
      <c r="D43" s="113"/>
      <c r="E43" s="5" t="s">
        <v>111</v>
      </c>
      <c r="F43">
        <v>8.1679999999999993</v>
      </c>
      <c r="G43">
        <v>3.52</v>
      </c>
      <c r="H43">
        <v>26.42</v>
      </c>
      <c r="I43">
        <v>147.22</v>
      </c>
      <c r="J43">
        <v>28.751359999999998</v>
      </c>
      <c r="K43">
        <v>215.79856000000001</v>
      </c>
      <c r="L43">
        <v>1202.49296</v>
      </c>
      <c r="M43">
        <v>25.320799999999998</v>
      </c>
      <c r="N43">
        <v>211.06111999999999</v>
      </c>
      <c r="O43">
        <v>518.01455999999996</v>
      </c>
      <c r="P43" s="17">
        <f t="shared" si="1"/>
        <v>25.320799999999998</v>
      </c>
      <c r="Q43" s="16">
        <f t="shared" si="2"/>
        <v>211.06111999999999</v>
      </c>
      <c r="R43" s="16">
        <f t="shared" si="2"/>
        <v>518.01455999999996</v>
      </c>
      <c r="S43" s="93">
        <f>(F44-F43)/F43</f>
        <v>4.8359451518119663E-2</v>
      </c>
      <c r="T43" s="94">
        <f>(P44-P43)/P43</f>
        <v>4.8359451518119594E-2</v>
      </c>
      <c r="U43" s="94">
        <f>(Q44-Q43)/Q43</f>
        <v>4.4302332897693385E-2</v>
      </c>
      <c r="V43" s="95">
        <f>(R44-R43)/R43</f>
        <v>3.976363135430027E-2</v>
      </c>
    </row>
    <row r="44" spans="1:22" x14ac:dyDescent="0.25">
      <c r="A44" s="92"/>
      <c r="B44" s="34">
        <v>100000000</v>
      </c>
      <c r="C44" s="34">
        <f t="shared" si="0"/>
        <v>1</v>
      </c>
      <c r="D44" s="92"/>
      <c r="E44" s="5" t="s">
        <v>114</v>
      </c>
      <c r="F44">
        <v>8.5630000000000006</v>
      </c>
      <c r="G44">
        <v>3.52</v>
      </c>
      <c r="H44">
        <v>26.32</v>
      </c>
      <c r="I44">
        <v>146.69999999999999</v>
      </c>
      <c r="J44">
        <v>30.141760000000001</v>
      </c>
      <c r="K44">
        <v>225.37816000000001</v>
      </c>
      <c r="L44">
        <v>1256.1921</v>
      </c>
      <c r="M44">
        <v>26.545300000000001</v>
      </c>
      <c r="N44">
        <v>220.41162</v>
      </c>
      <c r="O44">
        <v>538.61270000000002</v>
      </c>
      <c r="P44" s="17">
        <f t="shared" si="1"/>
        <v>26.545300000000001</v>
      </c>
      <c r="Q44" s="16">
        <f t="shared" si="2"/>
        <v>220.41162</v>
      </c>
      <c r="R44" s="16">
        <f t="shared" si="2"/>
        <v>538.61270000000002</v>
      </c>
      <c r="S44" s="93"/>
      <c r="T44" s="94"/>
      <c r="U44" s="94"/>
      <c r="V44" s="95"/>
    </row>
    <row r="45" spans="1:22" x14ac:dyDescent="0.25">
      <c r="A45" s="92"/>
      <c r="B45" s="34">
        <v>100000000</v>
      </c>
      <c r="C45" s="34">
        <f t="shared" si="0"/>
        <v>1</v>
      </c>
      <c r="D45" s="92" t="s">
        <v>118</v>
      </c>
      <c r="E45" s="5" t="s">
        <v>111</v>
      </c>
      <c r="F45">
        <v>4.4329999999999998</v>
      </c>
      <c r="G45">
        <v>3.55</v>
      </c>
      <c r="H45">
        <v>25.44</v>
      </c>
      <c r="I45">
        <v>147.01</v>
      </c>
      <c r="J45">
        <v>15.73715</v>
      </c>
      <c r="K45">
        <v>112.77552</v>
      </c>
      <c r="L45">
        <v>651.6953299999999</v>
      </c>
      <c r="M45">
        <v>13.87529</v>
      </c>
      <c r="N45">
        <v>110.20438</v>
      </c>
      <c r="O45">
        <v>280.20992999999999</v>
      </c>
      <c r="P45" s="17">
        <f t="shared" si="1"/>
        <v>13.87529</v>
      </c>
      <c r="Q45" s="16">
        <f t="shared" si="2"/>
        <v>110.20438</v>
      </c>
      <c r="R45" s="16">
        <f t="shared" si="2"/>
        <v>280.20992999999999</v>
      </c>
      <c r="S45" s="93">
        <f>(F46-F45)/F45</f>
        <v>0.11459508233701783</v>
      </c>
      <c r="T45" s="94">
        <f>(P46-P45)/P45</f>
        <v>0.11459508233701783</v>
      </c>
      <c r="U45" s="94">
        <f>(Q46-Q45)/Q45</f>
        <v>0.12983894106568175</v>
      </c>
      <c r="V45" s="95">
        <f>(R46-R45)/R45</f>
        <v>0.13769458491353254</v>
      </c>
    </row>
    <row r="46" spans="1:22" x14ac:dyDescent="0.25">
      <c r="A46" s="92"/>
      <c r="B46" s="34">
        <v>100000000</v>
      </c>
      <c r="C46" s="34">
        <f t="shared" si="0"/>
        <v>1</v>
      </c>
      <c r="D46" s="92"/>
      <c r="E46" s="5" t="s">
        <v>114</v>
      </c>
      <c r="F46">
        <v>4.9409999999999998</v>
      </c>
      <c r="G46">
        <v>3.55</v>
      </c>
      <c r="H46">
        <v>25.78</v>
      </c>
      <c r="I46">
        <v>148.32</v>
      </c>
      <c r="J46">
        <v>17.54055</v>
      </c>
      <c r="K46">
        <v>127.37898</v>
      </c>
      <c r="L46">
        <v>732.84911999999997</v>
      </c>
      <c r="M46">
        <v>15.46533</v>
      </c>
      <c r="N46">
        <v>124.5132</v>
      </c>
      <c r="O46">
        <v>318.79331999999999</v>
      </c>
      <c r="P46" s="17">
        <f t="shared" si="1"/>
        <v>15.46533</v>
      </c>
      <c r="Q46" s="16">
        <f t="shared" si="2"/>
        <v>124.5132</v>
      </c>
      <c r="R46" s="16">
        <f t="shared" si="2"/>
        <v>318.79331999999999</v>
      </c>
      <c r="S46" s="93"/>
      <c r="T46" s="94"/>
      <c r="U46" s="94"/>
      <c r="V46" s="95"/>
    </row>
    <row r="47" spans="1:22" x14ac:dyDescent="0.25">
      <c r="A47" s="114" t="s">
        <v>37</v>
      </c>
      <c r="B47" s="34">
        <v>100000000</v>
      </c>
      <c r="C47" s="34">
        <f t="shared" si="0"/>
        <v>1</v>
      </c>
      <c r="D47" s="114"/>
      <c r="E47" s="5" t="s">
        <v>111</v>
      </c>
      <c r="F47">
        <v>128.31399999999999</v>
      </c>
      <c r="G47">
        <v>3.5</v>
      </c>
      <c r="H47">
        <v>28.32</v>
      </c>
      <c r="I47">
        <v>150.9</v>
      </c>
      <c r="J47">
        <v>449.09899999999999</v>
      </c>
      <c r="K47">
        <v>3633.85248</v>
      </c>
      <c r="L47">
        <v>19362.582600000002</v>
      </c>
      <c r="M47">
        <v>395.20711999999997</v>
      </c>
      <c r="N47">
        <v>3559.4303599999989</v>
      </c>
      <c r="O47">
        <v>8475.1396999999997</v>
      </c>
      <c r="P47" s="17">
        <f t="shared" si="1"/>
        <v>395.20711999999997</v>
      </c>
      <c r="Q47" s="16">
        <f t="shared" si="2"/>
        <v>3559.4303599999989</v>
      </c>
      <c r="R47" s="16">
        <f t="shared" si="2"/>
        <v>8475.1396999999997</v>
      </c>
      <c r="S47" s="93">
        <f>(F48-F47)/F47</f>
        <v>3.2693236903221734E-2</v>
      </c>
      <c r="T47" s="94">
        <f>(P48-P47)/P47</f>
        <v>3.269323690322188E-2</v>
      </c>
      <c r="U47" s="94">
        <f>(Q48-Q47)/Q47</f>
        <v>3.3437788624132915E-2</v>
      </c>
      <c r="V47" s="95">
        <f>(R48-R47)/R47</f>
        <v>3.9103596133052441E-2</v>
      </c>
    </row>
    <row r="48" spans="1:22" x14ac:dyDescent="0.25">
      <c r="A48" s="115"/>
      <c r="B48" s="34">
        <v>100000000</v>
      </c>
      <c r="C48" s="34">
        <f t="shared" si="0"/>
        <v>1</v>
      </c>
      <c r="D48" s="113"/>
      <c r="E48" s="5" t="s">
        <v>114</v>
      </c>
      <c r="F48">
        <v>132.50899999999999</v>
      </c>
      <c r="G48">
        <v>3.5</v>
      </c>
      <c r="H48">
        <v>28.34</v>
      </c>
      <c r="I48">
        <v>151.30000000000001</v>
      </c>
      <c r="J48">
        <v>463.78149999999988</v>
      </c>
      <c r="K48">
        <v>3755.3050600000001</v>
      </c>
      <c r="L48">
        <v>20048.611700000001</v>
      </c>
      <c r="M48">
        <v>408.12772000000001</v>
      </c>
      <c r="N48">
        <v>3678.4498400000002</v>
      </c>
      <c r="O48">
        <v>8806.548139999999</v>
      </c>
      <c r="P48" s="17">
        <f t="shared" si="1"/>
        <v>408.12772000000001</v>
      </c>
      <c r="Q48" s="16">
        <f t="shared" si="2"/>
        <v>3678.4498400000002</v>
      </c>
      <c r="R48" s="16">
        <f t="shared" si="2"/>
        <v>8806.548139999999</v>
      </c>
      <c r="S48" s="93"/>
      <c r="T48" s="94"/>
      <c r="U48" s="94"/>
      <c r="V48" s="95"/>
    </row>
    <row r="49" spans="1:22" x14ac:dyDescent="0.25">
      <c r="A49" s="115"/>
      <c r="B49" s="34">
        <v>100000000</v>
      </c>
      <c r="C49" s="34">
        <f t="shared" si="0"/>
        <v>1</v>
      </c>
      <c r="D49" s="114" t="s">
        <v>118</v>
      </c>
      <c r="E49" s="5" t="s">
        <v>111</v>
      </c>
      <c r="F49">
        <v>122.685</v>
      </c>
      <c r="G49">
        <v>3.51</v>
      </c>
      <c r="H49">
        <v>28.76</v>
      </c>
      <c r="I49">
        <v>151.77000000000001</v>
      </c>
      <c r="J49">
        <v>430.62434999999999</v>
      </c>
      <c r="K49">
        <v>3528.4205999999999</v>
      </c>
      <c r="L49">
        <v>18619.902450000001</v>
      </c>
      <c r="M49">
        <v>379.09665000000001</v>
      </c>
      <c r="N49">
        <v>3457.2633000000001</v>
      </c>
      <c r="O49">
        <v>8211.3070500000013</v>
      </c>
      <c r="P49" s="17">
        <f t="shared" si="1"/>
        <v>379.09665000000001</v>
      </c>
      <c r="Q49" s="16">
        <f t="shared" si="2"/>
        <v>3457.2633000000001</v>
      </c>
      <c r="R49" s="16">
        <f t="shared" si="2"/>
        <v>8211.3070500000013</v>
      </c>
      <c r="S49" s="93">
        <f>(F50-F49)/F49</f>
        <v>3.7641113420548516E-2</v>
      </c>
      <c r="T49" s="94">
        <f>(P50-P49)/P49</f>
        <v>3.4283051564818548E-2</v>
      </c>
      <c r="U49" s="94">
        <f>(Q50-Q49)/Q49</f>
        <v>5.0896997055445571E-2</v>
      </c>
      <c r="V49" s="95">
        <f>(R50-R49)/R49</f>
        <v>5.4074694478755091E-2</v>
      </c>
    </row>
    <row r="50" spans="1:22" x14ac:dyDescent="0.25">
      <c r="A50" s="113"/>
      <c r="B50" s="34">
        <v>100000000</v>
      </c>
      <c r="C50" s="34">
        <f t="shared" si="0"/>
        <v>1</v>
      </c>
      <c r="D50" s="113"/>
      <c r="E50" s="5" t="s">
        <v>114</v>
      </c>
      <c r="F50">
        <v>127.303</v>
      </c>
      <c r="G50">
        <v>3.5</v>
      </c>
      <c r="H50">
        <v>29.12</v>
      </c>
      <c r="I50">
        <v>152.84</v>
      </c>
      <c r="J50">
        <v>445.56049999999999</v>
      </c>
      <c r="K50">
        <v>3707.0633600000001</v>
      </c>
      <c r="L50">
        <v>19456.990519999999</v>
      </c>
      <c r="M50">
        <v>392.09323999999998</v>
      </c>
      <c r="N50">
        <v>3633.2276200000001</v>
      </c>
      <c r="O50">
        <v>8655.3309699999991</v>
      </c>
      <c r="P50" s="17">
        <f t="shared" si="1"/>
        <v>392.09323999999998</v>
      </c>
      <c r="Q50" s="16">
        <f t="shared" si="2"/>
        <v>3633.2276200000001</v>
      </c>
      <c r="R50" s="16">
        <f t="shared" si="2"/>
        <v>8655.3309699999991</v>
      </c>
      <c r="S50" s="93"/>
      <c r="T50" s="94"/>
      <c r="U50" s="94"/>
      <c r="V50" s="95"/>
    </row>
    <row r="51" spans="1:22" x14ac:dyDescent="0.25">
      <c r="A51" s="92" t="s">
        <v>39</v>
      </c>
      <c r="B51" s="34">
        <v>100000000</v>
      </c>
      <c r="C51" s="34">
        <f t="shared" si="0"/>
        <v>1</v>
      </c>
      <c r="D51" s="113"/>
      <c r="E51" s="5" t="s">
        <v>111</v>
      </c>
      <c r="F51">
        <v>69.498999999999995</v>
      </c>
      <c r="G51">
        <v>3.5</v>
      </c>
      <c r="H51">
        <v>28.63</v>
      </c>
      <c r="I51">
        <v>151.69999999999999</v>
      </c>
      <c r="J51">
        <v>243.2465</v>
      </c>
      <c r="K51">
        <v>1989.7563700000001</v>
      </c>
      <c r="L51">
        <v>10542.998299999999</v>
      </c>
      <c r="M51">
        <v>214.05691999999999</v>
      </c>
      <c r="N51">
        <v>1949.44695</v>
      </c>
      <c r="O51">
        <v>4528.5548399999998</v>
      </c>
      <c r="P51" s="17">
        <f t="shared" si="1"/>
        <v>214.05691999999999</v>
      </c>
      <c r="Q51" s="16">
        <f t="shared" si="2"/>
        <v>1949.44695</v>
      </c>
      <c r="R51" s="16">
        <f t="shared" si="2"/>
        <v>4528.5548399999998</v>
      </c>
      <c r="S51" s="93">
        <f>(F52-F51)/F51</f>
        <v>-0.10956992186937935</v>
      </c>
      <c r="T51" s="94">
        <f>(P52-P51)/P51</f>
        <v>-0.10378790837502476</v>
      </c>
      <c r="U51" s="94">
        <f>(Q52-Q51)/Q51</f>
        <v>-0.11020480962562229</v>
      </c>
      <c r="V51" s="95">
        <f>(R52-R51)/R51</f>
        <v>-8.5382364498427815E-2</v>
      </c>
    </row>
    <row r="52" spans="1:22" x14ac:dyDescent="0.25">
      <c r="A52" s="92"/>
      <c r="B52" s="34">
        <v>100000000</v>
      </c>
      <c r="C52" s="34">
        <f t="shared" si="0"/>
        <v>1</v>
      </c>
      <c r="D52" s="92"/>
      <c r="E52" s="5" t="s">
        <v>114</v>
      </c>
      <c r="F52">
        <v>61.884</v>
      </c>
      <c r="G52">
        <v>3.52</v>
      </c>
      <c r="H52">
        <v>28.61</v>
      </c>
      <c r="I52">
        <v>153.47999999999999</v>
      </c>
      <c r="J52">
        <v>217.83168000000001</v>
      </c>
      <c r="K52">
        <v>1770.5012400000001</v>
      </c>
      <c r="L52">
        <v>9497.9563199999993</v>
      </c>
      <c r="M52">
        <v>191.84039999999999</v>
      </c>
      <c r="N52">
        <v>1734.60852</v>
      </c>
      <c r="O52">
        <v>4141.8961200000003</v>
      </c>
      <c r="P52" s="17">
        <f t="shared" si="1"/>
        <v>191.84039999999999</v>
      </c>
      <c r="Q52" s="16">
        <f t="shared" si="2"/>
        <v>1734.60852</v>
      </c>
      <c r="R52" s="16">
        <f t="shared" si="2"/>
        <v>4141.8961200000003</v>
      </c>
      <c r="S52" s="93"/>
      <c r="T52" s="94"/>
      <c r="U52" s="94"/>
      <c r="V52" s="95"/>
    </row>
    <row r="53" spans="1:22" x14ac:dyDescent="0.25">
      <c r="A53" s="92"/>
      <c r="B53" s="34">
        <v>100000000</v>
      </c>
      <c r="C53" s="34">
        <f t="shared" si="0"/>
        <v>1</v>
      </c>
      <c r="D53" s="92" t="s">
        <v>118</v>
      </c>
      <c r="E53" s="5" t="s">
        <v>111</v>
      </c>
      <c r="F53">
        <v>64.382999999999996</v>
      </c>
      <c r="G53">
        <v>3.51</v>
      </c>
      <c r="H53">
        <v>28.45</v>
      </c>
      <c r="I53">
        <v>151.74</v>
      </c>
      <c r="J53">
        <v>225.98433</v>
      </c>
      <c r="K53">
        <v>1831.6963499999999</v>
      </c>
      <c r="L53">
        <v>9769.4764199999991</v>
      </c>
      <c r="M53">
        <v>198.94346999999999</v>
      </c>
      <c r="N53">
        <v>1794.35421</v>
      </c>
      <c r="O53">
        <v>4197.1277699999991</v>
      </c>
      <c r="P53" s="17">
        <f t="shared" si="1"/>
        <v>198.94346999999999</v>
      </c>
      <c r="Q53" s="16">
        <f t="shared" si="2"/>
        <v>1794.35421</v>
      </c>
      <c r="R53" s="16">
        <f t="shared" si="2"/>
        <v>4197.1277699999991</v>
      </c>
      <c r="S53" s="93">
        <f>(F54-F53)/F53</f>
        <v>6.9381669074134455E-2</v>
      </c>
      <c r="T53" s="94">
        <f>(P54-P53)/P53</f>
        <v>7.2842451174698078E-2</v>
      </c>
      <c r="U53" s="94">
        <f>(Q54-Q53)/Q53</f>
        <v>7.1683890105510392E-2</v>
      </c>
      <c r="V53" s="95">
        <f>(R54-R53)/R53</f>
        <v>7.9880277268757183E-2</v>
      </c>
    </row>
    <row r="54" spans="1:22" x14ac:dyDescent="0.25">
      <c r="A54" s="92"/>
      <c r="B54" s="34">
        <v>100000000</v>
      </c>
      <c r="C54" s="34">
        <f t="shared" si="0"/>
        <v>1</v>
      </c>
      <c r="D54" s="92"/>
      <c r="E54" s="5" t="s">
        <v>114</v>
      </c>
      <c r="F54">
        <v>68.849999999999994</v>
      </c>
      <c r="G54">
        <v>3.52</v>
      </c>
      <c r="H54">
        <v>28.51</v>
      </c>
      <c r="I54">
        <v>152.38</v>
      </c>
      <c r="J54">
        <v>242.352</v>
      </c>
      <c r="K54">
        <v>1962.9135000000001</v>
      </c>
      <c r="L54">
        <v>10491.362999999999</v>
      </c>
      <c r="M54">
        <v>213.435</v>
      </c>
      <c r="N54">
        <v>1922.9804999999999</v>
      </c>
      <c r="O54">
        <v>4532.3954999999996</v>
      </c>
      <c r="P54" s="17">
        <f t="shared" si="1"/>
        <v>213.435</v>
      </c>
      <c r="Q54" s="16">
        <f t="shared" si="2"/>
        <v>1922.9804999999999</v>
      </c>
      <c r="R54" s="16">
        <f t="shared" si="2"/>
        <v>4532.3954999999996</v>
      </c>
      <c r="S54" s="93"/>
      <c r="T54" s="94"/>
      <c r="U54" s="94"/>
      <c r="V54" s="95"/>
    </row>
    <row r="55" spans="1:22" x14ac:dyDescent="0.25">
      <c r="A55" s="92" t="s">
        <v>49</v>
      </c>
      <c r="B55" s="34">
        <v>100000000</v>
      </c>
      <c r="C55" s="34">
        <f t="shared" si="0"/>
        <v>1</v>
      </c>
      <c r="D55" s="113"/>
      <c r="E55" s="5" t="s">
        <v>111</v>
      </c>
      <c r="F55">
        <v>181.41900000000001</v>
      </c>
      <c r="G55">
        <v>3.49</v>
      </c>
      <c r="H55">
        <v>28.12</v>
      </c>
      <c r="I55">
        <v>150.22999999999999</v>
      </c>
      <c r="J55">
        <v>633.15231000000006</v>
      </c>
      <c r="K55">
        <v>5101.5022800000006</v>
      </c>
      <c r="L55">
        <v>27254.576369999999</v>
      </c>
      <c r="M55">
        <v>556.95632999999998</v>
      </c>
      <c r="N55">
        <v>4996.2792600000002</v>
      </c>
      <c r="O55">
        <v>11808.56271</v>
      </c>
      <c r="P55" s="17">
        <f t="shared" si="1"/>
        <v>556.95632999999998</v>
      </c>
      <c r="Q55" s="16">
        <f t="shared" si="2"/>
        <v>4996.2792600000002</v>
      </c>
      <c r="R55" s="16">
        <f t="shared" si="2"/>
        <v>11808.56271</v>
      </c>
      <c r="S55" s="93">
        <f>(F56-F55)/F55</f>
        <v>-4.7426124055363623E-2</v>
      </c>
      <c r="T55" s="94">
        <f>(P56-P55)/P55</f>
        <v>-4.1220431052466935E-2</v>
      </c>
      <c r="U55" s="94">
        <f>(Q56-Q55)/Q55</f>
        <v>-4.085426361856323E-2</v>
      </c>
      <c r="V55" s="95">
        <f>(R56-R55)/R55</f>
        <v>-3.3376793575922048E-2</v>
      </c>
    </row>
    <row r="56" spans="1:22" x14ac:dyDescent="0.25">
      <c r="A56" s="92"/>
      <c r="B56" s="34">
        <v>100000000</v>
      </c>
      <c r="C56" s="34">
        <f t="shared" si="0"/>
        <v>1</v>
      </c>
      <c r="D56" s="92"/>
      <c r="E56" s="5" t="s">
        <v>114</v>
      </c>
      <c r="F56">
        <v>172.815</v>
      </c>
      <c r="G56">
        <v>3.51</v>
      </c>
      <c r="H56">
        <v>28.31</v>
      </c>
      <c r="I56">
        <v>151.19999999999999</v>
      </c>
      <c r="J56">
        <v>606.58064999999999</v>
      </c>
      <c r="K56">
        <v>4892.3926499999998</v>
      </c>
      <c r="L56">
        <v>26129.628000000001</v>
      </c>
      <c r="M56">
        <v>533.99834999999996</v>
      </c>
      <c r="N56">
        <v>4792.1599500000002</v>
      </c>
      <c r="O56">
        <v>11414.43075</v>
      </c>
      <c r="P56" s="17">
        <f t="shared" si="1"/>
        <v>533.99834999999996</v>
      </c>
      <c r="Q56" s="16">
        <f t="shared" si="2"/>
        <v>4792.1599500000002</v>
      </c>
      <c r="R56" s="16">
        <f t="shared" si="2"/>
        <v>11414.43075</v>
      </c>
      <c r="S56" s="93"/>
      <c r="T56" s="94"/>
      <c r="U56" s="94"/>
      <c r="V56" s="95"/>
    </row>
    <row r="57" spans="1:22" x14ac:dyDescent="0.25">
      <c r="A57" s="92"/>
      <c r="B57" s="34">
        <v>100000000</v>
      </c>
      <c r="C57" s="34">
        <f t="shared" si="0"/>
        <v>1</v>
      </c>
      <c r="D57" s="92" t="s">
        <v>118</v>
      </c>
      <c r="E57" s="5" t="s">
        <v>111</v>
      </c>
      <c r="F57">
        <v>158.535</v>
      </c>
      <c r="G57">
        <v>3.49</v>
      </c>
      <c r="H57">
        <v>28.83</v>
      </c>
      <c r="I57">
        <v>152.04</v>
      </c>
      <c r="J57">
        <v>553.28715</v>
      </c>
      <c r="K57">
        <v>4570.56405</v>
      </c>
      <c r="L57">
        <v>24103.661400000001</v>
      </c>
      <c r="M57">
        <v>486.70244999999989</v>
      </c>
      <c r="N57">
        <v>4478.6137500000004</v>
      </c>
      <c r="O57">
        <v>10605.9915</v>
      </c>
      <c r="P57" s="17">
        <f t="shared" si="1"/>
        <v>486.70244999999989</v>
      </c>
      <c r="Q57" s="16">
        <f t="shared" si="2"/>
        <v>4478.6137500000004</v>
      </c>
      <c r="R57" s="16">
        <f t="shared" si="2"/>
        <v>10605.9915</v>
      </c>
      <c r="S57" s="93">
        <f>(F58-F57)/F57</f>
        <v>-6.3746175923297663E-2</v>
      </c>
      <c r="T57" s="94">
        <f>(P58-P57)/P57</f>
        <v>-5.4597115753166787E-2</v>
      </c>
      <c r="U57" s="94">
        <f>(Q58-Q57)/Q57</f>
        <v>-6.0100585811848746E-2</v>
      </c>
      <c r="V57" s="95">
        <f>(R58-R57)/R57</f>
        <v>-5.3669901583458683E-2</v>
      </c>
    </row>
    <row r="58" spans="1:22" x14ac:dyDescent="0.25">
      <c r="A58" s="92"/>
      <c r="B58" s="34">
        <v>100000000</v>
      </c>
      <c r="C58" s="34">
        <f t="shared" si="0"/>
        <v>1</v>
      </c>
      <c r="D58" s="92"/>
      <c r="E58" s="5" t="s">
        <v>114</v>
      </c>
      <c r="F58">
        <v>148.429</v>
      </c>
      <c r="G58">
        <v>3.52</v>
      </c>
      <c r="H58">
        <v>28.94</v>
      </c>
      <c r="I58">
        <v>152.76</v>
      </c>
      <c r="J58">
        <v>522.47008000000005</v>
      </c>
      <c r="K58">
        <v>4295.5352600000006</v>
      </c>
      <c r="L58">
        <v>22674.014039999998</v>
      </c>
      <c r="M58">
        <v>460.12990000000002</v>
      </c>
      <c r="N58">
        <v>4209.4464399999997</v>
      </c>
      <c r="O58">
        <v>10036.768980000001</v>
      </c>
      <c r="P58" s="17">
        <f t="shared" si="1"/>
        <v>460.12990000000002</v>
      </c>
      <c r="Q58" s="16">
        <f t="shared" si="2"/>
        <v>4209.4464399999997</v>
      </c>
      <c r="R58" s="16">
        <f t="shared" si="2"/>
        <v>10036.768980000001</v>
      </c>
      <c r="S58" s="93"/>
      <c r="T58" s="94"/>
      <c r="U58" s="94"/>
      <c r="V58" s="95"/>
    </row>
    <row r="59" spans="1:22" x14ac:dyDescent="0.25">
      <c r="A59" s="92" t="s">
        <v>51</v>
      </c>
      <c r="B59" s="34">
        <v>100000000</v>
      </c>
      <c r="C59" s="34">
        <f t="shared" si="0"/>
        <v>1</v>
      </c>
      <c r="D59" s="113"/>
      <c r="E59" s="5" t="s">
        <v>111</v>
      </c>
      <c r="F59">
        <v>173.517</v>
      </c>
      <c r="G59">
        <v>3.51</v>
      </c>
      <c r="H59">
        <v>29.02</v>
      </c>
      <c r="I59">
        <v>152.58000000000001</v>
      </c>
      <c r="J59">
        <v>609.04467</v>
      </c>
      <c r="K59">
        <v>5035.4633400000002</v>
      </c>
      <c r="L59">
        <v>26475.223859999998</v>
      </c>
      <c r="M59">
        <v>536.16752999999994</v>
      </c>
      <c r="N59">
        <v>4934.82348</v>
      </c>
      <c r="O59">
        <v>11367.098669999999</v>
      </c>
      <c r="P59" s="17">
        <f t="shared" si="1"/>
        <v>536.16752999999994</v>
      </c>
      <c r="Q59" s="16">
        <f t="shared" si="2"/>
        <v>4934.82348</v>
      </c>
      <c r="R59" s="16">
        <f t="shared" si="2"/>
        <v>11367.098669999999</v>
      </c>
      <c r="S59" s="93">
        <f>(F60-F59)/F59</f>
        <v>-0.2631615346046785</v>
      </c>
      <c r="T59" s="94">
        <f>(P60-P59)/P59</f>
        <v>-0.26554612510757591</v>
      </c>
      <c r="U59" s="94">
        <f>(Q60-Q59)/Q59</f>
        <v>-0.25124361287184283</v>
      </c>
      <c r="V59" s="95">
        <f>(R60-R59)/R59</f>
        <v>-0.25202628684492628</v>
      </c>
    </row>
    <row r="60" spans="1:22" x14ac:dyDescent="0.25">
      <c r="A60" s="92"/>
      <c r="B60" s="34">
        <v>100000000</v>
      </c>
      <c r="C60" s="34">
        <f t="shared" si="0"/>
        <v>1</v>
      </c>
      <c r="D60" s="92"/>
      <c r="E60" s="5" t="s">
        <v>114</v>
      </c>
      <c r="F60">
        <v>127.854</v>
      </c>
      <c r="G60">
        <v>3.5</v>
      </c>
      <c r="H60">
        <v>29.48</v>
      </c>
      <c r="I60">
        <v>153.56</v>
      </c>
      <c r="J60">
        <v>447.48899999999998</v>
      </c>
      <c r="K60">
        <v>3769.1359200000002</v>
      </c>
      <c r="L60">
        <v>19633.26024</v>
      </c>
      <c r="M60">
        <v>393.79032000000001</v>
      </c>
      <c r="N60">
        <v>3694.9805999999999</v>
      </c>
      <c r="O60">
        <v>8502.2909999999993</v>
      </c>
      <c r="P60" s="17">
        <f t="shared" si="1"/>
        <v>393.79032000000001</v>
      </c>
      <c r="Q60" s="16">
        <f t="shared" si="2"/>
        <v>3694.9805999999999</v>
      </c>
      <c r="R60" s="16">
        <f t="shared" si="2"/>
        <v>8502.2909999999993</v>
      </c>
      <c r="S60" s="93"/>
      <c r="T60" s="94"/>
      <c r="U60" s="94"/>
      <c r="V60" s="95"/>
    </row>
    <row r="61" spans="1:22" x14ac:dyDescent="0.25">
      <c r="A61" s="92"/>
      <c r="B61" s="34">
        <v>100000000</v>
      </c>
      <c r="C61" s="34">
        <f t="shared" si="0"/>
        <v>1</v>
      </c>
      <c r="D61" s="92" t="s">
        <v>118</v>
      </c>
      <c r="E61" s="5" t="s">
        <v>111</v>
      </c>
      <c r="F61">
        <v>150.857</v>
      </c>
      <c r="G61">
        <v>3.51</v>
      </c>
      <c r="H61">
        <v>28.98</v>
      </c>
      <c r="I61">
        <v>152.47</v>
      </c>
      <c r="J61">
        <v>529.50806999999998</v>
      </c>
      <c r="K61">
        <v>4371.8358600000001</v>
      </c>
      <c r="L61">
        <v>23001.166789999999</v>
      </c>
      <c r="M61">
        <v>466.14812999999998</v>
      </c>
      <c r="N61">
        <v>4284.3388000000004</v>
      </c>
      <c r="O61">
        <v>9867.5563700000002</v>
      </c>
      <c r="P61" s="17">
        <f t="shared" si="1"/>
        <v>466.14812999999998</v>
      </c>
      <c r="Q61" s="16">
        <f t="shared" si="2"/>
        <v>4284.3388000000004</v>
      </c>
      <c r="R61" s="16">
        <f t="shared" si="2"/>
        <v>9867.5563700000002</v>
      </c>
      <c r="S61" s="93">
        <f>(F62-F61)/F61</f>
        <v>-0.13619520473030747</v>
      </c>
      <c r="T61" s="94">
        <f>(P62-P61)/P61</f>
        <v>-0.14178617427897858</v>
      </c>
      <c r="U61" s="94">
        <f>(Q62-Q61)/Q61</f>
        <v>-0.15870279446620808</v>
      </c>
      <c r="V61" s="95">
        <f>(R62-R61)/R61</f>
        <v>-0.16670107657059163</v>
      </c>
    </row>
    <row r="62" spans="1:22" x14ac:dyDescent="0.25">
      <c r="A62" s="92"/>
      <c r="B62" s="34">
        <v>100000000</v>
      </c>
      <c r="C62" s="34">
        <f t="shared" si="0"/>
        <v>1</v>
      </c>
      <c r="D62" s="92"/>
      <c r="E62" s="5" t="s">
        <v>114</v>
      </c>
      <c r="F62">
        <v>130.31100000000001</v>
      </c>
      <c r="G62">
        <v>3.49</v>
      </c>
      <c r="H62">
        <v>28.24</v>
      </c>
      <c r="I62">
        <v>150.16999999999999</v>
      </c>
      <c r="J62">
        <v>454.78539000000012</v>
      </c>
      <c r="K62">
        <v>3679.9826400000002</v>
      </c>
      <c r="L62">
        <v>19568.80287</v>
      </c>
      <c r="M62">
        <v>400.05477000000002</v>
      </c>
      <c r="N62">
        <v>3604.4022599999998</v>
      </c>
      <c r="O62">
        <v>8222.6241000000009</v>
      </c>
      <c r="P62" s="17">
        <f t="shared" si="1"/>
        <v>400.05477000000002</v>
      </c>
      <c r="Q62" s="16">
        <f t="shared" si="2"/>
        <v>3604.4022599999998</v>
      </c>
      <c r="R62" s="16">
        <f t="shared" si="2"/>
        <v>8222.6241000000009</v>
      </c>
      <c r="S62" s="93"/>
      <c r="T62" s="94"/>
      <c r="U62" s="94"/>
      <c r="V62" s="95"/>
    </row>
    <row r="63" spans="1:22" x14ac:dyDescent="0.25">
      <c r="A63" s="92" t="s">
        <v>55</v>
      </c>
      <c r="B63" s="34">
        <v>100000000</v>
      </c>
      <c r="C63" s="34">
        <f t="shared" si="0"/>
        <v>1</v>
      </c>
      <c r="D63" s="113"/>
      <c r="E63" s="5" t="s">
        <v>111</v>
      </c>
      <c r="F63">
        <v>202.86500000000001</v>
      </c>
      <c r="G63">
        <v>3.49</v>
      </c>
      <c r="H63">
        <v>29.25</v>
      </c>
      <c r="I63">
        <v>150.57</v>
      </c>
      <c r="J63">
        <v>707.99885000000006</v>
      </c>
      <c r="K63">
        <v>5933.8012500000004</v>
      </c>
      <c r="L63">
        <v>30545.38305</v>
      </c>
      <c r="M63">
        <v>622.79555000000005</v>
      </c>
      <c r="N63">
        <v>5816.1395500000008</v>
      </c>
      <c r="O63">
        <v>14007.82825</v>
      </c>
      <c r="P63" s="17">
        <f t="shared" si="1"/>
        <v>622.79555000000005</v>
      </c>
      <c r="Q63" s="16">
        <f t="shared" si="2"/>
        <v>5816.1395500000008</v>
      </c>
      <c r="R63" s="16">
        <f t="shared" si="2"/>
        <v>14007.82825</v>
      </c>
      <c r="S63" s="93">
        <f>(F64-F63)/F63</f>
        <v>0.1957508688043772</v>
      </c>
      <c r="T63" s="94">
        <f>(P64-P63)/P63</f>
        <v>0.21133068468456445</v>
      </c>
      <c r="U63" s="94">
        <f>(Q64-Q63)/Q63</f>
        <v>0.20909723357652218</v>
      </c>
      <c r="V63" s="95">
        <f>(R64-R63)/R63</f>
        <v>0.23592671262227946</v>
      </c>
    </row>
    <row r="64" spans="1:22" x14ac:dyDescent="0.25">
      <c r="A64" s="92"/>
      <c r="B64" s="34">
        <v>100000000</v>
      </c>
      <c r="C64" s="34">
        <f t="shared" si="0"/>
        <v>1</v>
      </c>
      <c r="D64" s="92"/>
      <c r="E64" s="5" t="s">
        <v>114</v>
      </c>
      <c r="F64">
        <v>242.57599999999999</v>
      </c>
      <c r="G64">
        <v>3.53</v>
      </c>
      <c r="H64">
        <v>29.57</v>
      </c>
      <c r="I64">
        <v>152.9</v>
      </c>
      <c r="J64">
        <v>856.29327999999998</v>
      </c>
      <c r="K64">
        <v>7172.9723199999999</v>
      </c>
      <c r="L64">
        <v>37089.8704</v>
      </c>
      <c r="M64">
        <v>754.41135999999995</v>
      </c>
      <c r="N64">
        <v>7032.2782399999996</v>
      </c>
      <c r="O64">
        <v>17312.649119999998</v>
      </c>
      <c r="P64" s="17">
        <f t="shared" si="1"/>
        <v>754.41135999999995</v>
      </c>
      <c r="Q64" s="16">
        <f t="shared" si="2"/>
        <v>7032.2782399999996</v>
      </c>
      <c r="R64" s="16">
        <f t="shared" si="2"/>
        <v>17312.649119999998</v>
      </c>
      <c r="S64" s="93"/>
      <c r="T64" s="94"/>
      <c r="U64" s="94"/>
      <c r="V64" s="95"/>
    </row>
    <row r="65" spans="1:22" x14ac:dyDescent="0.25">
      <c r="A65" s="92"/>
      <c r="B65" s="34">
        <v>100000000</v>
      </c>
      <c r="C65" s="34">
        <f t="shared" si="0"/>
        <v>1</v>
      </c>
      <c r="D65" s="92" t="s">
        <v>118</v>
      </c>
      <c r="E65" s="5" t="s">
        <v>111</v>
      </c>
      <c r="F65">
        <v>190.95599999999999</v>
      </c>
      <c r="G65">
        <v>3.5</v>
      </c>
      <c r="H65">
        <v>30.45</v>
      </c>
      <c r="I65">
        <v>152.86000000000001</v>
      </c>
      <c r="J65">
        <v>668.346</v>
      </c>
      <c r="K65">
        <v>5814.6101999999992</v>
      </c>
      <c r="L65">
        <v>29189.534159999999</v>
      </c>
      <c r="M65">
        <v>588.14447999999993</v>
      </c>
      <c r="N65">
        <v>5703.8557199999996</v>
      </c>
      <c r="O65">
        <v>13620.89148</v>
      </c>
      <c r="P65" s="17">
        <f t="shared" si="1"/>
        <v>588.14447999999993</v>
      </c>
      <c r="Q65" s="16">
        <f t="shared" si="2"/>
        <v>5703.8557199999996</v>
      </c>
      <c r="R65" s="16">
        <f t="shared" si="2"/>
        <v>13620.89148</v>
      </c>
      <c r="S65" s="93">
        <f>(F66-F65)/F65</f>
        <v>0.18821089675108402</v>
      </c>
      <c r="T65" s="94">
        <f>(P66-P65)/P65</f>
        <v>0.20364220709850087</v>
      </c>
      <c r="U65" s="94">
        <f>(Q66-Q65)/Q65</f>
        <v>0.1520116360867558</v>
      </c>
      <c r="V65" s="95">
        <f>(R66-R65)/R65</f>
        <v>0.21919466610418961</v>
      </c>
    </row>
    <row r="66" spans="1:22" x14ac:dyDescent="0.25">
      <c r="A66" s="92"/>
      <c r="B66" s="34">
        <v>100000000</v>
      </c>
      <c r="C66" s="34">
        <f t="shared" si="0"/>
        <v>1</v>
      </c>
      <c r="D66" s="92"/>
      <c r="E66" s="5" t="s">
        <v>114</v>
      </c>
      <c r="F66">
        <v>226.89599999999999</v>
      </c>
      <c r="G66">
        <v>3.54</v>
      </c>
      <c r="H66">
        <v>29.54</v>
      </c>
      <c r="I66">
        <v>154.71</v>
      </c>
      <c r="J66">
        <v>803.21183999999994</v>
      </c>
      <c r="K66">
        <v>6702.5078399999993</v>
      </c>
      <c r="L66">
        <v>35103.080159999998</v>
      </c>
      <c r="M66">
        <v>707.91552000000001</v>
      </c>
      <c r="N66">
        <v>6570.90816</v>
      </c>
      <c r="O66">
        <v>16606.518240000001</v>
      </c>
      <c r="P66" s="17">
        <f t="shared" si="1"/>
        <v>707.91552000000001</v>
      </c>
      <c r="Q66" s="16">
        <f t="shared" si="2"/>
        <v>6570.90816</v>
      </c>
      <c r="R66" s="16">
        <f t="shared" si="2"/>
        <v>16606.518240000001</v>
      </c>
      <c r="S66" s="93"/>
      <c r="T66" s="94"/>
      <c r="U66" s="94"/>
      <c r="V66" s="95"/>
    </row>
    <row r="67" spans="1:22" x14ac:dyDescent="0.25">
      <c r="A67" s="92" t="s">
        <v>57</v>
      </c>
      <c r="B67" s="34">
        <v>100000000</v>
      </c>
      <c r="C67" s="34">
        <f t="shared" si="0"/>
        <v>1</v>
      </c>
      <c r="D67" s="113"/>
      <c r="E67" s="5" t="s">
        <v>111</v>
      </c>
      <c r="F67">
        <v>5.6539999999999999</v>
      </c>
      <c r="G67">
        <v>3.52</v>
      </c>
      <c r="H67">
        <v>25.27</v>
      </c>
      <c r="I67">
        <v>144.68</v>
      </c>
      <c r="J67">
        <v>19.902080000000002</v>
      </c>
      <c r="K67">
        <v>142.87657999999999</v>
      </c>
      <c r="L67">
        <v>818.02071999999998</v>
      </c>
      <c r="M67">
        <v>17.5274</v>
      </c>
      <c r="N67">
        <v>139.59726000000001</v>
      </c>
      <c r="O67">
        <v>345.57247999999998</v>
      </c>
      <c r="P67" s="17">
        <f t="shared" si="1"/>
        <v>17.5274</v>
      </c>
      <c r="Q67" s="16">
        <f t="shared" si="2"/>
        <v>139.59726000000001</v>
      </c>
      <c r="R67" s="16">
        <f t="shared" si="2"/>
        <v>345.57247999999998</v>
      </c>
      <c r="S67" s="93">
        <f>(F68-F67)/F67</f>
        <v>3.873363990095513E-2</v>
      </c>
      <c r="T67" s="94">
        <f>(P68-P67)/P67</f>
        <v>3.5382886223855319E-2</v>
      </c>
      <c r="U67" s="94">
        <f>(Q68-Q67)/Q67</f>
        <v>5.6824181219602768E-2</v>
      </c>
      <c r="V67" s="95">
        <f>(R68-R67)/R67</f>
        <v>6.1167023485203552E-2</v>
      </c>
    </row>
    <row r="68" spans="1:22" x14ac:dyDescent="0.25">
      <c r="A68" s="92"/>
      <c r="B68" s="34">
        <v>100000000</v>
      </c>
      <c r="C68" s="34">
        <f t="shared" ref="C68:C106" si="3">100000000/B68</f>
        <v>1</v>
      </c>
      <c r="D68" s="92"/>
      <c r="E68" s="5" t="s">
        <v>114</v>
      </c>
      <c r="F68">
        <v>5.8730000000000002</v>
      </c>
      <c r="G68">
        <v>3.51</v>
      </c>
      <c r="H68">
        <v>25.7</v>
      </c>
      <c r="I68">
        <v>146.01</v>
      </c>
      <c r="J68">
        <v>20.614229999999999</v>
      </c>
      <c r="K68">
        <v>150.93610000000001</v>
      </c>
      <c r="L68">
        <v>857.51672999999994</v>
      </c>
      <c r="M68">
        <v>18.147570000000002</v>
      </c>
      <c r="N68">
        <v>147.52976000000001</v>
      </c>
      <c r="O68">
        <v>366.71012000000002</v>
      </c>
      <c r="P68" s="17">
        <f t="shared" ref="P68:P106" si="4">C68*M68</f>
        <v>18.147570000000002</v>
      </c>
      <c r="Q68" s="16">
        <f t="shared" ref="Q68:R106" si="5">$C68*N68</f>
        <v>147.52976000000001</v>
      </c>
      <c r="R68" s="16">
        <f t="shared" si="5"/>
        <v>366.71012000000002</v>
      </c>
      <c r="S68" s="93"/>
      <c r="T68" s="94"/>
      <c r="U68" s="94"/>
      <c r="V68" s="95"/>
    </row>
    <row r="69" spans="1:22" x14ac:dyDescent="0.25">
      <c r="A69" s="92"/>
      <c r="B69" s="34">
        <v>100000000</v>
      </c>
      <c r="C69" s="34">
        <f t="shared" si="3"/>
        <v>1</v>
      </c>
      <c r="D69" s="92" t="s">
        <v>118</v>
      </c>
      <c r="E69" s="5" t="s">
        <v>111</v>
      </c>
      <c r="F69">
        <v>2.9849999999999999</v>
      </c>
      <c r="G69">
        <v>3.54</v>
      </c>
      <c r="H69">
        <v>23.34</v>
      </c>
      <c r="I69">
        <v>144.02000000000001</v>
      </c>
      <c r="J69">
        <v>10.5669</v>
      </c>
      <c r="K69">
        <v>69.669899999999998</v>
      </c>
      <c r="L69">
        <v>429.8997</v>
      </c>
      <c r="M69">
        <v>9.3132000000000001</v>
      </c>
      <c r="N69">
        <v>67.938600000000008</v>
      </c>
      <c r="O69">
        <v>180.44325000000001</v>
      </c>
      <c r="P69" s="17">
        <f t="shared" si="4"/>
        <v>9.3132000000000001</v>
      </c>
      <c r="Q69" s="16">
        <f t="shared" si="5"/>
        <v>67.938600000000008</v>
      </c>
      <c r="R69" s="16">
        <f t="shared" si="5"/>
        <v>180.44325000000001</v>
      </c>
      <c r="S69" s="93">
        <f>(F70-F69)/F69</f>
        <v>0.14472361809045226</v>
      </c>
      <c r="T69" s="94">
        <f>(P70-P69)/P69</f>
        <v>0.14839260404587029</v>
      </c>
      <c r="U69" s="94">
        <f>(Q70-Q69)/Q69</f>
        <v>0.21061061016859331</v>
      </c>
      <c r="V69" s="95">
        <f>(R70-R69)/R69</f>
        <v>0.17824158010898158</v>
      </c>
    </row>
    <row r="70" spans="1:22" x14ac:dyDescent="0.25">
      <c r="A70" s="92"/>
      <c r="B70" s="34">
        <v>100000000</v>
      </c>
      <c r="C70" s="34">
        <f t="shared" si="3"/>
        <v>1</v>
      </c>
      <c r="D70" s="92"/>
      <c r="E70" s="5" t="s">
        <v>114</v>
      </c>
      <c r="F70">
        <v>3.4169999999999998</v>
      </c>
      <c r="G70">
        <v>3.55</v>
      </c>
      <c r="H70">
        <v>24.65</v>
      </c>
      <c r="I70">
        <v>145.79</v>
      </c>
      <c r="J70">
        <v>12.13035</v>
      </c>
      <c r="K70">
        <v>84.229049999999987</v>
      </c>
      <c r="L70">
        <v>498.16442999999992</v>
      </c>
      <c r="M70">
        <v>10.695209999999999</v>
      </c>
      <c r="N70">
        <v>82.247190000000003</v>
      </c>
      <c r="O70">
        <v>212.60574</v>
      </c>
      <c r="P70" s="17">
        <f t="shared" si="4"/>
        <v>10.695209999999999</v>
      </c>
      <c r="Q70" s="16">
        <f t="shared" si="5"/>
        <v>82.247190000000003</v>
      </c>
      <c r="R70" s="16">
        <f t="shared" si="5"/>
        <v>212.60574</v>
      </c>
      <c r="S70" s="93"/>
      <c r="T70" s="94"/>
      <c r="U70" s="94"/>
      <c r="V70" s="95"/>
    </row>
    <row r="71" spans="1:22" x14ac:dyDescent="0.25">
      <c r="A71" s="92" t="s">
        <v>61</v>
      </c>
      <c r="B71" s="34">
        <v>100000000</v>
      </c>
      <c r="C71" s="34">
        <f t="shared" si="3"/>
        <v>1</v>
      </c>
      <c r="D71" s="113"/>
      <c r="E71" s="5" t="s">
        <v>111</v>
      </c>
      <c r="F71">
        <v>154.828</v>
      </c>
      <c r="G71">
        <v>3.64</v>
      </c>
      <c r="H71">
        <v>29.8</v>
      </c>
      <c r="I71">
        <v>151.9</v>
      </c>
      <c r="J71">
        <v>563.57392000000004</v>
      </c>
      <c r="K71">
        <v>4613.8744000000006</v>
      </c>
      <c r="L71">
        <v>23518.373200000002</v>
      </c>
      <c r="M71">
        <v>535.70488</v>
      </c>
      <c r="N71">
        <v>4581.3605200000002</v>
      </c>
      <c r="O71">
        <v>10282.127479999999</v>
      </c>
      <c r="P71" s="17">
        <f t="shared" si="4"/>
        <v>535.70488</v>
      </c>
      <c r="Q71" s="16">
        <f t="shared" si="5"/>
        <v>4581.3605200000002</v>
      </c>
      <c r="R71" s="16">
        <f t="shared" si="5"/>
        <v>10282.127479999999</v>
      </c>
      <c r="S71" s="93">
        <f>(F72-F71)/F71</f>
        <v>0.99629266024233332</v>
      </c>
      <c r="T71" s="94">
        <f>(P72-P71)/P71</f>
        <v>0.99629266024233343</v>
      </c>
      <c r="U71" s="94">
        <f>(Q72-Q71)/Q71</f>
        <v>1.0583605631630142</v>
      </c>
      <c r="V71" s="95">
        <f>(R72-R71)/R71</f>
        <v>1.1724449714758838</v>
      </c>
    </row>
    <row r="72" spans="1:22" x14ac:dyDescent="0.25">
      <c r="A72" s="92"/>
      <c r="B72" s="34">
        <v>100000000</v>
      </c>
      <c r="C72" s="34">
        <f t="shared" si="3"/>
        <v>1</v>
      </c>
      <c r="D72" s="92"/>
      <c r="E72" s="5" t="s">
        <v>114</v>
      </c>
      <c r="F72">
        <v>309.08199999999999</v>
      </c>
      <c r="G72">
        <v>3.64</v>
      </c>
      <c r="H72">
        <v>30.72</v>
      </c>
      <c r="I72">
        <v>157.76</v>
      </c>
      <c r="J72">
        <v>1125.0584799999999</v>
      </c>
      <c r="K72">
        <v>9494.9990399999988</v>
      </c>
      <c r="L72">
        <v>48760.776319999997</v>
      </c>
      <c r="M72">
        <v>1069.42372</v>
      </c>
      <c r="N72">
        <v>9430.0918199999996</v>
      </c>
      <c r="O72">
        <v>22337.35614</v>
      </c>
      <c r="P72" s="17">
        <f t="shared" si="4"/>
        <v>1069.42372</v>
      </c>
      <c r="Q72" s="16">
        <f t="shared" si="5"/>
        <v>9430.0918199999996</v>
      </c>
      <c r="R72" s="16">
        <f t="shared" si="5"/>
        <v>22337.35614</v>
      </c>
      <c r="S72" s="93"/>
      <c r="T72" s="94"/>
      <c r="U72" s="94"/>
      <c r="V72" s="95"/>
    </row>
    <row r="73" spans="1:22" x14ac:dyDescent="0.25">
      <c r="A73" s="92"/>
      <c r="B73" s="34">
        <v>100000000</v>
      </c>
      <c r="C73" s="34">
        <f t="shared" si="3"/>
        <v>1</v>
      </c>
      <c r="D73" s="92" t="s">
        <v>118</v>
      </c>
      <c r="E73" s="5" t="s">
        <v>111</v>
      </c>
      <c r="F73">
        <v>396.13</v>
      </c>
      <c r="G73">
        <v>3.6</v>
      </c>
      <c r="H73">
        <v>31.56</v>
      </c>
      <c r="I73">
        <v>157.61000000000001</v>
      </c>
      <c r="J73">
        <v>1426.068</v>
      </c>
      <c r="K73">
        <v>12501.862800000001</v>
      </c>
      <c r="L73">
        <v>62434.049300000013</v>
      </c>
      <c r="M73">
        <v>1354.7646</v>
      </c>
      <c r="N73">
        <v>12418.675499999999</v>
      </c>
      <c r="O73">
        <v>28564.934300000001</v>
      </c>
      <c r="P73" s="17">
        <f t="shared" si="4"/>
        <v>1354.7646</v>
      </c>
      <c r="Q73" s="16">
        <f t="shared" si="5"/>
        <v>12418.675499999999</v>
      </c>
      <c r="R73" s="16">
        <f t="shared" si="5"/>
        <v>28564.934300000001</v>
      </c>
      <c r="S73" s="93">
        <f>(F74-F73)/F73</f>
        <v>7.4218059727867061E-2</v>
      </c>
      <c r="T73" s="94">
        <f>(P74-P73)/P73</f>
        <v>8.0500036685340073E-2</v>
      </c>
      <c r="U73" s="94">
        <f>(Q74-Q73)/Q73</f>
        <v>6.1882541338647609E-2</v>
      </c>
      <c r="V73" s="95">
        <f>(R74-R73)/R73</f>
        <v>8.1219619678943228E-2</v>
      </c>
    </row>
    <row r="74" spans="1:22" x14ac:dyDescent="0.25">
      <c r="A74" s="92"/>
      <c r="B74" s="34">
        <v>100000000</v>
      </c>
      <c r="C74" s="34">
        <f t="shared" si="3"/>
        <v>1</v>
      </c>
      <c r="D74" s="92"/>
      <c r="E74" s="5" t="s">
        <v>114</v>
      </c>
      <c r="F74">
        <v>425.53</v>
      </c>
      <c r="G74">
        <v>3.62</v>
      </c>
      <c r="H74">
        <v>31.2</v>
      </c>
      <c r="I74">
        <v>158.07</v>
      </c>
      <c r="J74">
        <v>1540.4186</v>
      </c>
      <c r="K74">
        <v>13276.536</v>
      </c>
      <c r="L74">
        <v>67263.527099999992</v>
      </c>
      <c r="M74">
        <v>1463.8232</v>
      </c>
      <c r="N74">
        <v>13187.1747</v>
      </c>
      <c r="O74">
        <v>30884.967400000001</v>
      </c>
      <c r="P74" s="17">
        <f t="shared" si="4"/>
        <v>1463.8232</v>
      </c>
      <c r="Q74" s="16">
        <f t="shared" si="5"/>
        <v>13187.1747</v>
      </c>
      <c r="R74" s="16">
        <f t="shared" si="5"/>
        <v>30884.967400000001</v>
      </c>
      <c r="S74" s="93"/>
      <c r="T74" s="94"/>
      <c r="U74" s="94"/>
      <c r="V74" s="95"/>
    </row>
    <row r="75" spans="1:22" x14ac:dyDescent="0.25">
      <c r="A75" s="92" t="s">
        <v>63</v>
      </c>
      <c r="B75" s="34">
        <v>100000000</v>
      </c>
      <c r="C75" s="34">
        <f t="shared" si="3"/>
        <v>1</v>
      </c>
      <c r="D75" s="113"/>
      <c r="E75" s="5" t="s">
        <v>111</v>
      </c>
      <c r="F75">
        <v>11.939</v>
      </c>
      <c r="G75">
        <v>3.49</v>
      </c>
      <c r="H75">
        <v>26.3</v>
      </c>
      <c r="I75">
        <v>140.28</v>
      </c>
      <c r="J75">
        <v>41.667110000000001</v>
      </c>
      <c r="K75">
        <v>313.9957</v>
      </c>
      <c r="L75">
        <v>1674.8029200000001</v>
      </c>
      <c r="M75">
        <v>36.652729999999998</v>
      </c>
      <c r="N75">
        <v>307.07107999999999</v>
      </c>
      <c r="O75">
        <v>722.66767000000004</v>
      </c>
      <c r="P75" s="17">
        <f t="shared" si="4"/>
        <v>36.652729999999998</v>
      </c>
      <c r="Q75" s="16">
        <f t="shared" si="5"/>
        <v>307.07107999999999</v>
      </c>
      <c r="R75" s="16">
        <f t="shared" si="5"/>
        <v>722.66767000000004</v>
      </c>
      <c r="S75" s="93">
        <f>(F76-F75)/F75</f>
        <v>0.13753245665466116</v>
      </c>
      <c r="T75" s="94">
        <f>(P76-P75)/P75</f>
        <v>0.14123777410304766</v>
      </c>
      <c r="U75" s="94">
        <f>(Q76-Q75)/Q75</f>
        <v>0.14195521115176338</v>
      </c>
      <c r="V75" s="95">
        <f>(R76-R75)/R75</f>
        <v>0.16722519218273582</v>
      </c>
    </row>
    <row r="76" spans="1:22" x14ac:dyDescent="0.25">
      <c r="A76" s="92"/>
      <c r="B76" s="34">
        <v>100000000</v>
      </c>
      <c r="C76" s="34">
        <f t="shared" si="3"/>
        <v>1</v>
      </c>
      <c r="D76" s="92"/>
      <c r="E76" s="5" t="s">
        <v>114</v>
      </c>
      <c r="F76">
        <v>13.581</v>
      </c>
      <c r="G76">
        <v>3.5</v>
      </c>
      <c r="H76">
        <v>26.4</v>
      </c>
      <c r="I76">
        <v>141.86000000000001</v>
      </c>
      <c r="J76">
        <v>47.533499999999997</v>
      </c>
      <c r="K76">
        <v>358.53840000000002</v>
      </c>
      <c r="L76">
        <v>1926.6006600000001</v>
      </c>
      <c r="M76">
        <v>41.829479999999997</v>
      </c>
      <c r="N76">
        <v>350.66142000000002</v>
      </c>
      <c r="O76">
        <v>843.51590999999996</v>
      </c>
      <c r="P76" s="17">
        <f t="shared" si="4"/>
        <v>41.829479999999997</v>
      </c>
      <c r="Q76" s="16">
        <f t="shared" si="5"/>
        <v>350.66142000000002</v>
      </c>
      <c r="R76" s="16">
        <f t="shared" si="5"/>
        <v>843.51590999999996</v>
      </c>
      <c r="S76" s="93"/>
      <c r="T76" s="94"/>
      <c r="U76" s="94"/>
      <c r="V76" s="95"/>
    </row>
    <row r="77" spans="1:22" x14ac:dyDescent="0.25">
      <c r="A77" s="92"/>
      <c r="B77" s="34">
        <v>100000000</v>
      </c>
      <c r="C77" s="34">
        <f t="shared" si="3"/>
        <v>1</v>
      </c>
      <c r="D77" s="92" t="s">
        <v>118</v>
      </c>
      <c r="E77" s="5" t="s">
        <v>111</v>
      </c>
      <c r="F77">
        <v>9.9870000000000001</v>
      </c>
      <c r="G77">
        <v>3.48</v>
      </c>
      <c r="H77">
        <v>26.58</v>
      </c>
      <c r="I77">
        <v>142.97</v>
      </c>
      <c r="J77">
        <v>34.754759999999997</v>
      </c>
      <c r="K77">
        <v>265.45445999999998</v>
      </c>
      <c r="L77">
        <v>1427.84139</v>
      </c>
      <c r="M77">
        <v>30.560220000000001</v>
      </c>
      <c r="N77">
        <v>259.66199999999998</v>
      </c>
      <c r="O77">
        <v>631.37814000000003</v>
      </c>
      <c r="P77" s="17">
        <f t="shared" si="4"/>
        <v>30.560220000000001</v>
      </c>
      <c r="Q77" s="16">
        <f t="shared" si="5"/>
        <v>259.66199999999998</v>
      </c>
      <c r="R77" s="16">
        <f t="shared" si="5"/>
        <v>631.37814000000003</v>
      </c>
      <c r="S77" s="93">
        <f>(F78-F77)/F77</f>
        <v>0.25292880744968455</v>
      </c>
      <c r="T77" s="94">
        <f>(P78-P77)/P77</f>
        <v>0.25702334603612137</v>
      </c>
      <c r="U77" s="94">
        <f>(Q78-Q77)/Q77</f>
        <v>0.28714340180696463</v>
      </c>
      <c r="V77" s="95">
        <f>(R78-R77)/R77</f>
        <v>0.27869292402172802</v>
      </c>
    </row>
    <row r="78" spans="1:22" x14ac:dyDescent="0.25">
      <c r="A78" s="92"/>
      <c r="B78" s="34">
        <v>100000000</v>
      </c>
      <c r="C78" s="34">
        <f t="shared" si="3"/>
        <v>1</v>
      </c>
      <c r="D78" s="92"/>
      <c r="E78" s="5" t="s">
        <v>114</v>
      </c>
      <c r="F78">
        <v>12.513</v>
      </c>
      <c r="G78">
        <v>3.49</v>
      </c>
      <c r="H78">
        <v>27.29</v>
      </c>
      <c r="I78">
        <v>144.27000000000001</v>
      </c>
      <c r="J78">
        <v>43.670370000000013</v>
      </c>
      <c r="K78">
        <v>341.47976999999997</v>
      </c>
      <c r="L78">
        <v>1805.2505100000001</v>
      </c>
      <c r="M78">
        <v>38.414909999999999</v>
      </c>
      <c r="N78">
        <v>334.22223000000002</v>
      </c>
      <c r="O78">
        <v>807.33875999999998</v>
      </c>
      <c r="P78" s="17">
        <f t="shared" si="4"/>
        <v>38.414909999999999</v>
      </c>
      <c r="Q78" s="16">
        <f t="shared" si="5"/>
        <v>334.22223000000002</v>
      </c>
      <c r="R78" s="16">
        <f t="shared" si="5"/>
        <v>807.33875999999998</v>
      </c>
      <c r="S78" s="93"/>
      <c r="T78" s="94"/>
      <c r="U78" s="94"/>
      <c r="V78" s="95"/>
    </row>
    <row r="79" spans="1:22" x14ac:dyDescent="0.25">
      <c r="A79" s="92" t="s">
        <v>65</v>
      </c>
      <c r="B79" s="34">
        <v>100000000</v>
      </c>
      <c r="C79" s="34">
        <f t="shared" si="3"/>
        <v>1</v>
      </c>
      <c r="D79" s="113"/>
      <c r="E79" s="5" t="s">
        <v>111</v>
      </c>
      <c r="F79">
        <v>10.699</v>
      </c>
      <c r="G79">
        <v>3.48</v>
      </c>
      <c r="H79">
        <v>28.35</v>
      </c>
      <c r="I79">
        <v>151.33000000000001</v>
      </c>
      <c r="J79">
        <v>37.232520000000001</v>
      </c>
      <c r="K79">
        <v>303.31664999999998</v>
      </c>
      <c r="L79">
        <v>1619.0796700000001</v>
      </c>
      <c r="M79">
        <v>32.738939999999999</v>
      </c>
      <c r="N79">
        <v>297.11122999999998</v>
      </c>
      <c r="O79">
        <v>699.92858000000001</v>
      </c>
      <c r="P79" s="17">
        <f t="shared" si="4"/>
        <v>32.738939999999999</v>
      </c>
      <c r="Q79" s="16">
        <f t="shared" si="5"/>
        <v>297.11122999999998</v>
      </c>
      <c r="R79" s="16">
        <f t="shared" si="5"/>
        <v>699.92858000000001</v>
      </c>
      <c r="S79" s="93">
        <f>(F80-F79)/F79</f>
        <v>-4.1779605570613998E-2</v>
      </c>
      <c r="T79" s="94">
        <f>(P80-P79)/P79</f>
        <v>-3.8648166373132418E-2</v>
      </c>
      <c r="U79" s="94">
        <f>(Q80-Q79)/Q79</f>
        <v>-4.3504885358927534E-2</v>
      </c>
      <c r="V79" s="95">
        <f>(R80-R79)/R79</f>
        <v>-2.3177650496855023E-2</v>
      </c>
    </row>
    <row r="80" spans="1:22" x14ac:dyDescent="0.25">
      <c r="A80" s="92"/>
      <c r="B80" s="34">
        <v>100000000</v>
      </c>
      <c r="C80" s="34">
        <f t="shared" si="3"/>
        <v>1</v>
      </c>
      <c r="D80" s="92"/>
      <c r="E80" s="5" t="s">
        <v>114</v>
      </c>
      <c r="F80">
        <v>10.252000000000001</v>
      </c>
      <c r="G80">
        <v>3.49</v>
      </c>
      <c r="H80">
        <v>28.3</v>
      </c>
      <c r="I80">
        <v>152.6</v>
      </c>
      <c r="J80">
        <v>35.779480000000007</v>
      </c>
      <c r="K80">
        <v>290.13159999999999</v>
      </c>
      <c r="L80">
        <v>1564.4552000000001</v>
      </c>
      <c r="M80">
        <v>31.47364</v>
      </c>
      <c r="N80">
        <v>284.18544000000003</v>
      </c>
      <c r="O80">
        <v>683.70587999999998</v>
      </c>
      <c r="P80" s="17">
        <f t="shared" si="4"/>
        <v>31.47364</v>
      </c>
      <c r="Q80" s="16">
        <f t="shared" si="5"/>
        <v>284.18544000000003</v>
      </c>
      <c r="R80" s="16">
        <f t="shared" si="5"/>
        <v>683.70587999999998</v>
      </c>
      <c r="S80" s="93"/>
      <c r="T80" s="94"/>
      <c r="U80" s="94"/>
      <c r="V80" s="95"/>
    </row>
    <row r="81" spans="1:22" x14ac:dyDescent="0.25">
      <c r="A81" s="92"/>
      <c r="B81" s="34">
        <v>100000000</v>
      </c>
      <c r="C81" s="34">
        <f t="shared" si="3"/>
        <v>1</v>
      </c>
      <c r="D81" s="92" t="s">
        <v>118</v>
      </c>
      <c r="E81" s="5" t="s">
        <v>111</v>
      </c>
      <c r="F81">
        <v>5.7809999999999997</v>
      </c>
      <c r="G81">
        <v>3.51</v>
      </c>
      <c r="H81">
        <v>26.05</v>
      </c>
      <c r="I81">
        <v>149.31</v>
      </c>
      <c r="J81">
        <v>20.291309999999999</v>
      </c>
      <c r="K81">
        <v>150.59504999999999</v>
      </c>
      <c r="L81">
        <v>863.16111000000001</v>
      </c>
      <c r="M81">
        <v>17.863289999999999</v>
      </c>
      <c r="N81">
        <v>147.24207000000001</v>
      </c>
      <c r="O81">
        <v>366.5154</v>
      </c>
      <c r="P81" s="17">
        <f t="shared" si="4"/>
        <v>17.863289999999999</v>
      </c>
      <c r="Q81" s="16">
        <f t="shared" si="5"/>
        <v>147.24207000000001</v>
      </c>
      <c r="R81" s="16">
        <f t="shared" si="5"/>
        <v>366.5154</v>
      </c>
      <c r="S81" s="93">
        <f>(F82-F81)/F81</f>
        <v>6.2272963155164292E-3</v>
      </c>
      <c r="T81" s="94">
        <f>(P82-P81)/P81</f>
        <v>9.4836953327186186E-3</v>
      </c>
      <c r="U81" s="94">
        <f>(Q82-Q81)/Q81</f>
        <v>-1.5106144595766787E-2</v>
      </c>
      <c r="V81" s="95">
        <f>(R82-R81)/R81</f>
        <v>-2.5197467828091215E-2</v>
      </c>
    </row>
    <row r="82" spans="1:22" x14ac:dyDescent="0.25">
      <c r="A82" s="92"/>
      <c r="B82" s="34">
        <v>100000000</v>
      </c>
      <c r="C82" s="34">
        <f t="shared" si="3"/>
        <v>1</v>
      </c>
      <c r="D82" s="92"/>
      <c r="E82" s="5" t="s">
        <v>114</v>
      </c>
      <c r="F82">
        <v>5.8170000000000002</v>
      </c>
      <c r="G82">
        <v>3.52</v>
      </c>
      <c r="H82">
        <v>25.51</v>
      </c>
      <c r="I82">
        <v>147.33000000000001</v>
      </c>
      <c r="J82">
        <v>20.475840000000002</v>
      </c>
      <c r="K82">
        <v>148.39167</v>
      </c>
      <c r="L82">
        <v>857.01861000000008</v>
      </c>
      <c r="M82">
        <v>18.032699999999998</v>
      </c>
      <c r="N82">
        <v>145.01781</v>
      </c>
      <c r="O82">
        <v>357.28014000000002</v>
      </c>
      <c r="P82" s="17">
        <f t="shared" si="4"/>
        <v>18.032699999999998</v>
      </c>
      <c r="Q82" s="16">
        <f t="shared" si="5"/>
        <v>145.01781</v>
      </c>
      <c r="R82" s="16">
        <f t="shared" si="5"/>
        <v>357.28014000000002</v>
      </c>
      <c r="S82" s="93"/>
      <c r="T82" s="94"/>
      <c r="U82" s="94"/>
      <c r="V82" s="95"/>
    </row>
    <row r="83" spans="1:22" x14ac:dyDescent="0.25">
      <c r="A83" s="92" t="s">
        <v>71</v>
      </c>
      <c r="B83" s="34">
        <v>100000000</v>
      </c>
      <c r="C83" s="34">
        <f t="shared" si="3"/>
        <v>1</v>
      </c>
      <c r="D83" s="113"/>
      <c r="E83" s="5" t="s">
        <v>111</v>
      </c>
      <c r="F83">
        <v>70.037999999999997</v>
      </c>
      <c r="G83">
        <v>3.46</v>
      </c>
      <c r="H83">
        <v>29.11</v>
      </c>
      <c r="I83">
        <v>151.52000000000001</v>
      </c>
      <c r="J83">
        <v>242.33148</v>
      </c>
      <c r="K83">
        <v>2038.80618</v>
      </c>
      <c r="L83">
        <v>10612.15776</v>
      </c>
      <c r="M83">
        <v>212.91551999999999</v>
      </c>
      <c r="N83">
        <v>1998.1841400000001</v>
      </c>
      <c r="O83">
        <v>4483.13238</v>
      </c>
      <c r="P83" s="17">
        <f t="shared" si="4"/>
        <v>212.91551999999999</v>
      </c>
      <c r="Q83" s="16">
        <f t="shared" si="5"/>
        <v>1998.1841400000001</v>
      </c>
      <c r="R83" s="16">
        <f t="shared" si="5"/>
        <v>4483.13238</v>
      </c>
      <c r="S83" s="93">
        <f>(F84-F83)/F83</f>
        <v>-0.12023472971815299</v>
      </c>
      <c r="T83" s="94">
        <f>(P84-P83)/P83</f>
        <v>-0.11734076501327846</v>
      </c>
      <c r="U83" s="94">
        <f>(Q84-Q83)/Q83</f>
        <v>-0.1248602043253131</v>
      </c>
      <c r="V83" s="95">
        <f>(R84-R83)/R83</f>
        <v>-0.12215891559285184</v>
      </c>
    </row>
    <row r="84" spans="1:22" x14ac:dyDescent="0.25">
      <c r="A84" s="92"/>
      <c r="B84" s="34">
        <v>100000000</v>
      </c>
      <c r="C84" s="34">
        <f t="shared" si="3"/>
        <v>1</v>
      </c>
      <c r="D84" s="92"/>
      <c r="E84" s="5" t="s">
        <v>114</v>
      </c>
      <c r="F84">
        <v>61.616999999999997</v>
      </c>
      <c r="G84">
        <v>3.47</v>
      </c>
      <c r="H84">
        <v>28.96</v>
      </c>
      <c r="I84">
        <v>151.38999999999999</v>
      </c>
      <c r="J84">
        <v>213.81099</v>
      </c>
      <c r="K84">
        <v>1784.42832</v>
      </c>
      <c r="L84">
        <v>9328.1976299999988</v>
      </c>
      <c r="M84">
        <v>187.93185</v>
      </c>
      <c r="N84">
        <v>1748.69046</v>
      </c>
      <c r="O84">
        <v>3935.477789999999</v>
      </c>
      <c r="P84" s="17">
        <f t="shared" si="4"/>
        <v>187.93185</v>
      </c>
      <c r="Q84" s="16">
        <f t="shared" si="5"/>
        <v>1748.69046</v>
      </c>
      <c r="R84" s="16">
        <f t="shared" si="5"/>
        <v>3935.477789999999</v>
      </c>
      <c r="S84" s="93"/>
      <c r="T84" s="94"/>
      <c r="U84" s="94"/>
      <c r="V84" s="95"/>
    </row>
    <row r="85" spans="1:22" x14ac:dyDescent="0.25">
      <c r="A85" s="92"/>
      <c r="B85" s="34">
        <v>100000000</v>
      </c>
      <c r="C85" s="34">
        <f t="shared" si="3"/>
        <v>1</v>
      </c>
      <c r="D85" s="92" t="s">
        <v>118</v>
      </c>
      <c r="E85" s="5" t="s">
        <v>111</v>
      </c>
      <c r="F85">
        <v>50.41</v>
      </c>
      <c r="G85">
        <v>3.46</v>
      </c>
      <c r="H85">
        <v>28.67</v>
      </c>
      <c r="I85">
        <v>151.87</v>
      </c>
      <c r="J85">
        <v>174.4186</v>
      </c>
      <c r="K85">
        <v>1445.2547</v>
      </c>
      <c r="L85">
        <v>7655.7667000000001</v>
      </c>
      <c r="M85">
        <v>153.24639999999999</v>
      </c>
      <c r="N85">
        <v>1416.0169000000001</v>
      </c>
      <c r="O85">
        <v>3243.883499999999</v>
      </c>
      <c r="P85" s="17">
        <f t="shared" si="4"/>
        <v>153.24639999999999</v>
      </c>
      <c r="Q85" s="16">
        <f t="shared" si="5"/>
        <v>1416.0169000000001</v>
      </c>
      <c r="R85" s="16">
        <f t="shared" si="5"/>
        <v>3243.883499999999</v>
      </c>
      <c r="S85" s="93">
        <f>(F86-F85)/F85</f>
        <v>-6.3102559016068191E-2</v>
      </c>
      <c r="T85" s="94">
        <f>(P86-P85)/P85</f>
        <v>-6.0020659539147363E-2</v>
      </c>
      <c r="U85" s="94">
        <f>(Q86-Q85)/Q85</f>
        <v>-7.0773844577702402E-2</v>
      </c>
      <c r="V85" s="95">
        <f>(R86-R85)/R85</f>
        <v>-8.8872698418423227E-2</v>
      </c>
    </row>
    <row r="86" spans="1:22" x14ac:dyDescent="0.25">
      <c r="A86" s="92"/>
      <c r="B86" s="34">
        <v>100000000</v>
      </c>
      <c r="C86" s="34">
        <f t="shared" si="3"/>
        <v>1</v>
      </c>
      <c r="D86" s="92"/>
      <c r="E86" s="5" t="s">
        <v>114</v>
      </c>
      <c r="F86">
        <v>47.228999999999999</v>
      </c>
      <c r="G86">
        <v>3.47</v>
      </c>
      <c r="H86">
        <v>28.44</v>
      </c>
      <c r="I86">
        <v>150.1</v>
      </c>
      <c r="J86">
        <v>163.88462999999999</v>
      </c>
      <c r="K86">
        <v>1343.1927599999999</v>
      </c>
      <c r="L86">
        <v>7089.0728999999992</v>
      </c>
      <c r="M86">
        <v>144.04845</v>
      </c>
      <c r="N86">
        <v>1315.7999400000001</v>
      </c>
      <c r="O86">
        <v>2955.5908199999999</v>
      </c>
      <c r="P86" s="17">
        <f t="shared" si="4"/>
        <v>144.04845</v>
      </c>
      <c r="Q86" s="16">
        <f t="shared" si="5"/>
        <v>1315.7999400000001</v>
      </c>
      <c r="R86" s="16">
        <f t="shared" si="5"/>
        <v>2955.5908199999999</v>
      </c>
      <c r="S86" s="93"/>
      <c r="T86" s="94"/>
      <c r="U86" s="94"/>
      <c r="V86" s="95"/>
    </row>
    <row r="87" spans="1:22" x14ac:dyDescent="0.25">
      <c r="A87" s="92" t="s">
        <v>79</v>
      </c>
      <c r="B87" s="34">
        <v>100000000</v>
      </c>
      <c r="C87" s="34">
        <f t="shared" si="3"/>
        <v>1</v>
      </c>
      <c r="D87" s="113"/>
      <c r="E87" s="5" t="s">
        <v>111</v>
      </c>
      <c r="F87">
        <v>204.48599999999999</v>
      </c>
      <c r="G87">
        <v>3.5</v>
      </c>
      <c r="H87">
        <v>29.07</v>
      </c>
      <c r="I87">
        <v>152.21</v>
      </c>
      <c r="J87">
        <v>715.70100000000002</v>
      </c>
      <c r="K87">
        <v>5944.4080199999999</v>
      </c>
      <c r="L87">
        <v>31124.814060000001</v>
      </c>
      <c r="M87">
        <v>629.81687999999997</v>
      </c>
      <c r="N87">
        <v>5934.18372</v>
      </c>
      <c r="O87">
        <v>14013.425579999999</v>
      </c>
      <c r="P87" s="17">
        <f t="shared" si="4"/>
        <v>629.81687999999997</v>
      </c>
      <c r="Q87" s="16">
        <f t="shared" si="5"/>
        <v>5934.18372</v>
      </c>
      <c r="R87" s="16">
        <f t="shared" si="5"/>
        <v>14013.425579999999</v>
      </c>
      <c r="S87" s="93">
        <f>(F88-F87)/F87</f>
        <v>-0.36173136547245288</v>
      </c>
      <c r="T87" s="94">
        <f>(P88-P87)/P87</f>
        <v>-0.35758676394954664</v>
      </c>
      <c r="U87" s="94">
        <f>(Q88-Q87)/Q87</f>
        <v>-0.36085160167572294</v>
      </c>
      <c r="V87" s="95">
        <f>(R88-R87)/R87</f>
        <v>-0.35986862321496699</v>
      </c>
    </row>
    <row r="88" spans="1:22" x14ac:dyDescent="0.25">
      <c r="A88" s="92"/>
      <c r="B88" s="34">
        <v>100000000</v>
      </c>
      <c r="C88" s="34">
        <f t="shared" si="3"/>
        <v>1</v>
      </c>
      <c r="D88" s="92"/>
      <c r="E88" s="5" t="s">
        <v>114</v>
      </c>
      <c r="F88">
        <v>130.517</v>
      </c>
      <c r="G88">
        <v>3.52</v>
      </c>
      <c r="H88">
        <v>29.11</v>
      </c>
      <c r="I88">
        <v>152.41999999999999</v>
      </c>
      <c r="J88">
        <v>459.41984000000002</v>
      </c>
      <c r="K88">
        <v>3799.34987</v>
      </c>
      <c r="L88">
        <v>19893.401140000002</v>
      </c>
      <c r="M88">
        <v>404.60270000000003</v>
      </c>
      <c r="N88">
        <v>3792.82402</v>
      </c>
      <c r="O88">
        <v>8970.4334099999996</v>
      </c>
      <c r="P88" s="17">
        <f t="shared" si="4"/>
        <v>404.60270000000003</v>
      </c>
      <c r="Q88" s="16">
        <f t="shared" si="5"/>
        <v>3792.82402</v>
      </c>
      <c r="R88" s="16">
        <f t="shared" si="5"/>
        <v>8970.4334099999996</v>
      </c>
      <c r="S88" s="93"/>
      <c r="T88" s="94"/>
      <c r="U88" s="94"/>
      <c r="V88" s="95"/>
    </row>
    <row r="89" spans="1:22" x14ac:dyDescent="0.25">
      <c r="A89" s="92"/>
      <c r="B89" s="34">
        <v>100000000</v>
      </c>
      <c r="C89" s="34">
        <f t="shared" si="3"/>
        <v>1</v>
      </c>
      <c r="D89" s="92" t="s">
        <v>118</v>
      </c>
      <c r="E89" s="5" t="s">
        <v>111</v>
      </c>
      <c r="F89">
        <v>156.761</v>
      </c>
      <c r="G89">
        <v>3.51</v>
      </c>
      <c r="H89">
        <v>28.96</v>
      </c>
      <c r="I89">
        <v>152.56</v>
      </c>
      <c r="J89">
        <v>550.23110999999994</v>
      </c>
      <c r="K89">
        <v>4539.7985600000002</v>
      </c>
      <c r="L89">
        <v>23915.458159999998</v>
      </c>
      <c r="M89">
        <v>484.39148999999998</v>
      </c>
      <c r="N89">
        <v>4531.9605099999999</v>
      </c>
      <c r="O89">
        <v>10796.130069999999</v>
      </c>
      <c r="P89" s="17">
        <f t="shared" si="4"/>
        <v>484.39148999999998</v>
      </c>
      <c r="Q89" s="16">
        <f t="shared" si="5"/>
        <v>4531.9605099999999</v>
      </c>
      <c r="R89" s="16">
        <f t="shared" si="5"/>
        <v>10796.130069999999</v>
      </c>
      <c r="S89" s="93">
        <f>(F90-F89)/F89</f>
        <v>-2.1497693941732985E-2</v>
      </c>
      <c r="T89" s="94">
        <f>(P90-P89)/P89</f>
        <v>-2.4664368071371328E-2</v>
      </c>
      <c r="U89" s="94">
        <f>(Q90-Q89)/Q89</f>
        <v>-7.282164071637091E-3</v>
      </c>
      <c r="V89" s="95">
        <f>(R90-R89)/R89</f>
        <v>-9.989245155509691E-3</v>
      </c>
    </row>
    <row r="90" spans="1:22" x14ac:dyDescent="0.25">
      <c r="A90" s="92"/>
      <c r="B90" s="34">
        <v>100000000</v>
      </c>
      <c r="C90" s="34">
        <f t="shared" si="3"/>
        <v>1</v>
      </c>
      <c r="D90" s="92"/>
      <c r="E90" s="5" t="s">
        <v>114</v>
      </c>
      <c r="F90">
        <v>153.39099999999999</v>
      </c>
      <c r="G90">
        <v>3.5</v>
      </c>
      <c r="H90">
        <v>29.38</v>
      </c>
      <c r="I90">
        <v>153.37</v>
      </c>
      <c r="J90">
        <v>536.86849999999993</v>
      </c>
      <c r="K90">
        <v>4506.6275799999994</v>
      </c>
      <c r="L90">
        <v>23525.577669999999</v>
      </c>
      <c r="M90">
        <v>472.44427999999999</v>
      </c>
      <c r="N90">
        <v>4498.9580299999998</v>
      </c>
      <c r="O90">
        <v>10688.284879999999</v>
      </c>
      <c r="P90" s="17">
        <f t="shared" si="4"/>
        <v>472.44427999999999</v>
      </c>
      <c r="Q90" s="16">
        <f t="shared" si="5"/>
        <v>4498.9580299999998</v>
      </c>
      <c r="R90" s="16">
        <f t="shared" si="5"/>
        <v>10688.284879999999</v>
      </c>
      <c r="S90" s="93"/>
      <c r="T90" s="94"/>
      <c r="U90" s="94"/>
      <c r="V90" s="95"/>
    </row>
    <row r="91" spans="1:22" x14ac:dyDescent="0.25">
      <c r="A91" s="92" t="s">
        <v>87</v>
      </c>
      <c r="B91" s="34">
        <v>100000000</v>
      </c>
      <c r="C91" s="34">
        <f t="shared" si="3"/>
        <v>1</v>
      </c>
      <c r="D91" s="113"/>
      <c r="E91" s="5" t="s">
        <v>111</v>
      </c>
      <c r="F91">
        <v>6.2480000000000002</v>
      </c>
      <c r="G91">
        <v>3.5</v>
      </c>
      <c r="H91">
        <v>28.18</v>
      </c>
      <c r="I91">
        <v>151.91</v>
      </c>
      <c r="J91">
        <v>21.867999999999999</v>
      </c>
      <c r="K91">
        <v>176.06863999999999</v>
      </c>
      <c r="L91">
        <v>949.13368000000003</v>
      </c>
      <c r="M91">
        <v>19.243839999999999</v>
      </c>
      <c r="N91">
        <v>172.44479999999999</v>
      </c>
      <c r="O91">
        <v>407.43207999999998</v>
      </c>
      <c r="P91" s="17">
        <f t="shared" si="4"/>
        <v>19.243839999999999</v>
      </c>
      <c r="Q91" s="16">
        <f t="shared" si="5"/>
        <v>172.44479999999999</v>
      </c>
      <c r="R91" s="16">
        <f t="shared" si="5"/>
        <v>407.43207999999998</v>
      </c>
      <c r="S91" s="93">
        <f>(F92-F91)/F91</f>
        <v>-4.32138284250961E-2</v>
      </c>
      <c r="T91" s="94">
        <f>(P92-P91)/P91</f>
        <v>-4.0107379816086509E-2</v>
      </c>
      <c r="U91" s="94">
        <f>(Q92-Q91)/Q91</f>
        <v>-4.5640460019669947E-2</v>
      </c>
      <c r="V91" s="95">
        <f>(R92-R91)/R91</f>
        <v>-1.1228030939537198E-2</v>
      </c>
    </row>
    <row r="92" spans="1:22" x14ac:dyDescent="0.25">
      <c r="A92" s="92"/>
      <c r="B92" s="34">
        <v>100000000</v>
      </c>
      <c r="C92" s="34">
        <f t="shared" si="3"/>
        <v>1</v>
      </c>
      <c r="D92" s="92"/>
      <c r="E92" s="5" t="s">
        <v>114</v>
      </c>
      <c r="F92">
        <v>5.9779999999999998</v>
      </c>
      <c r="G92">
        <v>3.51</v>
      </c>
      <c r="H92">
        <v>28.11</v>
      </c>
      <c r="I92">
        <v>154.08000000000001</v>
      </c>
      <c r="J92">
        <v>20.982780000000002</v>
      </c>
      <c r="K92">
        <v>168.04158000000001</v>
      </c>
      <c r="L92">
        <v>921.09023999999999</v>
      </c>
      <c r="M92">
        <v>18.472020000000001</v>
      </c>
      <c r="N92">
        <v>164.57434000000001</v>
      </c>
      <c r="O92">
        <v>402.85741999999999</v>
      </c>
      <c r="P92" s="17">
        <f t="shared" si="4"/>
        <v>18.472020000000001</v>
      </c>
      <c r="Q92" s="16">
        <f t="shared" si="5"/>
        <v>164.57434000000001</v>
      </c>
      <c r="R92" s="16">
        <f t="shared" si="5"/>
        <v>402.85741999999999</v>
      </c>
      <c r="S92" s="93"/>
      <c r="T92" s="94"/>
      <c r="U92" s="94"/>
      <c r="V92" s="95"/>
    </row>
    <row r="93" spans="1:22" x14ac:dyDescent="0.25">
      <c r="A93" s="92"/>
      <c r="B93" s="34">
        <v>100000000</v>
      </c>
      <c r="C93" s="34">
        <f t="shared" si="3"/>
        <v>1</v>
      </c>
      <c r="D93" s="92" t="s">
        <v>118</v>
      </c>
      <c r="E93" s="5" t="s">
        <v>111</v>
      </c>
      <c r="F93">
        <v>2.4609999999999999</v>
      </c>
      <c r="G93">
        <v>3.54</v>
      </c>
      <c r="H93">
        <v>23.15</v>
      </c>
      <c r="I93">
        <v>147.29</v>
      </c>
      <c r="J93">
        <v>8.7119400000000002</v>
      </c>
      <c r="K93">
        <v>56.972149999999992</v>
      </c>
      <c r="L93">
        <v>362.48068999999998</v>
      </c>
      <c r="M93">
        <v>7.6783199999999994</v>
      </c>
      <c r="N93">
        <v>55.54477</v>
      </c>
      <c r="O93">
        <v>149.13659999999999</v>
      </c>
      <c r="P93" s="17">
        <f t="shared" si="4"/>
        <v>7.6783199999999994</v>
      </c>
      <c r="Q93" s="16">
        <f t="shared" si="5"/>
        <v>55.54477</v>
      </c>
      <c r="R93" s="16">
        <f t="shared" si="5"/>
        <v>149.13659999999999</v>
      </c>
      <c r="S93" s="93">
        <f>(F94-F93)/F93</f>
        <v>-3.1694433157253087E-2</v>
      </c>
      <c r="T93" s="94">
        <f>(P94-P93)/P93</f>
        <v>-2.8590889673782781E-2</v>
      </c>
      <c r="U93" s="94">
        <f>(Q94-Q93)/Q93</f>
        <v>-1.7965687858640902E-2</v>
      </c>
      <c r="V93" s="95">
        <f>(R94-R93)/R93</f>
        <v>-3.3292297128940711E-2</v>
      </c>
    </row>
    <row r="94" spans="1:22" x14ac:dyDescent="0.25">
      <c r="A94" s="92"/>
      <c r="B94" s="34">
        <v>100000000</v>
      </c>
      <c r="C94" s="34">
        <f t="shared" si="3"/>
        <v>1</v>
      </c>
      <c r="D94" s="92"/>
      <c r="E94" s="5" t="s">
        <v>114</v>
      </c>
      <c r="F94">
        <v>2.383</v>
      </c>
      <c r="G94">
        <v>3.55</v>
      </c>
      <c r="H94">
        <v>23.47</v>
      </c>
      <c r="I94">
        <v>147.19999999999999</v>
      </c>
      <c r="J94">
        <v>8.4596499999999999</v>
      </c>
      <c r="K94">
        <v>55.929009999999998</v>
      </c>
      <c r="L94">
        <v>350.77759999999989</v>
      </c>
      <c r="M94">
        <v>7.4587899999999996</v>
      </c>
      <c r="N94">
        <v>54.546869999999998</v>
      </c>
      <c r="O94">
        <v>144.17150000000001</v>
      </c>
      <c r="P94" s="17">
        <f t="shared" si="4"/>
        <v>7.4587899999999996</v>
      </c>
      <c r="Q94" s="16">
        <f t="shared" si="5"/>
        <v>54.546869999999998</v>
      </c>
      <c r="R94" s="16">
        <f t="shared" si="5"/>
        <v>144.17150000000001</v>
      </c>
      <c r="S94" s="93"/>
      <c r="T94" s="94"/>
      <c r="U94" s="94"/>
      <c r="V94" s="95"/>
    </row>
    <row r="95" spans="1:22" x14ac:dyDescent="0.25">
      <c r="A95" s="92" t="s">
        <v>91</v>
      </c>
      <c r="B95" s="34">
        <v>100000000</v>
      </c>
      <c r="C95" s="34">
        <f t="shared" si="3"/>
        <v>1</v>
      </c>
      <c r="D95" s="113"/>
      <c r="E95" s="5" t="s">
        <v>111</v>
      </c>
      <c r="F95">
        <v>55.194000000000003</v>
      </c>
      <c r="G95">
        <v>3.5</v>
      </c>
      <c r="H95">
        <v>28.34</v>
      </c>
      <c r="I95">
        <v>148.56</v>
      </c>
      <c r="J95">
        <v>193.179</v>
      </c>
      <c r="K95">
        <v>1564.19796</v>
      </c>
      <c r="L95">
        <v>8199.620640000001</v>
      </c>
      <c r="M95">
        <v>169.99752000000001</v>
      </c>
      <c r="N95">
        <v>1532.18544</v>
      </c>
      <c r="O95">
        <v>3524.6888399999998</v>
      </c>
      <c r="P95" s="17">
        <f t="shared" si="4"/>
        <v>169.99752000000001</v>
      </c>
      <c r="Q95" s="16">
        <f t="shared" si="5"/>
        <v>1532.18544</v>
      </c>
      <c r="R95" s="16">
        <f t="shared" si="5"/>
        <v>3524.6888399999998</v>
      </c>
      <c r="S95" s="93">
        <f>(F96-F95)/F95</f>
        <v>-4.0402942348807128E-3</v>
      </c>
      <c r="T95" s="94">
        <f>(P96-P95)/P95</f>
        <v>-8.0665882655237139E-4</v>
      </c>
      <c r="U95" s="94">
        <f>(Q96-Q95)/Q95</f>
        <v>-1.3368447098674865E-2</v>
      </c>
      <c r="V95" s="95">
        <f>(R96-R95)/R95</f>
        <v>-1.0590608616674324E-2</v>
      </c>
    </row>
    <row r="96" spans="1:22" x14ac:dyDescent="0.25">
      <c r="A96" s="92"/>
      <c r="B96" s="34">
        <v>100000000</v>
      </c>
      <c r="C96" s="34">
        <f t="shared" si="3"/>
        <v>1</v>
      </c>
      <c r="D96" s="92"/>
      <c r="E96" s="5" t="s">
        <v>114</v>
      </c>
      <c r="F96">
        <v>54.970999999999997</v>
      </c>
      <c r="G96">
        <v>3.51</v>
      </c>
      <c r="H96">
        <v>28.08</v>
      </c>
      <c r="I96">
        <v>148.13999999999999</v>
      </c>
      <c r="J96">
        <v>192.94820999999999</v>
      </c>
      <c r="K96">
        <v>1543.5856799999999</v>
      </c>
      <c r="L96">
        <v>8143.4039399999983</v>
      </c>
      <c r="M96">
        <v>169.86039</v>
      </c>
      <c r="N96">
        <v>1511.7025000000001</v>
      </c>
      <c r="O96">
        <v>3487.36024</v>
      </c>
      <c r="P96" s="17">
        <f t="shared" si="4"/>
        <v>169.86039</v>
      </c>
      <c r="Q96" s="16">
        <f t="shared" si="5"/>
        <v>1511.7025000000001</v>
      </c>
      <c r="R96" s="16">
        <f t="shared" si="5"/>
        <v>3487.36024</v>
      </c>
      <c r="S96" s="93"/>
      <c r="T96" s="94"/>
      <c r="U96" s="94"/>
      <c r="V96" s="95"/>
    </row>
    <row r="97" spans="1:22" x14ac:dyDescent="0.25">
      <c r="A97" s="92"/>
      <c r="B97" s="34">
        <v>100000000</v>
      </c>
      <c r="C97" s="34">
        <f t="shared" si="3"/>
        <v>1</v>
      </c>
      <c r="D97" s="92" t="s">
        <v>118</v>
      </c>
      <c r="E97" s="5" t="s">
        <v>111</v>
      </c>
      <c r="F97">
        <v>47.99</v>
      </c>
      <c r="G97">
        <v>3.5</v>
      </c>
      <c r="H97">
        <v>28.42</v>
      </c>
      <c r="I97">
        <v>150.15</v>
      </c>
      <c r="J97">
        <v>167.965</v>
      </c>
      <c r="K97">
        <v>1363.8758</v>
      </c>
      <c r="L97">
        <v>7205.6985000000004</v>
      </c>
      <c r="M97">
        <v>147.8092</v>
      </c>
      <c r="N97">
        <v>1336.0416</v>
      </c>
      <c r="O97">
        <v>3141.4254000000001</v>
      </c>
      <c r="P97" s="17">
        <f t="shared" si="4"/>
        <v>147.8092</v>
      </c>
      <c r="Q97" s="16">
        <f t="shared" si="5"/>
        <v>1336.0416</v>
      </c>
      <c r="R97" s="16">
        <f t="shared" si="5"/>
        <v>3141.4254000000001</v>
      </c>
      <c r="S97" s="93">
        <f>(F98-F97)/F97</f>
        <v>9.591581579495731E-2</v>
      </c>
      <c r="T97" s="94">
        <f>(P98-P97)/P97</f>
        <v>9.2357647561856743E-2</v>
      </c>
      <c r="U97" s="94">
        <f>(Q98-Q97)/Q97</f>
        <v>0.16362325843746175</v>
      </c>
      <c r="V97" s="95">
        <f>(R98-R97)/R97</f>
        <v>0.17091891470668061</v>
      </c>
    </row>
    <row r="98" spans="1:22" x14ac:dyDescent="0.25">
      <c r="A98" s="92"/>
      <c r="B98" s="34">
        <v>100000000</v>
      </c>
      <c r="C98" s="34">
        <f t="shared" si="3"/>
        <v>1</v>
      </c>
      <c r="D98" s="92"/>
      <c r="E98" s="5" t="s">
        <v>114</v>
      </c>
      <c r="F98">
        <v>52.593000000000004</v>
      </c>
      <c r="G98">
        <v>3.49</v>
      </c>
      <c r="H98">
        <v>30.14</v>
      </c>
      <c r="I98">
        <v>154.63999999999999</v>
      </c>
      <c r="J98">
        <v>183.54956999999999</v>
      </c>
      <c r="K98">
        <v>1585.15302</v>
      </c>
      <c r="L98">
        <v>8132.9815200000003</v>
      </c>
      <c r="M98">
        <v>161.46051</v>
      </c>
      <c r="N98">
        <v>1554.6490799999999</v>
      </c>
      <c r="O98">
        <v>3678.3544200000001</v>
      </c>
      <c r="P98" s="17">
        <f t="shared" si="4"/>
        <v>161.46051</v>
      </c>
      <c r="Q98" s="16">
        <f t="shared" si="5"/>
        <v>1554.6490799999999</v>
      </c>
      <c r="R98" s="16">
        <f t="shared" si="5"/>
        <v>3678.3544200000001</v>
      </c>
      <c r="S98" s="93"/>
      <c r="T98" s="94"/>
      <c r="U98" s="94"/>
      <c r="V98" s="95"/>
    </row>
    <row r="99" spans="1:22" x14ac:dyDescent="0.25">
      <c r="A99" s="92" t="s">
        <v>93</v>
      </c>
      <c r="B99" s="34">
        <v>100000</v>
      </c>
      <c r="C99" s="34">
        <f t="shared" si="3"/>
        <v>1000</v>
      </c>
      <c r="D99" s="113"/>
      <c r="E99" s="5" t="s">
        <v>111</v>
      </c>
      <c r="F99">
        <v>7.383</v>
      </c>
      <c r="G99">
        <v>3.49</v>
      </c>
      <c r="H99">
        <v>27.08</v>
      </c>
      <c r="I99">
        <v>147.85</v>
      </c>
      <c r="J99">
        <v>25.766670000000001</v>
      </c>
      <c r="K99">
        <v>199.93163999999999</v>
      </c>
      <c r="L99">
        <v>1091.57655</v>
      </c>
      <c r="M99">
        <v>22.66581</v>
      </c>
      <c r="N99">
        <v>195.64949999999999</v>
      </c>
      <c r="O99">
        <v>502.26549</v>
      </c>
      <c r="P99" s="17">
        <f t="shared" si="4"/>
        <v>22665.81</v>
      </c>
      <c r="Q99" s="16">
        <f t="shared" si="5"/>
        <v>195649.5</v>
      </c>
      <c r="R99" s="16">
        <f t="shared" si="5"/>
        <v>502265.49</v>
      </c>
      <c r="S99" s="93">
        <f>(F100-F99)/F99</f>
        <v>-0.21468237843694973</v>
      </c>
      <c r="T99" s="94">
        <f>(P100-P99)/P99</f>
        <v>-0.21212434058169555</v>
      </c>
      <c r="U99" s="94">
        <f>(Q100-Q99)/Q99</f>
        <v>-0.2309814234127866</v>
      </c>
      <c r="V99" s="95">
        <f>(R100-R99)/R99</f>
        <v>-0.22726500679949163</v>
      </c>
    </row>
    <row r="100" spans="1:22" x14ac:dyDescent="0.25">
      <c r="A100" s="92"/>
      <c r="B100" s="34">
        <v>100000</v>
      </c>
      <c r="C100" s="34">
        <f t="shared" si="3"/>
        <v>1000</v>
      </c>
      <c r="D100" s="92"/>
      <c r="E100" s="5" t="s">
        <v>114</v>
      </c>
      <c r="F100">
        <v>5.798</v>
      </c>
      <c r="G100">
        <v>3.5</v>
      </c>
      <c r="H100">
        <v>26.53</v>
      </c>
      <c r="I100">
        <v>146.75</v>
      </c>
      <c r="J100">
        <v>20.292999999999999</v>
      </c>
      <c r="K100">
        <v>153.82094000000001</v>
      </c>
      <c r="L100">
        <v>850.85649999999998</v>
      </c>
      <c r="M100">
        <v>17.857839999999999</v>
      </c>
      <c r="N100">
        <v>150.4581</v>
      </c>
      <c r="O100">
        <v>388.11811999999998</v>
      </c>
      <c r="P100" s="17">
        <f t="shared" si="4"/>
        <v>17857.84</v>
      </c>
      <c r="Q100" s="16">
        <f t="shared" si="5"/>
        <v>150458.1</v>
      </c>
      <c r="R100" s="16">
        <f t="shared" si="5"/>
        <v>388118.12</v>
      </c>
      <c r="S100" s="93"/>
      <c r="T100" s="94"/>
      <c r="U100" s="94"/>
      <c r="V100" s="95"/>
    </row>
    <row r="101" spans="1:22" x14ac:dyDescent="0.25">
      <c r="A101" s="92"/>
      <c r="B101" s="34">
        <v>100000</v>
      </c>
      <c r="C101" s="34">
        <f t="shared" si="3"/>
        <v>1000</v>
      </c>
      <c r="D101" s="92" t="s">
        <v>118</v>
      </c>
      <c r="E101" s="5" t="s">
        <v>111</v>
      </c>
      <c r="F101">
        <v>6.2130000000000001</v>
      </c>
      <c r="G101">
        <v>3.51</v>
      </c>
      <c r="H101">
        <v>27.45</v>
      </c>
      <c r="I101">
        <v>148.80000000000001</v>
      </c>
      <c r="J101">
        <v>21.80763</v>
      </c>
      <c r="K101">
        <v>170.54685000000001</v>
      </c>
      <c r="L101">
        <v>924.49440000000004</v>
      </c>
      <c r="M101">
        <v>19.198170000000001</v>
      </c>
      <c r="N101">
        <v>166.94331</v>
      </c>
      <c r="O101">
        <v>428.63486999999998</v>
      </c>
      <c r="P101" s="17">
        <f t="shared" si="4"/>
        <v>19198.170000000002</v>
      </c>
      <c r="Q101" s="16">
        <f t="shared" si="5"/>
        <v>166943.31</v>
      </c>
      <c r="R101" s="16">
        <f t="shared" si="5"/>
        <v>428634.87</v>
      </c>
      <c r="S101" s="93">
        <f>(F102-F101)/F101</f>
        <v>-0.27233220666344765</v>
      </c>
      <c r="T101" s="94">
        <f>(P102-P101)/P101</f>
        <v>-0.2699772947109022</v>
      </c>
      <c r="U101" s="94">
        <f>(Q102-Q101)/Q101</f>
        <v>-0.28966407818318685</v>
      </c>
      <c r="V101" s="95">
        <f>(R102-R101)/R101</f>
        <v>-0.28077015759357143</v>
      </c>
    </row>
    <row r="102" spans="1:22" x14ac:dyDescent="0.25">
      <c r="A102" s="92"/>
      <c r="B102" s="34">
        <v>100000</v>
      </c>
      <c r="C102" s="34">
        <f t="shared" si="3"/>
        <v>1000</v>
      </c>
      <c r="D102" s="92"/>
      <c r="E102" s="5" t="s">
        <v>114</v>
      </c>
      <c r="F102">
        <v>4.5209999999999999</v>
      </c>
      <c r="G102">
        <v>3.52</v>
      </c>
      <c r="H102">
        <v>26.81</v>
      </c>
      <c r="I102">
        <v>148</v>
      </c>
      <c r="J102">
        <v>15.913919999999999</v>
      </c>
      <c r="K102">
        <v>121.20801</v>
      </c>
      <c r="L102">
        <v>669.10799999999995</v>
      </c>
      <c r="M102">
        <v>14.0151</v>
      </c>
      <c r="N102">
        <v>118.58583</v>
      </c>
      <c r="O102">
        <v>308.28699</v>
      </c>
      <c r="P102" s="17">
        <f t="shared" si="4"/>
        <v>14015.1</v>
      </c>
      <c r="Q102" s="16">
        <f t="shared" si="5"/>
        <v>118585.83</v>
      </c>
      <c r="R102" s="16">
        <f t="shared" si="5"/>
        <v>308286.99</v>
      </c>
      <c r="S102" s="93"/>
      <c r="T102" s="94"/>
      <c r="U102" s="94"/>
      <c r="V102" s="95"/>
    </row>
    <row r="103" spans="1:22" x14ac:dyDescent="0.25">
      <c r="A103" s="92" t="s">
        <v>95</v>
      </c>
      <c r="B103" s="34">
        <v>100000</v>
      </c>
      <c r="C103" s="34">
        <f t="shared" si="3"/>
        <v>1000</v>
      </c>
      <c r="D103" s="113"/>
      <c r="E103" s="5" t="s">
        <v>111</v>
      </c>
      <c r="F103">
        <v>1.972</v>
      </c>
      <c r="G103">
        <v>3.57</v>
      </c>
      <c r="H103">
        <v>23.38</v>
      </c>
      <c r="I103">
        <v>147.29</v>
      </c>
      <c r="J103">
        <v>7.0400399999999994</v>
      </c>
      <c r="K103">
        <v>46.105359999999997</v>
      </c>
      <c r="L103">
        <v>290.45587999999998</v>
      </c>
      <c r="M103">
        <v>6.2117999999999993</v>
      </c>
      <c r="N103">
        <v>44.961599999999997</v>
      </c>
      <c r="O103">
        <v>122.264</v>
      </c>
      <c r="P103" s="17">
        <f t="shared" si="4"/>
        <v>6211.7999999999993</v>
      </c>
      <c r="Q103" s="16">
        <f t="shared" si="5"/>
        <v>44961.599999999999</v>
      </c>
      <c r="R103" s="16">
        <f t="shared" si="5"/>
        <v>122264</v>
      </c>
      <c r="S103" s="93">
        <f>(F104-F103)/F103</f>
        <v>-0.38945233265720081</v>
      </c>
      <c r="T103" s="94">
        <f>(P104-P103)/P103</f>
        <v>-0.38557583953121471</v>
      </c>
      <c r="U103" s="94">
        <f>(Q104-Q103)/Q103</f>
        <v>-0.45720170100708152</v>
      </c>
      <c r="V103" s="95">
        <f>(R104-R103)/R103</f>
        <v>-0.41889648629195841</v>
      </c>
    </row>
    <row r="104" spans="1:22" x14ac:dyDescent="0.25">
      <c r="A104" s="92"/>
      <c r="B104" s="34">
        <v>100000</v>
      </c>
      <c r="C104" s="34">
        <f t="shared" si="3"/>
        <v>1000</v>
      </c>
      <c r="D104" s="92"/>
      <c r="E104" s="5" t="s">
        <v>114</v>
      </c>
      <c r="F104">
        <v>1.204</v>
      </c>
      <c r="G104">
        <v>3.59</v>
      </c>
      <c r="H104">
        <v>20.85</v>
      </c>
      <c r="I104">
        <v>144.31</v>
      </c>
      <c r="J104">
        <v>4.3223599999999998</v>
      </c>
      <c r="K104">
        <v>25.103400000000001</v>
      </c>
      <c r="L104">
        <v>173.74923999999999</v>
      </c>
      <c r="M104">
        <v>3.8166799999999999</v>
      </c>
      <c r="N104">
        <v>24.405080000000002</v>
      </c>
      <c r="O104">
        <v>71.04804</v>
      </c>
      <c r="P104" s="17">
        <f t="shared" si="4"/>
        <v>3816.68</v>
      </c>
      <c r="Q104" s="16">
        <f t="shared" si="5"/>
        <v>24405.08</v>
      </c>
      <c r="R104" s="16">
        <f t="shared" si="5"/>
        <v>71048.039999999994</v>
      </c>
      <c r="S104" s="93"/>
      <c r="T104" s="94"/>
      <c r="U104" s="94"/>
      <c r="V104" s="95"/>
    </row>
    <row r="105" spans="1:22" x14ac:dyDescent="0.25">
      <c r="A105" s="92"/>
      <c r="B105" s="34">
        <v>100000</v>
      </c>
      <c r="C105" s="34">
        <f t="shared" si="3"/>
        <v>1000</v>
      </c>
      <c r="D105" s="92" t="s">
        <v>118</v>
      </c>
      <c r="E105" s="5" t="s">
        <v>111</v>
      </c>
      <c r="F105">
        <v>2.4780000000000002</v>
      </c>
      <c r="G105">
        <v>3.59</v>
      </c>
      <c r="H105">
        <v>25.33</v>
      </c>
      <c r="I105">
        <v>151.97</v>
      </c>
      <c r="J105">
        <v>8.89602</v>
      </c>
      <c r="K105">
        <v>62.767740000000003</v>
      </c>
      <c r="L105">
        <v>376.58166000000011</v>
      </c>
      <c r="M105">
        <v>7.8552600000000004</v>
      </c>
      <c r="N105">
        <v>61.330500000000008</v>
      </c>
      <c r="O105">
        <v>165.20826</v>
      </c>
      <c r="P105" s="17">
        <f t="shared" si="4"/>
        <v>7855.26</v>
      </c>
      <c r="Q105" s="16">
        <f t="shared" si="5"/>
        <v>61330.500000000007</v>
      </c>
      <c r="R105" s="16">
        <f t="shared" si="5"/>
        <v>165208.26</v>
      </c>
      <c r="S105" s="93">
        <f>(F106-F105)/F105</f>
        <v>-0.36602098466505251</v>
      </c>
      <c r="T105" s="94">
        <f>(P106-P105)/P105</f>
        <v>-0.36802091846737095</v>
      </c>
      <c r="U105" s="94">
        <f>(Q106-Q105)/Q105</f>
        <v>-0.4236554406045932</v>
      </c>
      <c r="V105" s="95">
        <f>(R106-R105)/R105</f>
        <v>-0.39445352187596433</v>
      </c>
    </row>
    <row r="106" spans="1:22" x14ac:dyDescent="0.25">
      <c r="A106" s="92"/>
      <c r="B106" s="34">
        <v>100000</v>
      </c>
      <c r="C106" s="34">
        <f t="shared" si="3"/>
        <v>1000</v>
      </c>
      <c r="D106" s="92"/>
      <c r="E106" s="5" t="s">
        <v>114</v>
      </c>
      <c r="F106">
        <v>1.571</v>
      </c>
      <c r="G106">
        <v>3.58</v>
      </c>
      <c r="H106">
        <v>23.08</v>
      </c>
      <c r="I106">
        <v>148.97999999999999</v>
      </c>
      <c r="J106">
        <v>5.62418</v>
      </c>
      <c r="K106">
        <v>36.258679999999998</v>
      </c>
      <c r="L106">
        <v>234.04758000000001</v>
      </c>
      <c r="M106">
        <v>4.9643600000000001</v>
      </c>
      <c r="N106">
        <v>35.347499999999997</v>
      </c>
      <c r="O106">
        <v>100.04128</v>
      </c>
      <c r="P106" s="20">
        <f t="shared" si="4"/>
        <v>4964.3599999999997</v>
      </c>
      <c r="Q106" s="19">
        <f t="shared" si="5"/>
        <v>35347.5</v>
      </c>
      <c r="R106" s="19">
        <f t="shared" si="5"/>
        <v>100041.28</v>
      </c>
      <c r="S106" s="96"/>
      <c r="T106" s="97"/>
      <c r="U106" s="97"/>
      <c r="V106" s="98"/>
    </row>
    <row r="107" spans="1:22" x14ac:dyDescent="0.25">
      <c r="F107" s="1"/>
      <c r="G107" s="1"/>
      <c r="H107" s="1"/>
      <c r="I107" s="1"/>
      <c r="J107" s="1"/>
      <c r="K107" s="1"/>
      <c r="L107" s="1"/>
      <c r="M107" s="1"/>
      <c r="N107" s="1"/>
      <c r="O107" s="1"/>
    </row>
  </sheetData>
  <mergeCells count="297">
    <mergeCell ref="A3:A6"/>
    <mergeCell ref="D3:D4"/>
    <mergeCell ref="S3:S4"/>
    <mergeCell ref="T3:T4"/>
    <mergeCell ref="U3:U4"/>
    <mergeCell ref="A1:A2"/>
    <mergeCell ref="B1:B2"/>
    <mergeCell ref="C1:C2"/>
    <mergeCell ref="D1:D2"/>
    <mergeCell ref="E1:E2"/>
    <mergeCell ref="F1:F2"/>
    <mergeCell ref="V3:V4"/>
    <mergeCell ref="D5:D6"/>
    <mergeCell ref="S5:S6"/>
    <mergeCell ref="T5:T6"/>
    <mergeCell ref="U5:U6"/>
    <mergeCell ref="V5:V6"/>
    <mergeCell ref="G1:I1"/>
    <mergeCell ref="J1:L1"/>
    <mergeCell ref="M1:O1"/>
    <mergeCell ref="P1:R1"/>
    <mergeCell ref="S1:V1"/>
    <mergeCell ref="V9:V10"/>
    <mergeCell ref="A11:A14"/>
    <mergeCell ref="D11:D12"/>
    <mergeCell ref="S11:S12"/>
    <mergeCell ref="T11:T12"/>
    <mergeCell ref="U11:U12"/>
    <mergeCell ref="V11:V12"/>
    <mergeCell ref="D13:D14"/>
    <mergeCell ref="S13:S14"/>
    <mergeCell ref="T13:T14"/>
    <mergeCell ref="A7:A10"/>
    <mergeCell ref="D7:D8"/>
    <mergeCell ref="S7:S8"/>
    <mergeCell ref="T7:T8"/>
    <mergeCell ref="U7:U8"/>
    <mergeCell ref="V7:V8"/>
    <mergeCell ref="D9:D10"/>
    <mergeCell ref="S9:S10"/>
    <mergeCell ref="T9:T10"/>
    <mergeCell ref="U9:U10"/>
    <mergeCell ref="U13:U14"/>
    <mergeCell ref="V13:V14"/>
    <mergeCell ref="A15:A18"/>
    <mergeCell ref="D15:D16"/>
    <mergeCell ref="S15:S16"/>
    <mergeCell ref="T15:T16"/>
    <mergeCell ref="U15:U16"/>
    <mergeCell ref="V15:V16"/>
    <mergeCell ref="D17:D18"/>
    <mergeCell ref="S17:S18"/>
    <mergeCell ref="T17:T18"/>
    <mergeCell ref="U17:U18"/>
    <mergeCell ref="V17:V18"/>
    <mergeCell ref="A19:A22"/>
    <mergeCell ref="D19:D20"/>
    <mergeCell ref="S19:S20"/>
    <mergeCell ref="T19:T20"/>
    <mergeCell ref="U19:U20"/>
    <mergeCell ref="V19:V20"/>
    <mergeCell ref="D21:D22"/>
    <mergeCell ref="A27:A30"/>
    <mergeCell ref="D27:D28"/>
    <mergeCell ref="S27:S28"/>
    <mergeCell ref="T27:T28"/>
    <mergeCell ref="U27:U28"/>
    <mergeCell ref="S21:S22"/>
    <mergeCell ref="T21:T22"/>
    <mergeCell ref="U21:U22"/>
    <mergeCell ref="V21:V22"/>
    <mergeCell ref="A23:A26"/>
    <mergeCell ref="D23:D24"/>
    <mergeCell ref="S23:S24"/>
    <mergeCell ref="T23:T24"/>
    <mergeCell ref="U23:U24"/>
    <mergeCell ref="V23:V24"/>
    <mergeCell ref="V27:V28"/>
    <mergeCell ref="D29:D30"/>
    <mergeCell ref="S29:S30"/>
    <mergeCell ref="T29:T30"/>
    <mergeCell ref="U29:U30"/>
    <mergeCell ref="V29:V30"/>
    <mergeCell ref="D25:D26"/>
    <mergeCell ref="S25:S26"/>
    <mergeCell ref="T25:T26"/>
    <mergeCell ref="U25:U26"/>
    <mergeCell ref="V25:V26"/>
    <mergeCell ref="V33:V34"/>
    <mergeCell ref="A35:A38"/>
    <mergeCell ref="D35:D36"/>
    <mergeCell ref="S35:S36"/>
    <mergeCell ref="T35:T36"/>
    <mergeCell ref="U35:U36"/>
    <mergeCell ref="V35:V36"/>
    <mergeCell ref="D37:D38"/>
    <mergeCell ref="S37:S38"/>
    <mergeCell ref="T37:T38"/>
    <mergeCell ref="A31:A34"/>
    <mergeCell ref="D31:D32"/>
    <mergeCell ref="S31:S32"/>
    <mergeCell ref="T31:T32"/>
    <mergeCell ref="U31:U32"/>
    <mergeCell ref="V31:V32"/>
    <mergeCell ref="D33:D34"/>
    <mergeCell ref="S33:S34"/>
    <mergeCell ref="T33:T34"/>
    <mergeCell ref="U33:U34"/>
    <mergeCell ref="U37:U38"/>
    <mergeCell ref="V37:V38"/>
    <mergeCell ref="A39:A42"/>
    <mergeCell ref="D39:D40"/>
    <mergeCell ref="S39:S40"/>
    <mergeCell ref="T39:T40"/>
    <mergeCell ref="U39:U40"/>
    <mergeCell ref="V39:V40"/>
    <mergeCell ref="D41:D42"/>
    <mergeCell ref="S41:S42"/>
    <mergeCell ref="T41:T42"/>
    <mergeCell ref="U41:U42"/>
    <mergeCell ref="V41:V42"/>
    <mergeCell ref="A43:A46"/>
    <mergeCell ref="D43:D44"/>
    <mergeCell ref="S43:S44"/>
    <mergeCell ref="T43:T44"/>
    <mergeCell ref="U43:U44"/>
    <mergeCell ref="V43:V44"/>
    <mergeCell ref="D45:D46"/>
    <mergeCell ref="A51:A54"/>
    <mergeCell ref="D51:D52"/>
    <mergeCell ref="S51:S52"/>
    <mergeCell ref="T51:T52"/>
    <mergeCell ref="U51:U52"/>
    <mergeCell ref="S45:S46"/>
    <mergeCell ref="T45:T46"/>
    <mergeCell ref="U45:U46"/>
    <mergeCell ref="V45:V46"/>
    <mergeCell ref="A47:A50"/>
    <mergeCell ref="D47:D48"/>
    <mergeCell ref="S47:S48"/>
    <mergeCell ref="T47:T48"/>
    <mergeCell ref="U47:U48"/>
    <mergeCell ref="V47:V48"/>
    <mergeCell ref="V51:V52"/>
    <mergeCell ref="D53:D54"/>
    <mergeCell ref="S53:S54"/>
    <mergeCell ref="T53:T54"/>
    <mergeCell ref="U53:U54"/>
    <mergeCell ref="V53:V54"/>
    <mergeCell ref="D49:D50"/>
    <mergeCell ref="S49:S50"/>
    <mergeCell ref="T49:T50"/>
    <mergeCell ref="U49:U50"/>
    <mergeCell ref="V49:V50"/>
    <mergeCell ref="V57:V58"/>
    <mergeCell ref="A59:A62"/>
    <mergeCell ref="D59:D60"/>
    <mergeCell ref="S59:S60"/>
    <mergeCell ref="T59:T60"/>
    <mergeCell ref="U59:U60"/>
    <mergeCell ref="V59:V60"/>
    <mergeCell ref="D61:D62"/>
    <mergeCell ref="S61:S62"/>
    <mergeCell ref="T61:T62"/>
    <mergeCell ref="A55:A58"/>
    <mergeCell ref="D55:D56"/>
    <mergeCell ref="S55:S56"/>
    <mergeCell ref="T55:T56"/>
    <mergeCell ref="U55:U56"/>
    <mergeCell ref="V55:V56"/>
    <mergeCell ref="D57:D58"/>
    <mergeCell ref="S57:S58"/>
    <mergeCell ref="T57:T58"/>
    <mergeCell ref="U57:U58"/>
    <mergeCell ref="U61:U62"/>
    <mergeCell ref="V61:V62"/>
    <mergeCell ref="A63:A66"/>
    <mergeCell ref="D63:D64"/>
    <mergeCell ref="S63:S64"/>
    <mergeCell ref="T63:T64"/>
    <mergeCell ref="U63:U64"/>
    <mergeCell ref="V63:V64"/>
    <mergeCell ref="D65:D66"/>
    <mergeCell ref="S65:S66"/>
    <mergeCell ref="T65:T66"/>
    <mergeCell ref="U65:U66"/>
    <mergeCell ref="V65:V66"/>
    <mergeCell ref="A67:A70"/>
    <mergeCell ref="D67:D68"/>
    <mergeCell ref="S67:S68"/>
    <mergeCell ref="T67:T68"/>
    <mergeCell ref="U67:U68"/>
    <mergeCell ref="V67:V68"/>
    <mergeCell ref="D69:D70"/>
    <mergeCell ref="A75:A78"/>
    <mergeCell ref="D75:D76"/>
    <mergeCell ref="S75:S76"/>
    <mergeCell ref="T75:T76"/>
    <mergeCell ref="U75:U76"/>
    <mergeCell ref="S69:S70"/>
    <mergeCell ref="T69:T70"/>
    <mergeCell ref="U69:U70"/>
    <mergeCell ref="V69:V70"/>
    <mergeCell ref="A71:A74"/>
    <mergeCell ref="D71:D72"/>
    <mergeCell ref="S71:S72"/>
    <mergeCell ref="T71:T72"/>
    <mergeCell ref="U71:U72"/>
    <mergeCell ref="V71:V72"/>
    <mergeCell ref="V75:V76"/>
    <mergeCell ref="D77:D78"/>
    <mergeCell ref="S77:S78"/>
    <mergeCell ref="T77:T78"/>
    <mergeCell ref="U77:U78"/>
    <mergeCell ref="V77:V78"/>
    <mergeCell ref="D73:D74"/>
    <mergeCell ref="S73:S74"/>
    <mergeCell ref="T73:T74"/>
    <mergeCell ref="U73:U74"/>
    <mergeCell ref="V73:V74"/>
    <mergeCell ref="V81:V82"/>
    <mergeCell ref="A83:A86"/>
    <mergeCell ref="D83:D84"/>
    <mergeCell ref="S83:S84"/>
    <mergeCell ref="T83:T84"/>
    <mergeCell ref="U83:U84"/>
    <mergeCell ref="V83:V84"/>
    <mergeCell ref="D85:D86"/>
    <mergeCell ref="S85:S86"/>
    <mergeCell ref="T85:T86"/>
    <mergeCell ref="A79:A82"/>
    <mergeCell ref="D79:D80"/>
    <mergeCell ref="S79:S80"/>
    <mergeCell ref="T79:T80"/>
    <mergeCell ref="U79:U80"/>
    <mergeCell ref="V79:V80"/>
    <mergeCell ref="D81:D82"/>
    <mergeCell ref="S81:S82"/>
    <mergeCell ref="T81:T82"/>
    <mergeCell ref="U81:U82"/>
    <mergeCell ref="U85:U86"/>
    <mergeCell ref="V85:V86"/>
    <mergeCell ref="A87:A90"/>
    <mergeCell ref="D87:D88"/>
    <mergeCell ref="S87:S88"/>
    <mergeCell ref="T87:T88"/>
    <mergeCell ref="U87:U88"/>
    <mergeCell ref="V87:V88"/>
    <mergeCell ref="D89:D90"/>
    <mergeCell ref="S89:S90"/>
    <mergeCell ref="T89:T90"/>
    <mergeCell ref="U89:U90"/>
    <mergeCell ref="V89:V90"/>
    <mergeCell ref="A91:A94"/>
    <mergeCell ref="D91:D92"/>
    <mergeCell ref="S91:S92"/>
    <mergeCell ref="T91:T92"/>
    <mergeCell ref="U91:U92"/>
    <mergeCell ref="V91:V92"/>
    <mergeCell ref="D93:D94"/>
    <mergeCell ref="A99:A102"/>
    <mergeCell ref="D99:D100"/>
    <mergeCell ref="S99:S100"/>
    <mergeCell ref="T99:T100"/>
    <mergeCell ref="U99:U100"/>
    <mergeCell ref="S93:S94"/>
    <mergeCell ref="T93:T94"/>
    <mergeCell ref="U93:U94"/>
    <mergeCell ref="V93:V94"/>
    <mergeCell ref="A95:A98"/>
    <mergeCell ref="D95:D96"/>
    <mergeCell ref="S95:S96"/>
    <mergeCell ref="T95:T96"/>
    <mergeCell ref="U95:U96"/>
    <mergeCell ref="V95:V96"/>
    <mergeCell ref="V99:V100"/>
    <mergeCell ref="D101:D102"/>
    <mergeCell ref="S101:S102"/>
    <mergeCell ref="T101:T102"/>
    <mergeCell ref="U101:U102"/>
    <mergeCell ref="V101:V102"/>
    <mergeCell ref="D97:D98"/>
    <mergeCell ref="S97:S98"/>
    <mergeCell ref="T97:T98"/>
    <mergeCell ref="U97:U98"/>
    <mergeCell ref="V97:V98"/>
    <mergeCell ref="V105:V106"/>
    <mergeCell ref="A103:A106"/>
    <mergeCell ref="D103:D104"/>
    <mergeCell ref="S103:S104"/>
    <mergeCell ref="T103:T104"/>
    <mergeCell ref="U103:U104"/>
    <mergeCell ref="V103:V104"/>
    <mergeCell ref="D105:D106"/>
    <mergeCell ref="S105:S106"/>
    <mergeCell ref="T105:T106"/>
    <mergeCell ref="U105:U106"/>
  </mergeCells>
  <conditionalFormatting sqref="S3:V106">
    <cfRule type="colorScale" priority="1">
      <colorScale>
        <cfvo type="num" val="-1"/>
        <cfvo type="num" val="0"/>
        <cfvo type="num" val="1"/>
        <color rgb="FF92D050"/>
        <color rgb="FFFFC000"/>
        <color rgb="FFFF0000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0137E-A7D0-48C1-B7F2-7D4220A7F522}">
  <dimension ref="A1:V106"/>
  <sheetViews>
    <sheetView topLeftCell="A79" zoomScaleNormal="100" workbookViewId="0">
      <selection activeCell="F103" sqref="F103:O106"/>
    </sheetView>
  </sheetViews>
  <sheetFormatPr baseColWidth="10" defaultColWidth="9.140625" defaultRowHeight="15" x14ac:dyDescent="0.25"/>
  <cols>
    <col min="1" max="1" width="10.28515625" bestFit="1" customWidth="1"/>
    <col min="2" max="2" width="11" bestFit="1" customWidth="1"/>
    <col min="3" max="3" width="11" customWidth="1"/>
    <col min="5" max="6" width="12.7109375" bestFit="1" customWidth="1"/>
    <col min="15" max="15" width="12.42578125" customWidth="1"/>
    <col min="16" max="16" width="11.7109375" customWidth="1"/>
    <col min="17" max="18" width="9.7109375" bestFit="1" customWidth="1"/>
  </cols>
  <sheetData>
    <row r="1" spans="1:22" x14ac:dyDescent="0.25">
      <c r="A1" s="88" t="s">
        <v>97</v>
      </c>
      <c r="B1" s="111" t="s">
        <v>165</v>
      </c>
      <c r="C1" s="111" t="s">
        <v>166</v>
      </c>
      <c r="D1" s="88" t="s">
        <v>98</v>
      </c>
      <c r="E1" s="120" t="s">
        <v>117</v>
      </c>
      <c r="F1" s="88" t="s">
        <v>100</v>
      </c>
      <c r="G1" s="88" t="s">
        <v>101</v>
      </c>
      <c r="H1" s="88"/>
      <c r="I1" s="88"/>
      <c r="J1" s="88" t="s">
        <v>102</v>
      </c>
      <c r="K1" s="88"/>
      <c r="L1" s="88"/>
      <c r="M1" s="88" t="s">
        <v>103</v>
      </c>
      <c r="N1" s="88"/>
      <c r="O1" s="88"/>
      <c r="P1" s="99" t="s">
        <v>168</v>
      </c>
      <c r="Q1" s="99"/>
      <c r="R1" s="99"/>
      <c r="S1" s="82" t="s">
        <v>104</v>
      </c>
      <c r="T1" s="83"/>
      <c r="U1" s="83"/>
      <c r="V1" s="84"/>
    </row>
    <row r="2" spans="1:22" x14ac:dyDescent="0.25">
      <c r="A2" s="88"/>
      <c r="B2" s="112"/>
      <c r="C2" s="116"/>
      <c r="D2" s="88"/>
      <c r="E2" s="121"/>
      <c r="F2" s="88"/>
      <c r="G2" s="15" t="s">
        <v>105</v>
      </c>
      <c r="H2" s="15" t="s">
        <v>106</v>
      </c>
      <c r="I2" s="15" t="s">
        <v>107</v>
      </c>
      <c r="J2" s="15" t="s">
        <v>108</v>
      </c>
      <c r="K2" s="15" t="s">
        <v>109</v>
      </c>
      <c r="L2" s="15" t="s">
        <v>110</v>
      </c>
      <c r="M2" s="15" t="s">
        <v>108</v>
      </c>
      <c r="N2" s="15" t="s">
        <v>109</v>
      </c>
      <c r="O2" s="15" t="s">
        <v>110</v>
      </c>
      <c r="P2" s="29" t="s">
        <v>108</v>
      </c>
      <c r="Q2" s="29" t="s">
        <v>109</v>
      </c>
      <c r="R2" s="29" t="s">
        <v>110</v>
      </c>
      <c r="S2" s="29" t="s">
        <v>100</v>
      </c>
      <c r="T2" s="29" t="s">
        <v>108</v>
      </c>
      <c r="U2" s="29" t="s">
        <v>109</v>
      </c>
      <c r="V2" s="29" t="s">
        <v>110</v>
      </c>
    </row>
    <row r="3" spans="1:22" x14ac:dyDescent="0.25">
      <c r="A3" s="92" t="s">
        <v>7</v>
      </c>
      <c r="B3" s="34">
        <v>100000000</v>
      </c>
      <c r="C3" s="34">
        <f>100000000/B3</f>
        <v>1</v>
      </c>
      <c r="D3" s="92" t="s">
        <v>111</v>
      </c>
      <c r="E3" s="6"/>
      <c r="F3">
        <v>85.152000000000001</v>
      </c>
      <c r="G3">
        <v>3.53</v>
      </c>
      <c r="H3">
        <v>29.51</v>
      </c>
      <c r="I3">
        <v>154.11000000000001</v>
      </c>
      <c r="J3">
        <v>300.58656000000002</v>
      </c>
      <c r="K3">
        <v>2512.8355200000001</v>
      </c>
      <c r="L3">
        <v>13122.774719999999</v>
      </c>
      <c r="M3">
        <v>264.82272</v>
      </c>
      <c r="N3">
        <v>2463.4473600000001</v>
      </c>
      <c r="O3">
        <v>5897.6275200000009</v>
      </c>
      <c r="P3" s="31">
        <f>$C3*M3</f>
        <v>264.82272</v>
      </c>
      <c r="Q3" s="32">
        <f>$C3*N3</f>
        <v>2463.4473600000001</v>
      </c>
      <c r="R3" s="32">
        <f>$C3*O3</f>
        <v>5897.6275200000009</v>
      </c>
      <c r="S3" s="117">
        <f>(F4-F3)/F3</f>
        <v>0.60059658023299523</v>
      </c>
      <c r="T3" s="118">
        <f>(P4-P3)/P3</f>
        <v>0.60059658023299511</v>
      </c>
      <c r="U3" s="118">
        <f>(Q4-Q3)/Q3</f>
        <v>0.58289208988821262</v>
      </c>
      <c r="V3" s="119">
        <f>(R4-R3)/R3</f>
        <v>0.59320138956486668</v>
      </c>
    </row>
    <row r="4" spans="1:22" x14ac:dyDescent="0.25">
      <c r="A4" s="92"/>
      <c r="B4" s="34">
        <v>100000000</v>
      </c>
      <c r="C4" s="34">
        <f t="shared" ref="C4:C67" si="0">100000000/B4</f>
        <v>1</v>
      </c>
      <c r="D4" s="92"/>
      <c r="E4" s="5" t="s">
        <v>118</v>
      </c>
      <c r="F4">
        <v>136.29400000000001</v>
      </c>
      <c r="G4">
        <v>3.53</v>
      </c>
      <c r="H4">
        <v>29.19</v>
      </c>
      <c r="I4">
        <v>153.79</v>
      </c>
      <c r="J4">
        <v>481.11781999999999</v>
      </c>
      <c r="K4">
        <v>3978.4218599999999</v>
      </c>
      <c r="L4">
        <v>20960.654259999999</v>
      </c>
      <c r="M4">
        <v>423.87434000000002</v>
      </c>
      <c r="N4">
        <v>3899.3713400000001</v>
      </c>
      <c r="O4">
        <v>9396.1083600000002</v>
      </c>
      <c r="P4" s="17">
        <f t="shared" ref="P4:P67" si="1">C4*M4</f>
        <v>423.87434000000002</v>
      </c>
      <c r="Q4" s="16">
        <f t="shared" ref="Q4:R67" si="2">$C4*N4</f>
        <v>3899.3713400000001</v>
      </c>
      <c r="R4" s="16">
        <f t="shared" si="2"/>
        <v>9396.1083600000002</v>
      </c>
      <c r="S4" s="93"/>
      <c r="T4" s="94"/>
      <c r="U4" s="94"/>
      <c r="V4" s="95"/>
    </row>
    <row r="5" spans="1:22" x14ac:dyDescent="0.25">
      <c r="A5" s="92"/>
      <c r="B5" s="34">
        <v>100000000</v>
      </c>
      <c r="C5" s="34">
        <f t="shared" si="0"/>
        <v>1</v>
      </c>
      <c r="D5" s="92" t="s">
        <v>114</v>
      </c>
      <c r="E5" s="6"/>
      <c r="F5">
        <v>47.722000000000001</v>
      </c>
      <c r="G5">
        <v>3.53</v>
      </c>
      <c r="H5">
        <v>29.64</v>
      </c>
      <c r="I5">
        <v>154.36000000000001</v>
      </c>
      <c r="J5">
        <v>168.45866000000001</v>
      </c>
      <c r="K5">
        <v>1414.48008</v>
      </c>
      <c r="L5">
        <v>7366.3679200000006</v>
      </c>
      <c r="M5">
        <v>148.41542000000001</v>
      </c>
      <c r="N5">
        <v>1386.80132</v>
      </c>
      <c r="O5">
        <v>3317.1562199999998</v>
      </c>
      <c r="P5" s="17">
        <f t="shared" si="1"/>
        <v>148.41542000000001</v>
      </c>
      <c r="Q5" s="16">
        <f t="shared" si="2"/>
        <v>1386.80132</v>
      </c>
      <c r="R5" s="16">
        <f t="shared" si="2"/>
        <v>3317.1562199999998</v>
      </c>
      <c r="S5" s="93">
        <f>(F6-F5)/F5</f>
        <v>-0.10318092284480951</v>
      </c>
      <c r="T5" s="94">
        <f>(P6-P5)/P5</f>
        <v>-0.10029726021730087</v>
      </c>
      <c r="U5" s="94">
        <f>(Q6-Q5)/Q5</f>
        <v>-0.13311604001069174</v>
      </c>
      <c r="V5" s="95">
        <f>(R6-R5)/R5</f>
        <v>-0.11505077683679305</v>
      </c>
    </row>
    <row r="6" spans="1:22" x14ac:dyDescent="0.25">
      <c r="A6" s="92"/>
      <c r="B6" s="34">
        <v>100000000</v>
      </c>
      <c r="C6" s="34">
        <f t="shared" si="0"/>
        <v>1</v>
      </c>
      <c r="D6" s="92"/>
      <c r="E6" s="5" t="s">
        <v>118</v>
      </c>
      <c r="F6">
        <v>42.798000000000002</v>
      </c>
      <c r="G6">
        <v>3.54</v>
      </c>
      <c r="H6">
        <v>28.67</v>
      </c>
      <c r="I6">
        <v>153.43</v>
      </c>
      <c r="J6">
        <v>151.50492</v>
      </c>
      <c r="K6">
        <v>1227.01866</v>
      </c>
      <c r="L6">
        <v>6566.4971400000004</v>
      </c>
      <c r="M6">
        <v>133.52976000000001</v>
      </c>
      <c r="N6">
        <v>1202.1958199999999</v>
      </c>
      <c r="O6">
        <v>2935.5148199999999</v>
      </c>
      <c r="P6" s="17">
        <f t="shared" si="1"/>
        <v>133.52976000000001</v>
      </c>
      <c r="Q6" s="16">
        <f t="shared" si="2"/>
        <v>1202.1958199999999</v>
      </c>
      <c r="R6" s="16">
        <f t="shared" si="2"/>
        <v>2935.5148199999999</v>
      </c>
      <c r="S6" s="93"/>
      <c r="T6" s="94"/>
      <c r="U6" s="94"/>
      <c r="V6" s="95"/>
    </row>
    <row r="7" spans="1:22" x14ac:dyDescent="0.25">
      <c r="A7" s="92" t="s">
        <v>9</v>
      </c>
      <c r="B7" s="34">
        <v>100000</v>
      </c>
      <c r="C7" s="34">
        <f t="shared" si="0"/>
        <v>1000</v>
      </c>
      <c r="D7" s="92" t="s">
        <v>111</v>
      </c>
      <c r="E7" s="6"/>
      <c r="F7">
        <v>5.6189999999999998</v>
      </c>
      <c r="G7">
        <v>3.52</v>
      </c>
      <c r="H7">
        <v>25.68</v>
      </c>
      <c r="I7">
        <v>147.24</v>
      </c>
      <c r="J7">
        <v>19.778880000000001</v>
      </c>
      <c r="K7">
        <v>144.29592</v>
      </c>
      <c r="L7">
        <v>827.34156000000007</v>
      </c>
      <c r="M7">
        <v>17.418900000000001</v>
      </c>
      <c r="N7">
        <v>141.0369</v>
      </c>
      <c r="O7">
        <v>347.36658</v>
      </c>
      <c r="P7" s="17">
        <f t="shared" si="1"/>
        <v>17418.900000000001</v>
      </c>
      <c r="Q7" s="16">
        <f t="shared" si="2"/>
        <v>141036.9</v>
      </c>
      <c r="R7" s="16">
        <f t="shared" si="2"/>
        <v>347366.58</v>
      </c>
      <c r="S7" s="93">
        <f>(F8-F7)/F7</f>
        <v>0.11514504360206447</v>
      </c>
      <c r="T7" s="94">
        <f>(P8-P7)/P7</f>
        <v>0.11874228567819993</v>
      </c>
      <c r="U7" s="94">
        <f>(Q8-Q7)/Q7</f>
        <v>0.18667426751438804</v>
      </c>
      <c r="V7" s="95">
        <f>(R8-R7)/R7</f>
        <v>0.21471800770241048</v>
      </c>
    </row>
    <row r="8" spans="1:22" x14ac:dyDescent="0.25">
      <c r="A8" s="92"/>
      <c r="B8" s="34">
        <v>100000</v>
      </c>
      <c r="C8" s="34">
        <f t="shared" si="0"/>
        <v>1000</v>
      </c>
      <c r="D8" s="92"/>
      <c r="E8" s="5" t="s">
        <v>118</v>
      </c>
      <c r="F8">
        <v>6.266</v>
      </c>
      <c r="G8">
        <v>3.53</v>
      </c>
      <c r="H8">
        <v>27.29</v>
      </c>
      <c r="I8">
        <v>152.75</v>
      </c>
      <c r="J8">
        <v>22.118980000000001</v>
      </c>
      <c r="K8">
        <v>170.99914000000001</v>
      </c>
      <c r="L8">
        <v>957.13149999999996</v>
      </c>
      <c r="M8">
        <v>19.487259999999999</v>
      </c>
      <c r="N8">
        <v>167.36485999999999</v>
      </c>
      <c r="O8">
        <v>421.95244000000002</v>
      </c>
      <c r="P8" s="17">
        <f t="shared" si="1"/>
        <v>19487.259999999998</v>
      </c>
      <c r="Q8" s="16">
        <f t="shared" si="2"/>
        <v>167364.85999999999</v>
      </c>
      <c r="R8" s="16">
        <f t="shared" si="2"/>
        <v>421952.44</v>
      </c>
      <c r="S8" s="93"/>
      <c r="T8" s="94"/>
      <c r="U8" s="94"/>
      <c r="V8" s="95"/>
    </row>
    <row r="9" spans="1:22" x14ac:dyDescent="0.25">
      <c r="A9" s="92"/>
      <c r="B9" s="34">
        <v>100000</v>
      </c>
      <c r="C9" s="34">
        <f t="shared" si="0"/>
        <v>1000</v>
      </c>
      <c r="D9" s="92" t="s">
        <v>114</v>
      </c>
      <c r="E9" s="6"/>
      <c r="F9">
        <v>5.2670000000000003</v>
      </c>
      <c r="G9">
        <v>3.53</v>
      </c>
      <c r="H9">
        <v>25.34</v>
      </c>
      <c r="I9">
        <v>146.57</v>
      </c>
      <c r="J9">
        <v>18.592510000000001</v>
      </c>
      <c r="K9">
        <v>133.46578</v>
      </c>
      <c r="L9">
        <v>771.98419000000001</v>
      </c>
      <c r="M9">
        <v>16.380369999999999</v>
      </c>
      <c r="N9">
        <v>130.41092</v>
      </c>
      <c r="O9">
        <v>322.12972000000002</v>
      </c>
      <c r="P9" s="17">
        <f t="shared" si="1"/>
        <v>16380.369999999999</v>
      </c>
      <c r="Q9" s="16">
        <f t="shared" si="2"/>
        <v>130410.92</v>
      </c>
      <c r="R9" s="16">
        <f t="shared" si="2"/>
        <v>322129.72000000003</v>
      </c>
      <c r="S9" s="93">
        <f>(F10-F9)/F9</f>
        <v>0.13119422821340418</v>
      </c>
      <c r="T9" s="94">
        <f>(P10-P9)/P9</f>
        <v>0.13483150868997468</v>
      </c>
      <c r="U9" s="94">
        <f>(Q10-Q9)/Q9</f>
        <v>0.2184551723122572</v>
      </c>
      <c r="V9" s="95">
        <f>(R10-R9)/R9</f>
        <v>0.20388215033372287</v>
      </c>
    </row>
    <row r="10" spans="1:22" x14ac:dyDescent="0.25">
      <c r="A10" s="92"/>
      <c r="B10" s="34">
        <v>100000</v>
      </c>
      <c r="C10" s="34">
        <f t="shared" si="0"/>
        <v>1000</v>
      </c>
      <c r="D10" s="92"/>
      <c r="E10" s="5" t="s">
        <v>118</v>
      </c>
      <c r="F10">
        <v>5.9580000000000002</v>
      </c>
      <c r="G10">
        <v>3.54</v>
      </c>
      <c r="H10">
        <v>27.25</v>
      </c>
      <c r="I10">
        <v>150.51</v>
      </c>
      <c r="J10">
        <v>21.09132</v>
      </c>
      <c r="K10">
        <v>162.35550000000001</v>
      </c>
      <c r="L10">
        <v>896.73857999999996</v>
      </c>
      <c r="M10">
        <v>18.58896</v>
      </c>
      <c r="N10">
        <v>158.89985999999999</v>
      </c>
      <c r="O10">
        <v>387.80622000000011</v>
      </c>
      <c r="P10" s="17">
        <f t="shared" si="1"/>
        <v>18588.96</v>
      </c>
      <c r="Q10" s="16">
        <f t="shared" si="2"/>
        <v>158899.85999999999</v>
      </c>
      <c r="R10" s="16">
        <f t="shared" si="2"/>
        <v>387806.22000000009</v>
      </c>
      <c r="S10" s="93"/>
      <c r="T10" s="94"/>
      <c r="U10" s="94"/>
      <c r="V10" s="95"/>
    </row>
    <row r="11" spans="1:22" x14ac:dyDescent="0.25">
      <c r="A11" s="92" t="s">
        <v>13</v>
      </c>
      <c r="B11" s="34">
        <v>100000000</v>
      </c>
      <c r="C11" s="34">
        <f t="shared" si="0"/>
        <v>1</v>
      </c>
      <c r="D11" s="92" t="s">
        <v>111</v>
      </c>
      <c r="E11" s="6"/>
      <c r="F11">
        <v>21.376000000000001</v>
      </c>
      <c r="G11">
        <v>3.5</v>
      </c>
      <c r="H11">
        <v>30.5</v>
      </c>
      <c r="I11">
        <v>155.66</v>
      </c>
      <c r="J11">
        <v>74.816000000000003</v>
      </c>
      <c r="K11">
        <v>651.96800000000007</v>
      </c>
      <c r="L11">
        <v>3327.38816</v>
      </c>
      <c r="M11">
        <v>65.838080000000005</v>
      </c>
      <c r="N11">
        <v>639.56992000000002</v>
      </c>
      <c r="O11">
        <v>1516.1996799999999</v>
      </c>
      <c r="P11" s="17">
        <f t="shared" si="1"/>
        <v>65.838080000000005</v>
      </c>
      <c r="Q11" s="16">
        <f t="shared" si="2"/>
        <v>639.56992000000002</v>
      </c>
      <c r="R11" s="16">
        <f t="shared" si="2"/>
        <v>1516.1996799999999</v>
      </c>
      <c r="S11" s="93">
        <f>(F12-F11)/F11</f>
        <v>-0.10310628742514973</v>
      </c>
      <c r="T11" s="94">
        <f>(P12-P11)/P11</f>
        <v>-9.7282302278559732E-2</v>
      </c>
      <c r="U11" s="94">
        <f>(Q12-Q11)/Q11</f>
        <v>-0.17265152182266486</v>
      </c>
      <c r="V11" s="95">
        <f>(R12-R11)/R11</f>
        <v>-0.15317958647768606</v>
      </c>
    </row>
    <row r="12" spans="1:22" x14ac:dyDescent="0.25">
      <c r="A12" s="92"/>
      <c r="B12" s="34">
        <v>100000000</v>
      </c>
      <c r="C12" s="34">
        <f t="shared" si="0"/>
        <v>1</v>
      </c>
      <c r="D12" s="92"/>
      <c r="E12" s="5" t="s">
        <v>118</v>
      </c>
      <c r="F12">
        <v>19.172000000000001</v>
      </c>
      <c r="G12">
        <v>3.52</v>
      </c>
      <c r="H12">
        <v>28.18</v>
      </c>
      <c r="I12">
        <v>151.69999999999999</v>
      </c>
      <c r="J12">
        <v>67.485439999999997</v>
      </c>
      <c r="K12">
        <v>540.26696000000004</v>
      </c>
      <c r="L12">
        <v>2908.3924000000002</v>
      </c>
      <c r="M12">
        <v>59.433200000000006</v>
      </c>
      <c r="N12">
        <v>529.1472</v>
      </c>
      <c r="O12">
        <v>1283.94884</v>
      </c>
      <c r="P12" s="17">
        <f t="shared" si="1"/>
        <v>59.433200000000006</v>
      </c>
      <c r="Q12" s="16">
        <f t="shared" si="2"/>
        <v>529.1472</v>
      </c>
      <c r="R12" s="16">
        <f t="shared" si="2"/>
        <v>1283.94884</v>
      </c>
      <c r="S12" s="93"/>
      <c r="T12" s="94"/>
      <c r="U12" s="94"/>
      <c r="V12" s="95"/>
    </row>
    <row r="13" spans="1:22" x14ac:dyDescent="0.25">
      <c r="A13" s="92"/>
      <c r="B13" s="34">
        <v>100000000</v>
      </c>
      <c r="C13" s="34">
        <f t="shared" si="0"/>
        <v>1</v>
      </c>
      <c r="D13" s="92" t="s">
        <v>114</v>
      </c>
      <c r="E13" s="6"/>
      <c r="F13">
        <v>15.071999999999999</v>
      </c>
      <c r="G13">
        <v>3.53</v>
      </c>
      <c r="H13">
        <v>29.56</v>
      </c>
      <c r="I13">
        <v>154.52000000000001</v>
      </c>
      <c r="J13">
        <v>53.204159999999987</v>
      </c>
      <c r="K13">
        <v>445.52832000000001</v>
      </c>
      <c r="L13">
        <v>2328.92544</v>
      </c>
      <c r="M13">
        <v>46.873919999999998</v>
      </c>
      <c r="N13">
        <v>436.78656000000001</v>
      </c>
      <c r="O13">
        <v>1051.8748800000001</v>
      </c>
      <c r="P13" s="17">
        <f>C13*M13</f>
        <v>46.873919999999998</v>
      </c>
      <c r="Q13" s="16">
        <f t="shared" si="2"/>
        <v>436.78656000000001</v>
      </c>
      <c r="R13" s="16">
        <f t="shared" si="2"/>
        <v>1051.8748800000001</v>
      </c>
      <c r="S13" s="93">
        <f>(F14-F13)/F13</f>
        <v>-0.22558386411889589</v>
      </c>
      <c r="T13" s="94">
        <f>(P14-P13)/P13</f>
        <v>-0.22807394815709886</v>
      </c>
      <c r="U13" s="94">
        <f>(Q14-Q13)/Q13</f>
        <v>-0.27689093730356545</v>
      </c>
      <c r="V13" s="95">
        <f>(R14-R13)/R13</f>
        <v>-0.28162056688719489</v>
      </c>
    </row>
    <row r="14" spans="1:22" x14ac:dyDescent="0.25">
      <c r="A14" s="92"/>
      <c r="B14" s="34">
        <v>100000000</v>
      </c>
      <c r="C14" s="34">
        <f t="shared" si="0"/>
        <v>1</v>
      </c>
      <c r="D14" s="92"/>
      <c r="E14" s="5" t="s">
        <v>118</v>
      </c>
      <c r="F14">
        <v>11.672000000000001</v>
      </c>
      <c r="G14">
        <v>3.52</v>
      </c>
      <c r="H14">
        <v>27.64</v>
      </c>
      <c r="I14">
        <v>149.47</v>
      </c>
      <c r="J14">
        <v>41.085440000000013</v>
      </c>
      <c r="K14">
        <v>322.61408</v>
      </c>
      <c r="L14">
        <v>1744.61384</v>
      </c>
      <c r="M14">
        <v>36.183199999999999</v>
      </c>
      <c r="N14">
        <v>315.84431999999998</v>
      </c>
      <c r="O14">
        <v>755.64527999999996</v>
      </c>
      <c r="P14" s="17">
        <f t="shared" si="1"/>
        <v>36.183199999999999</v>
      </c>
      <c r="Q14" s="16">
        <f t="shared" si="2"/>
        <v>315.84431999999998</v>
      </c>
      <c r="R14" s="16">
        <f t="shared" si="2"/>
        <v>755.64527999999996</v>
      </c>
      <c r="S14" s="93"/>
      <c r="T14" s="94"/>
      <c r="U14" s="94"/>
      <c r="V14" s="95"/>
    </row>
    <row r="15" spans="1:22" x14ac:dyDescent="0.25">
      <c r="A15" s="92" t="s">
        <v>15</v>
      </c>
      <c r="B15" s="34">
        <v>100000000</v>
      </c>
      <c r="C15" s="34">
        <f t="shared" si="0"/>
        <v>1</v>
      </c>
      <c r="D15" s="92" t="s">
        <v>111</v>
      </c>
      <c r="E15" s="6"/>
      <c r="F15">
        <v>24.300999999999998</v>
      </c>
      <c r="G15">
        <v>3.49</v>
      </c>
      <c r="H15">
        <v>26.4</v>
      </c>
      <c r="I15">
        <v>146.41</v>
      </c>
      <c r="J15">
        <v>84.810490000000001</v>
      </c>
      <c r="K15">
        <v>641.54639999999995</v>
      </c>
      <c r="L15">
        <v>3557.9094100000002</v>
      </c>
      <c r="M15">
        <v>74.604069999999993</v>
      </c>
      <c r="N15">
        <v>627.45182</v>
      </c>
      <c r="O15">
        <v>1506.4189899999999</v>
      </c>
      <c r="P15" s="17">
        <f t="shared" si="1"/>
        <v>74.604069999999993</v>
      </c>
      <c r="Q15" s="16">
        <f t="shared" si="2"/>
        <v>627.45182</v>
      </c>
      <c r="R15" s="16">
        <f t="shared" si="2"/>
        <v>1506.4189899999999</v>
      </c>
      <c r="S15" s="93">
        <f>(F16-F15)/F15</f>
        <v>-0.25928974116291503</v>
      </c>
      <c r="T15" s="94">
        <f>(P16-P15)/P15</f>
        <v>-0.25687700416344572</v>
      </c>
      <c r="U15" s="94">
        <f>(Q16-Q15)/Q15</f>
        <v>-0.26359286040480351</v>
      </c>
      <c r="V15" s="95">
        <f>(R16-R15)/R15</f>
        <v>-0.25570508109433743</v>
      </c>
    </row>
    <row r="16" spans="1:22" x14ac:dyDescent="0.25">
      <c r="A16" s="92"/>
      <c r="B16" s="34">
        <v>100000000</v>
      </c>
      <c r="C16" s="34">
        <f t="shared" si="0"/>
        <v>1</v>
      </c>
      <c r="D16" s="92"/>
      <c r="E16" s="5" t="s">
        <v>118</v>
      </c>
      <c r="F16">
        <v>18</v>
      </c>
      <c r="G16">
        <v>3.5</v>
      </c>
      <c r="H16">
        <v>26.25</v>
      </c>
      <c r="I16">
        <v>146.72</v>
      </c>
      <c r="J16">
        <v>63</v>
      </c>
      <c r="K16">
        <v>472.5</v>
      </c>
      <c r="L16">
        <v>2640.96</v>
      </c>
      <c r="M16">
        <v>55.44</v>
      </c>
      <c r="N16">
        <v>462.06000000000012</v>
      </c>
      <c r="O16">
        <v>1121.22</v>
      </c>
      <c r="P16" s="17">
        <f t="shared" si="1"/>
        <v>55.44</v>
      </c>
      <c r="Q16" s="16">
        <f t="shared" si="2"/>
        <v>462.06000000000012</v>
      </c>
      <c r="R16" s="16">
        <f t="shared" si="2"/>
        <v>1121.22</v>
      </c>
      <c r="S16" s="93"/>
      <c r="T16" s="94"/>
      <c r="U16" s="94"/>
      <c r="V16" s="95"/>
    </row>
    <row r="17" spans="1:22" x14ac:dyDescent="0.25">
      <c r="A17" s="92"/>
      <c r="B17" s="34">
        <v>100000000</v>
      </c>
      <c r="C17" s="34">
        <f t="shared" si="0"/>
        <v>1</v>
      </c>
      <c r="D17" s="92" t="s">
        <v>114</v>
      </c>
      <c r="E17" s="6"/>
      <c r="F17">
        <v>7.1150000000000002</v>
      </c>
      <c r="G17">
        <v>3.5</v>
      </c>
      <c r="H17">
        <v>26.15</v>
      </c>
      <c r="I17">
        <v>147.13999999999999</v>
      </c>
      <c r="J17">
        <v>24.9025</v>
      </c>
      <c r="K17">
        <v>186.05725000000001</v>
      </c>
      <c r="L17">
        <v>1046.9011</v>
      </c>
      <c r="M17">
        <v>21.914200000000001</v>
      </c>
      <c r="N17">
        <v>181.93055000000001</v>
      </c>
      <c r="O17">
        <v>446.25279999999998</v>
      </c>
      <c r="P17" s="17">
        <f t="shared" si="1"/>
        <v>21.914200000000001</v>
      </c>
      <c r="Q17" s="16">
        <f t="shared" si="2"/>
        <v>181.93055000000001</v>
      </c>
      <c r="R17" s="16">
        <f t="shared" si="2"/>
        <v>446.25279999999998</v>
      </c>
      <c r="S17" s="93">
        <f>(F18-F17)/F17</f>
        <v>0.14546732255797612</v>
      </c>
      <c r="T17" s="94">
        <f>(P18-P17)/P17</f>
        <v>0.15290542205510579</v>
      </c>
      <c r="U17" s="94">
        <f>(Q18-Q17)/Q17</f>
        <v>0.1750335498903289</v>
      </c>
      <c r="V17" s="95">
        <f>(R18-R17)/R17</f>
        <v>0.17852369777847918</v>
      </c>
    </row>
    <row r="18" spans="1:22" x14ac:dyDescent="0.25">
      <c r="A18" s="92"/>
      <c r="B18" s="34">
        <v>100000000</v>
      </c>
      <c r="C18" s="34">
        <f t="shared" si="0"/>
        <v>1</v>
      </c>
      <c r="D18" s="92"/>
      <c r="E18" s="5" t="s">
        <v>118</v>
      </c>
      <c r="F18">
        <v>8.15</v>
      </c>
      <c r="G18">
        <v>3.52</v>
      </c>
      <c r="H18">
        <v>26.81</v>
      </c>
      <c r="I18">
        <v>148.96</v>
      </c>
      <c r="J18">
        <v>28.687999999999999</v>
      </c>
      <c r="K18">
        <v>218.50149999999999</v>
      </c>
      <c r="L18">
        <v>1214.0239999999999</v>
      </c>
      <c r="M18">
        <v>25.265000000000001</v>
      </c>
      <c r="N18">
        <v>213.77449999999999</v>
      </c>
      <c r="O18">
        <v>525.91950000000008</v>
      </c>
      <c r="P18" s="17">
        <f t="shared" si="1"/>
        <v>25.265000000000001</v>
      </c>
      <c r="Q18" s="16">
        <f t="shared" si="2"/>
        <v>213.77449999999999</v>
      </c>
      <c r="R18" s="16">
        <f t="shared" si="2"/>
        <v>525.91950000000008</v>
      </c>
      <c r="S18" s="93"/>
      <c r="T18" s="94"/>
      <c r="U18" s="94"/>
      <c r="V18" s="95"/>
    </row>
    <row r="19" spans="1:22" x14ac:dyDescent="0.25">
      <c r="A19" s="92" t="s">
        <v>17</v>
      </c>
      <c r="B19" s="34">
        <v>100000000</v>
      </c>
      <c r="C19" s="34">
        <f t="shared" si="0"/>
        <v>1</v>
      </c>
      <c r="D19" s="92" t="s">
        <v>111</v>
      </c>
      <c r="E19" s="6"/>
      <c r="F19">
        <v>6.0209999999999999</v>
      </c>
      <c r="G19">
        <v>3.5</v>
      </c>
      <c r="H19">
        <v>27.76</v>
      </c>
      <c r="I19">
        <v>154.59</v>
      </c>
      <c r="J19">
        <v>21.073499999999999</v>
      </c>
      <c r="K19">
        <v>167.14295999999999</v>
      </c>
      <c r="L19">
        <v>930.78638999999998</v>
      </c>
      <c r="M19">
        <v>18.54468</v>
      </c>
      <c r="N19">
        <v>163.65078</v>
      </c>
      <c r="O19">
        <v>431.28422999999998</v>
      </c>
      <c r="P19" s="17">
        <f t="shared" si="1"/>
        <v>18.54468</v>
      </c>
      <c r="Q19" s="16">
        <f t="shared" si="2"/>
        <v>163.65078</v>
      </c>
      <c r="R19" s="16">
        <f t="shared" si="2"/>
        <v>431.28422999999998</v>
      </c>
      <c r="S19" s="93">
        <f>(F20-F19)/F19</f>
        <v>-0.48978574987543594</v>
      </c>
      <c r="T19" s="94">
        <f>(P20-P19)/P19</f>
        <v>-0.48150305100977753</v>
      </c>
      <c r="U19" s="94">
        <f>(Q20-Q19)/Q19</f>
        <v>-0.55942868099987053</v>
      </c>
      <c r="V19" s="95">
        <f>(R20-R19)/R19</f>
        <v>-0.53430395542169484</v>
      </c>
    </row>
    <row r="20" spans="1:22" x14ac:dyDescent="0.25">
      <c r="A20" s="92"/>
      <c r="B20" s="34">
        <v>100000000</v>
      </c>
      <c r="C20" s="34">
        <f t="shared" si="0"/>
        <v>1</v>
      </c>
      <c r="D20" s="92"/>
      <c r="E20" s="5" t="s">
        <v>118</v>
      </c>
      <c r="F20">
        <v>3.0720000000000001</v>
      </c>
      <c r="G20">
        <v>3.55</v>
      </c>
      <c r="H20">
        <v>24.05</v>
      </c>
      <c r="I20">
        <v>148.34</v>
      </c>
      <c r="J20">
        <v>10.9056</v>
      </c>
      <c r="K20">
        <v>73.881600000000006</v>
      </c>
      <c r="L20">
        <v>455.70048000000003</v>
      </c>
      <c r="M20">
        <v>9.615359999999999</v>
      </c>
      <c r="N20">
        <v>72.09984</v>
      </c>
      <c r="O20">
        <v>200.84736000000001</v>
      </c>
      <c r="P20" s="17">
        <f t="shared" si="1"/>
        <v>9.615359999999999</v>
      </c>
      <c r="Q20" s="16">
        <f t="shared" si="2"/>
        <v>72.09984</v>
      </c>
      <c r="R20" s="16">
        <f t="shared" si="2"/>
        <v>200.84736000000001</v>
      </c>
      <c r="S20" s="93"/>
      <c r="T20" s="94"/>
      <c r="U20" s="94"/>
      <c r="V20" s="95"/>
    </row>
    <row r="21" spans="1:22" x14ac:dyDescent="0.25">
      <c r="A21" s="92"/>
      <c r="B21" s="34">
        <v>100000000</v>
      </c>
      <c r="C21" s="34">
        <f t="shared" si="0"/>
        <v>1</v>
      </c>
      <c r="D21" s="92" t="s">
        <v>114</v>
      </c>
      <c r="E21" s="6"/>
      <c r="F21">
        <v>4.4039999999999999</v>
      </c>
      <c r="G21">
        <v>3.53</v>
      </c>
      <c r="H21">
        <v>25.93</v>
      </c>
      <c r="I21">
        <v>148.46</v>
      </c>
      <c r="J21">
        <v>15.54612</v>
      </c>
      <c r="K21">
        <v>114.19571999999999</v>
      </c>
      <c r="L21">
        <v>653.81784000000005</v>
      </c>
      <c r="M21">
        <v>13.696440000000001</v>
      </c>
      <c r="N21">
        <v>111.6414</v>
      </c>
      <c r="O21">
        <v>288.50603999999998</v>
      </c>
      <c r="P21" s="17">
        <f t="shared" si="1"/>
        <v>13.696440000000001</v>
      </c>
      <c r="Q21" s="16">
        <f t="shared" si="2"/>
        <v>111.6414</v>
      </c>
      <c r="R21" s="16">
        <f t="shared" si="2"/>
        <v>288.50603999999998</v>
      </c>
      <c r="S21" s="93">
        <f>(F22-F21)/F21</f>
        <v>-0.48274296094459579</v>
      </c>
      <c r="T21" s="94">
        <f>(P22-P21)/P21</f>
        <v>-0.47775334320451157</v>
      </c>
      <c r="U21" s="94">
        <f>(Q22-Q21)/Q21</f>
        <v>-0.53191808773447846</v>
      </c>
      <c r="V21" s="95">
        <f>(R22-R21)/R21</f>
        <v>-0.5006665371719774</v>
      </c>
    </row>
    <row r="22" spans="1:22" x14ac:dyDescent="0.25">
      <c r="A22" s="92"/>
      <c r="B22" s="34">
        <v>100000000</v>
      </c>
      <c r="C22" s="34">
        <f t="shared" si="0"/>
        <v>1</v>
      </c>
      <c r="D22" s="92"/>
      <c r="E22" s="5" t="s">
        <v>118</v>
      </c>
      <c r="F22">
        <v>2.278</v>
      </c>
      <c r="G22">
        <v>3.56</v>
      </c>
      <c r="H22">
        <v>23.52</v>
      </c>
      <c r="I22">
        <v>146.19</v>
      </c>
      <c r="J22">
        <v>8.1096800000000009</v>
      </c>
      <c r="K22">
        <v>53.578560000000003</v>
      </c>
      <c r="L22">
        <v>333.02082000000001</v>
      </c>
      <c r="M22">
        <v>7.1529199999999999</v>
      </c>
      <c r="N22">
        <v>52.25732</v>
      </c>
      <c r="O22">
        <v>144.06072</v>
      </c>
      <c r="P22" s="17">
        <f t="shared" si="1"/>
        <v>7.1529199999999999</v>
      </c>
      <c r="Q22" s="16">
        <f t="shared" si="2"/>
        <v>52.25732</v>
      </c>
      <c r="R22" s="16">
        <f t="shared" si="2"/>
        <v>144.06072</v>
      </c>
      <c r="S22" s="93"/>
      <c r="T22" s="94"/>
      <c r="U22" s="94"/>
      <c r="V22" s="95"/>
    </row>
    <row r="23" spans="1:22" x14ac:dyDescent="0.25">
      <c r="A23" s="92" t="s">
        <v>19</v>
      </c>
      <c r="B23" s="34">
        <v>100000000</v>
      </c>
      <c r="C23" s="34">
        <f t="shared" si="0"/>
        <v>1</v>
      </c>
      <c r="D23" s="92" t="s">
        <v>111</v>
      </c>
      <c r="E23" s="6"/>
      <c r="F23">
        <v>24.738</v>
      </c>
      <c r="G23">
        <v>3.57</v>
      </c>
      <c r="H23">
        <v>30.06</v>
      </c>
      <c r="I23">
        <v>154.29</v>
      </c>
      <c r="J23">
        <v>88.314659999999989</v>
      </c>
      <c r="K23">
        <v>743.62428</v>
      </c>
      <c r="L23">
        <v>3816.82602</v>
      </c>
      <c r="M23">
        <v>77.924700000000001</v>
      </c>
      <c r="N23">
        <v>729.27624000000003</v>
      </c>
      <c r="O23">
        <v>1697.2741799999999</v>
      </c>
      <c r="P23" s="17">
        <f t="shared" si="1"/>
        <v>77.924700000000001</v>
      </c>
      <c r="Q23" s="16">
        <f t="shared" si="2"/>
        <v>729.27624000000003</v>
      </c>
      <c r="R23" s="16">
        <f t="shared" si="2"/>
        <v>1697.2741799999999</v>
      </c>
      <c r="S23" s="93">
        <f>(F24-F23)/F23</f>
        <v>-0.45031934675398166</v>
      </c>
      <c r="T23" s="94">
        <f>(P24-P23)/P23</f>
        <v>-0.45904443648804555</v>
      </c>
      <c r="U23" s="94">
        <f>(Q24-Q23)/Q23</f>
        <v>-0.46896523051402306</v>
      </c>
      <c r="V23" s="95">
        <f>(R24-R23)/R23</f>
        <v>-0.45744973272379591</v>
      </c>
    </row>
    <row r="24" spans="1:22" x14ac:dyDescent="0.25">
      <c r="A24" s="92"/>
      <c r="B24" s="34">
        <v>100000000</v>
      </c>
      <c r="C24" s="34">
        <f t="shared" si="0"/>
        <v>1</v>
      </c>
      <c r="D24" s="92"/>
      <c r="E24" s="5" t="s">
        <v>118</v>
      </c>
      <c r="F24">
        <v>13.598000000000001</v>
      </c>
      <c r="G24">
        <v>3.52</v>
      </c>
      <c r="H24">
        <v>29.06</v>
      </c>
      <c r="I24">
        <v>153.4</v>
      </c>
      <c r="J24">
        <v>47.864960000000004</v>
      </c>
      <c r="K24">
        <v>395.15787999999998</v>
      </c>
      <c r="L24">
        <v>2085.9331999999999</v>
      </c>
      <c r="M24">
        <v>42.153799999999997</v>
      </c>
      <c r="N24">
        <v>387.27104000000003</v>
      </c>
      <c r="O24">
        <v>920.85656000000006</v>
      </c>
      <c r="P24" s="17">
        <f t="shared" si="1"/>
        <v>42.153799999999997</v>
      </c>
      <c r="Q24" s="16">
        <f t="shared" si="2"/>
        <v>387.27104000000003</v>
      </c>
      <c r="R24" s="16">
        <f t="shared" si="2"/>
        <v>920.85656000000006</v>
      </c>
      <c r="S24" s="93"/>
      <c r="T24" s="94"/>
      <c r="U24" s="94"/>
      <c r="V24" s="95"/>
    </row>
    <row r="25" spans="1:22" x14ac:dyDescent="0.25">
      <c r="A25" s="92"/>
      <c r="B25" s="34">
        <v>100000000</v>
      </c>
      <c r="C25" s="34">
        <f t="shared" si="0"/>
        <v>1</v>
      </c>
      <c r="D25" s="92" t="s">
        <v>114</v>
      </c>
      <c r="E25" s="6"/>
      <c r="F25">
        <v>12.741</v>
      </c>
      <c r="G25">
        <v>3.52</v>
      </c>
      <c r="H25">
        <v>28.86</v>
      </c>
      <c r="I25">
        <v>152.53</v>
      </c>
      <c r="J25">
        <v>44.848320000000001</v>
      </c>
      <c r="K25">
        <v>367.70526000000001</v>
      </c>
      <c r="L25">
        <v>1943.38473</v>
      </c>
      <c r="M25">
        <v>39.497100000000003</v>
      </c>
      <c r="N25">
        <v>360.31547999999998</v>
      </c>
      <c r="O25">
        <v>851.86325999999997</v>
      </c>
      <c r="P25" s="17">
        <f t="shared" si="1"/>
        <v>39.497100000000003</v>
      </c>
      <c r="Q25" s="16">
        <f t="shared" si="2"/>
        <v>360.31547999999998</v>
      </c>
      <c r="R25" s="16">
        <f t="shared" si="2"/>
        <v>851.86325999999997</v>
      </c>
      <c r="S25" s="93">
        <f>(F26-F25)/F25</f>
        <v>-0.62718781885252339</v>
      </c>
      <c r="T25" s="94">
        <f>(P26-P25)/P25</f>
        <v>-0.62357995903496721</v>
      </c>
      <c r="U25" s="94">
        <f>(Q26-Q25)/Q25</f>
        <v>-0.68268779348586417</v>
      </c>
      <c r="V25" s="95">
        <f>(R26-R25)/R25</f>
        <v>-0.66187061524404744</v>
      </c>
    </row>
    <row r="26" spans="1:22" x14ac:dyDescent="0.25">
      <c r="A26" s="92"/>
      <c r="B26" s="34">
        <v>100000000</v>
      </c>
      <c r="C26" s="34">
        <f t="shared" si="0"/>
        <v>1</v>
      </c>
      <c r="D26" s="92"/>
      <c r="E26" s="5" t="s">
        <v>118</v>
      </c>
      <c r="F26">
        <v>4.75</v>
      </c>
      <c r="G26">
        <v>3.55</v>
      </c>
      <c r="H26">
        <v>24.65</v>
      </c>
      <c r="I26">
        <v>146.31</v>
      </c>
      <c r="J26">
        <v>16.862500000000001</v>
      </c>
      <c r="K26">
        <v>117.08750000000001</v>
      </c>
      <c r="L26">
        <v>694.97249999999997</v>
      </c>
      <c r="M26">
        <v>14.8675</v>
      </c>
      <c r="N26">
        <v>114.3325</v>
      </c>
      <c r="O26">
        <v>288.04000000000002</v>
      </c>
      <c r="P26" s="17">
        <f t="shared" si="1"/>
        <v>14.8675</v>
      </c>
      <c r="Q26" s="16">
        <f t="shared" si="2"/>
        <v>114.3325</v>
      </c>
      <c r="R26" s="16">
        <f t="shared" si="2"/>
        <v>288.04000000000002</v>
      </c>
      <c r="S26" s="93"/>
      <c r="T26" s="94"/>
      <c r="U26" s="94"/>
      <c r="V26" s="95"/>
    </row>
    <row r="27" spans="1:22" x14ac:dyDescent="0.25">
      <c r="A27" s="92" t="s">
        <v>21</v>
      </c>
      <c r="B27" s="34">
        <v>100000000</v>
      </c>
      <c r="C27" s="34">
        <f t="shared" si="0"/>
        <v>1</v>
      </c>
      <c r="D27" s="92" t="s">
        <v>111</v>
      </c>
      <c r="E27" s="6"/>
      <c r="F27">
        <v>37.828000000000003</v>
      </c>
      <c r="G27">
        <v>3.53</v>
      </c>
      <c r="H27">
        <v>29.23</v>
      </c>
      <c r="I27">
        <v>153.68</v>
      </c>
      <c r="J27">
        <v>133.53283999999999</v>
      </c>
      <c r="K27">
        <v>1105.71244</v>
      </c>
      <c r="L27">
        <v>5813.407040000001</v>
      </c>
      <c r="M27">
        <v>117.64507999999999</v>
      </c>
      <c r="N27">
        <v>1083.7722000000001</v>
      </c>
      <c r="O27">
        <v>2551.12032</v>
      </c>
      <c r="P27" s="17">
        <f t="shared" si="1"/>
        <v>117.64507999999999</v>
      </c>
      <c r="Q27" s="16">
        <f t="shared" si="2"/>
        <v>1083.7722000000001</v>
      </c>
      <c r="R27" s="16">
        <f t="shared" si="2"/>
        <v>2551.12032</v>
      </c>
      <c r="S27" s="93">
        <f>(F28-F27)/F27</f>
        <v>-9.7890451517394589E-2</v>
      </c>
      <c r="T27" s="94">
        <f>(P28-P27)/P27</f>
        <v>-9.2089103938728184E-2</v>
      </c>
      <c r="U27" s="94">
        <f>(Q28-Q27)/Q27</f>
        <v>-0.1170976705252267</v>
      </c>
      <c r="V27" s="95">
        <f>(R28-R27)/R27</f>
        <v>-0.11260457523226503</v>
      </c>
    </row>
    <row r="28" spans="1:22" x14ac:dyDescent="0.25">
      <c r="A28" s="92"/>
      <c r="B28" s="34">
        <v>100000000</v>
      </c>
      <c r="C28" s="34">
        <f t="shared" si="0"/>
        <v>1</v>
      </c>
      <c r="D28" s="92"/>
      <c r="E28" s="5" t="s">
        <v>118</v>
      </c>
      <c r="F28">
        <v>34.125</v>
      </c>
      <c r="G28">
        <v>3.55</v>
      </c>
      <c r="H28">
        <v>28.62</v>
      </c>
      <c r="I28">
        <v>152.58000000000001</v>
      </c>
      <c r="J28">
        <v>121.14375</v>
      </c>
      <c r="K28">
        <v>976.65750000000003</v>
      </c>
      <c r="L28">
        <v>5206.7924999999996</v>
      </c>
      <c r="M28">
        <v>106.81125</v>
      </c>
      <c r="N28">
        <v>956.86500000000001</v>
      </c>
      <c r="O28">
        <v>2263.8525</v>
      </c>
      <c r="P28" s="17">
        <f t="shared" si="1"/>
        <v>106.81125</v>
      </c>
      <c r="Q28" s="16">
        <f t="shared" si="2"/>
        <v>956.86500000000001</v>
      </c>
      <c r="R28" s="16">
        <f t="shared" si="2"/>
        <v>2263.8525</v>
      </c>
      <c r="S28" s="93"/>
      <c r="T28" s="94"/>
      <c r="U28" s="94"/>
      <c r="V28" s="95"/>
    </row>
    <row r="29" spans="1:22" x14ac:dyDescent="0.25">
      <c r="A29" s="92"/>
      <c r="B29" s="34">
        <v>100000000</v>
      </c>
      <c r="C29" s="34">
        <f t="shared" si="0"/>
        <v>1</v>
      </c>
      <c r="D29" s="92" t="s">
        <v>114</v>
      </c>
      <c r="E29" s="6"/>
      <c r="F29">
        <v>28.798999999999999</v>
      </c>
      <c r="G29">
        <v>3.55</v>
      </c>
      <c r="H29">
        <v>29.4</v>
      </c>
      <c r="I29">
        <v>153.30000000000001</v>
      </c>
      <c r="J29">
        <v>102.23645</v>
      </c>
      <c r="K29">
        <v>846.6905999999999</v>
      </c>
      <c r="L29">
        <v>4414.8867</v>
      </c>
      <c r="M29">
        <v>90.140869999999993</v>
      </c>
      <c r="N29">
        <v>829.98717999999997</v>
      </c>
      <c r="O29">
        <v>1931.2609399999999</v>
      </c>
      <c r="P29" s="17">
        <f t="shared" si="1"/>
        <v>90.140869999999993</v>
      </c>
      <c r="Q29" s="16">
        <f t="shared" si="2"/>
        <v>829.98717999999997</v>
      </c>
      <c r="R29" s="16">
        <f t="shared" si="2"/>
        <v>1931.2609399999999</v>
      </c>
      <c r="S29" s="93">
        <f>(F30-F29)/F29</f>
        <v>-4.9897565887704477E-2</v>
      </c>
      <c r="T29" s="94">
        <f>(P30-P29)/P29</f>
        <v>-5.5968507958709557E-2</v>
      </c>
      <c r="U29" s="94">
        <f>(Q30-Q29)/Q29</f>
        <v>-8.2864340145591173E-2</v>
      </c>
      <c r="V29" s="95">
        <f>(R30-R29)/R29</f>
        <v>-7.5258188569795131E-2</v>
      </c>
    </row>
    <row r="30" spans="1:22" x14ac:dyDescent="0.25">
      <c r="A30" s="92"/>
      <c r="B30" s="34">
        <v>100000000</v>
      </c>
      <c r="C30" s="34">
        <f t="shared" si="0"/>
        <v>1</v>
      </c>
      <c r="D30" s="92"/>
      <c r="E30" s="5" t="s">
        <v>118</v>
      </c>
      <c r="F30">
        <v>27.361999999999998</v>
      </c>
      <c r="G30">
        <v>3.53</v>
      </c>
      <c r="H30">
        <v>28.4</v>
      </c>
      <c r="I30">
        <v>151.52000000000001</v>
      </c>
      <c r="J30">
        <v>96.587859999999992</v>
      </c>
      <c r="K30">
        <v>777.08079999999995</v>
      </c>
      <c r="L30">
        <v>4145.8902399999997</v>
      </c>
      <c r="M30">
        <v>85.095819999999989</v>
      </c>
      <c r="N30">
        <v>761.21083999999996</v>
      </c>
      <c r="O30">
        <v>1785.9177400000001</v>
      </c>
      <c r="P30" s="17">
        <f t="shared" si="1"/>
        <v>85.095819999999989</v>
      </c>
      <c r="Q30" s="16">
        <f t="shared" si="2"/>
        <v>761.21083999999996</v>
      </c>
      <c r="R30" s="16">
        <f t="shared" si="2"/>
        <v>1785.9177400000001</v>
      </c>
      <c r="S30" s="93"/>
      <c r="T30" s="94"/>
      <c r="U30" s="94"/>
      <c r="V30" s="95"/>
    </row>
    <row r="31" spans="1:22" x14ac:dyDescent="0.25">
      <c r="A31" s="92" t="s">
        <v>23</v>
      </c>
      <c r="B31" s="34">
        <v>100000000</v>
      </c>
      <c r="C31" s="34">
        <f t="shared" si="0"/>
        <v>1</v>
      </c>
      <c r="D31" s="92" t="s">
        <v>111</v>
      </c>
      <c r="E31" s="6"/>
      <c r="F31">
        <v>9.7210000000000001</v>
      </c>
      <c r="G31">
        <v>3.56</v>
      </c>
      <c r="H31">
        <v>26.71</v>
      </c>
      <c r="I31">
        <v>149.66999999999999</v>
      </c>
      <c r="J31">
        <v>34.606760000000001</v>
      </c>
      <c r="K31">
        <v>259.64791000000002</v>
      </c>
      <c r="L31">
        <v>1454.9420700000001</v>
      </c>
      <c r="M31">
        <v>30.52394</v>
      </c>
      <c r="N31">
        <v>254.00972999999999</v>
      </c>
      <c r="O31">
        <v>602.41036999999994</v>
      </c>
      <c r="P31" s="17">
        <f t="shared" si="1"/>
        <v>30.52394</v>
      </c>
      <c r="Q31" s="16">
        <f t="shared" si="2"/>
        <v>254.00972999999999</v>
      </c>
      <c r="R31" s="16">
        <f t="shared" si="2"/>
        <v>602.41036999999994</v>
      </c>
      <c r="S31" s="93">
        <f>(F32-F31)/F31</f>
        <v>-0.48287213249665673</v>
      </c>
      <c r="T31" s="94">
        <f>(P32-P31)/P31</f>
        <v>-0.48122522846002186</v>
      </c>
      <c r="U31" s="94">
        <f>(Q32-Q31)/Q31</f>
        <v>-0.50483967681080555</v>
      </c>
      <c r="V31" s="95">
        <f>(R32-R31)/R31</f>
        <v>-0.49255211194322562</v>
      </c>
    </row>
    <row r="32" spans="1:22" x14ac:dyDescent="0.25">
      <c r="A32" s="92"/>
      <c r="B32" s="34">
        <v>100000000</v>
      </c>
      <c r="C32" s="34">
        <f t="shared" si="0"/>
        <v>1</v>
      </c>
      <c r="D32" s="92"/>
      <c r="E32" s="5" t="s">
        <v>118</v>
      </c>
      <c r="F32">
        <v>5.0270000000000001</v>
      </c>
      <c r="G32">
        <v>3.57</v>
      </c>
      <c r="H32">
        <v>25.6</v>
      </c>
      <c r="I32">
        <v>148.51</v>
      </c>
      <c r="J32">
        <v>17.946390000000001</v>
      </c>
      <c r="K32">
        <v>128.69120000000001</v>
      </c>
      <c r="L32">
        <v>746.55976999999996</v>
      </c>
      <c r="M32">
        <v>15.835050000000001</v>
      </c>
      <c r="N32">
        <v>125.77554000000001</v>
      </c>
      <c r="O32">
        <v>305.69186999999999</v>
      </c>
      <c r="P32" s="17">
        <f t="shared" si="1"/>
        <v>15.835050000000001</v>
      </c>
      <c r="Q32" s="16">
        <f t="shared" si="2"/>
        <v>125.77554000000001</v>
      </c>
      <c r="R32" s="16">
        <f t="shared" si="2"/>
        <v>305.69186999999999</v>
      </c>
      <c r="S32" s="93"/>
      <c r="T32" s="94"/>
      <c r="U32" s="94"/>
      <c r="V32" s="95"/>
    </row>
    <row r="33" spans="1:22" x14ac:dyDescent="0.25">
      <c r="A33" s="92"/>
      <c r="B33" s="34">
        <v>100000000</v>
      </c>
      <c r="C33" s="34">
        <f t="shared" si="0"/>
        <v>1</v>
      </c>
      <c r="D33" s="92" t="s">
        <v>114</v>
      </c>
      <c r="E33" s="6"/>
      <c r="F33">
        <v>7.9390000000000001</v>
      </c>
      <c r="G33">
        <v>3.53</v>
      </c>
      <c r="H33">
        <v>26.43</v>
      </c>
      <c r="I33">
        <v>147.94</v>
      </c>
      <c r="J33">
        <v>28.02467</v>
      </c>
      <c r="K33">
        <v>209.82776999999999</v>
      </c>
      <c r="L33">
        <v>1174.49566</v>
      </c>
      <c r="M33">
        <v>24.690290000000001</v>
      </c>
      <c r="N33">
        <v>205.22315</v>
      </c>
      <c r="O33">
        <v>478.24536000000001</v>
      </c>
      <c r="P33" s="17">
        <f t="shared" si="1"/>
        <v>24.690290000000001</v>
      </c>
      <c r="Q33" s="16">
        <f t="shared" si="2"/>
        <v>205.22315</v>
      </c>
      <c r="R33" s="16">
        <f t="shared" si="2"/>
        <v>478.24536000000001</v>
      </c>
      <c r="S33" s="93">
        <f>(F34-F33)/F33</f>
        <v>-0.4746189696435319</v>
      </c>
      <c r="T33" s="94">
        <f>(P34-P33)/P33</f>
        <v>-0.46617232928410318</v>
      </c>
      <c r="U33" s="94">
        <f>(Q34-Q33)/Q33</f>
        <v>-0.49819506230169452</v>
      </c>
      <c r="V33" s="95">
        <f>(R34-R33)/R33</f>
        <v>-0.46301942166255416</v>
      </c>
    </row>
    <row r="34" spans="1:22" x14ac:dyDescent="0.25">
      <c r="A34" s="92"/>
      <c r="B34" s="34">
        <v>100000000</v>
      </c>
      <c r="C34" s="34">
        <f t="shared" si="0"/>
        <v>1</v>
      </c>
      <c r="D34" s="92"/>
      <c r="E34" s="5" t="s">
        <v>118</v>
      </c>
      <c r="F34">
        <v>4.1710000000000003</v>
      </c>
      <c r="G34">
        <v>3.58</v>
      </c>
      <c r="H34">
        <v>25.27</v>
      </c>
      <c r="I34">
        <v>149.27000000000001</v>
      </c>
      <c r="J34">
        <v>14.932180000000001</v>
      </c>
      <c r="K34">
        <v>105.40116999999999</v>
      </c>
      <c r="L34">
        <v>622.60517000000004</v>
      </c>
      <c r="M34">
        <v>13.18036</v>
      </c>
      <c r="N34">
        <v>102.98199</v>
      </c>
      <c r="O34">
        <v>256.80847</v>
      </c>
      <c r="P34" s="17">
        <f t="shared" si="1"/>
        <v>13.18036</v>
      </c>
      <c r="Q34" s="16">
        <f t="shared" si="2"/>
        <v>102.98199</v>
      </c>
      <c r="R34" s="16">
        <f t="shared" si="2"/>
        <v>256.80847</v>
      </c>
      <c r="S34" s="93"/>
      <c r="T34" s="94"/>
      <c r="U34" s="94"/>
      <c r="V34" s="95"/>
    </row>
    <row r="35" spans="1:22" x14ac:dyDescent="0.25">
      <c r="A35" s="92" t="s">
        <v>25</v>
      </c>
      <c r="B35" s="34">
        <v>100000000</v>
      </c>
      <c r="C35" s="34">
        <f t="shared" si="0"/>
        <v>1</v>
      </c>
      <c r="D35" s="92" t="s">
        <v>111</v>
      </c>
      <c r="E35" s="6"/>
      <c r="F35">
        <v>234.01599999999999</v>
      </c>
      <c r="G35">
        <v>3.48</v>
      </c>
      <c r="H35">
        <v>29.73</v>
      </c>
      <c r="I35">
        <v>153.97999999999999</v>
      </c>
      <c r="J35">
        <v>814.37567999999999</v>
      </c>
      <c r="K35">
        <v>6957.2956800000002</v>
      </c>
      <c r="L35">
        <v>36033.783679999993</v>
      </c>
      <c r="M35">
        <v>716.08895999999993</v>
      </c>
      <c r="N35">
        <v>6821.5663999999997</v>
      </c>
      <c r="O35">
        <v>16170.5056</v>
      </c>
      <c r="P35" s="17">
        <f t="shared" si="1"/>
        <v>716.08895999999993</v>
      </c>
      <c r="Q35" s="16">
        <f t="shared" si="2"/>
        <v>6821.5663999999997</v>
      </c>
      <c r="R35" s="16">
        <f t="shared" si="2"/>
        <v>16170.5056</v>
      </c>
      <c r="S35" s="93">
        <f>(F36-F35)/F35</f>
        <v>-0.55660296731847392</v>
      </c>
      <c r="T35" s="94">
        <f>(P36-P35)/P35</f>
        <v>-0.55080692767557815</v>
      </c>
      <c r="U35" s="94">
        <f>(Q36-Q35)/Q35</f>
        <v>-0.58383043519154187</v>
      </c>
      <c r="V35" s="95">
        <f>(R36-R35)/R35</f>
        <v>-0.579831581765755</v>
      </c>
    </row>
    <row r="36" spans="1:22" x14ac:dyDescent="0.25">
      <c r="A36" s="92"/>
      <c r="B36" s="34">
        <v>100000000</v>
      </c>
      <c r="C36" s="34">
        <f t="shared" si="0"/>
        <v>1</v>
      </c>
      <c r="D36" s="92"/>
      <c r="E36" s="5" t="s">
        <v>118</v>
      </c>
      <c r="F36">
        <v>103.762</v>
      </c>
      <c r="G36">
        <v>3.52</v>
      </c>
      <c r="H36">
        <v>27.94</v>
      </c>
      <c r="I36">
        <v>150.36000000000001</v>
      </c>
      <c r="J36">
        <v>365.24223999999998</v>
      </c>
      <c r="K36">
        <v>2899.1102799999999</v>
      </c>
      <c r="L36">
        <v>15601.65432</v>
      </c>
      <c r="M36">
        <v>321.66219999999998</v>
      </c>
      <c r="N36">
        <v>2838.92832</v>
      </c>
      <c r="O36">
        <v>6794.3357600000008</v>
      </c>
      <c r="P36" s="17">
        <f t="shared" si="1"/>
        <v>321.66219999999998</v>
      </c>
      <c r="Q36" s="16">
        <f t="shared" si="2"/>
        <v>2838.92832</v>
      </c>
      <c r="R36" s="16">
        <f t="shared" si="2"/>
        <v>6794.3357600000008</v>
      </c>
      <c r="S36" s="93"/>
      <c r="T36" s="94"/>
      <c r="U36" s="94"/>
      <c r="V36" s="95"/>
    </row>
    <row r="37" spans="1:22" x14ac:dyDescent="0.25">
      <c r="A37" s="92"/>
      <c r="B37" s="34">
        <v>100000000</v>
      </c>
      <c r="C37" s="34">
        <f t="shared" si="0"/>
        <v>1</v>
      </c>
      <c r="D37" s="92" t="s">
        <v>114</v>
      </c>
      <c r="E37" s="6"/>
      <c r="F37">
        <v>192.29300000000001</v>
      </c>
      <c r="G37">
        <v>3.5</v>
      </c>
      <c r="H37">
        <v>29.35</v>
      </c>
      <c r="I37">
        <v>153.78</v>
      </c>
      <c r="J37">
        <v>673.02549999999997</v>
      </c>
      <c r="K37">
        <v>5643.7995500000006</v>
      </c>
      <c r="L37">
        <v>29570.81754</v>
      </c>
      <c r="M37">
        <v>592.26244000000008</v>
      </c>
      <c r="N37">
        <v>5532.2696100000003</v>
      </c>
      <c r="O37">
        <v>13250.91063</v>
      </c>
      <c r="P37" s="17">
        <f t="shared" si="1"/>
        <v>592.26244000000008</v>
      </c>
      <c r="Q37" s="16">
        <f t="shared" si="2"/>
        <v>5532.2696100000003</v>
      </c>
      <c r="R37" s="16">
        <f t="shared" si="2"/>
        <v>13250.91063</v>
      </c>
      <c r="S37" s="93">
        <f>(F38-F37)/F37</f>
        <v>-0.47833774500371834</v>
      </c>
      <c r="T37" s="94">
        <f>(P38-P37)/P37</f>
        <v>-0.47325661914336492</v>
      </c>
      <c r="U37" s="94">
        <f>(Q38-Q37)/Q37</f>
        <v>-0.50553598561874857</v>
      </c>
      <c r="V37" s="95">
        <f>(R38-R37)/R37</f>
        <v>-0.5018810567587384</v>
      </c>
    </row>
    <row r="38" spans="1:22" x14ac:dyDescent="0.25">
      <c r="A38" s="92"/>
      <c r="B38" s="34">
        <v>100000000</v>
      </c>
      <c r="C38" s="34">
        <f t="shared" si="0"/>
        <v>1</v>
      </c>
      <c r="D38" s="92"/>
      <c r="E38" s="5" t="s">
        <v>118</v>
      </c>
      <c r="F38">
        <v>100.312</v>
      </c>
      <c r="G38">
        <v>3.53</v>
      </c>
      <c r="H38">
        <v>27.85</v>
      </c>
      <c r="I38">
        <v>150.68</v>
      </c>
      <c r="J38">
        <v>354.10136</v>
      </c>
      <c r="K38">
        <v>2793.6891999999998</v>
      </c>
      <c r="L38">
        <v>15115.01216</v>
      </c>
      <c r="M38">
        <v>311.97032000000002</v>
      </c>
      <c r="N38">
        <v>2735.5082400000001</v>
      </c>
      <c r="O38">
        <v>6600.5295999999998</v>
      </c>
      <c r="P38" s="17">
        <f t="shared" si="1"/>
        <v>311.97032000000002</v>
      </c>
      <c r="Q38" s="16">
        <f t="shared" si="2"/>
        <v>2735.5082400000001</v>
      </c>
      <c r="R38" s="16">
        <f t="shared" si="2"/>
        <v>6600.5295999999998</v>
      </c>
      <c r="S38" s="93"/>
      <c r="T38" s="94"/>
      <c r="U38" s="94"/>
      <c r="V38" s="95"/>
    </row>
    <row r="39" spans="1:22" x14ac:dyDescent="0.25">
      <c r="A39" s="92" t="s">
        <v>31</v>
      </c>
      <c r="B39" s="34">
        <v>100000000</v>
      </c>
      <c r="C39" s="34">
        <f t="shared" si="0"/>
        <v>1</v>
      </c>
      <c r="D39" s="92" t="s">
        <v>111</v>
      </c>
      <c r="E39" s="6"/>
      <c r="F39">
        <v>8.6389999999999993</v>
      </c>
      <c r="G39">
        <v>3.51</v>
      </c>
      <c r="H39">
        <v>26.38</v>
      </c>
      <c r="I39">
        <v>147.4</v>
      </c>
      <c r="J39">
        <v>30.322890000000001</v>
      </c>
      <c r="K39">
        <v>227.89681999999999</v>
      </c>
      <c r="L39">
        <v>1273.3886</v>
      </c>
      <c r="M39">
        <v>26.694510000000001</v>
      </c>
      <c r="N39">
        <v>222.8862</v>
      </c>
      <c r="O39">
        <v>525.07841999999994</v>
      </c>
      <c r="P39" s="17">
        <f t="shared" si="1"/>
        <v>26.694510000000001</v>
      </c>
      <c r="Q39" s="16">
        <f t="shared" si="2"/>
        <v>222.8862</v>
      </c>
      <c r="R39" s="16">
        <f t="shared" si="2"/>
        <v>525.07841999999994</v>
      </c>
      <c r="S39" s="93">
        <f>(F40-F39)/F39</f>
        <v>-0.49288112050005783</v>
      </c>
      <c r="T39" s="94">
        <f>(P40-P39)/P39</f>
        <v>-0.48631647481073831</v>
      </c>
      <c r="U39" s="94">
        <f>(Q40-Q39)/Q39</f>
        <v>-0.51234033331807893</v>
      </c>
      <c r="V39" s="95">
        <f>(R40-R39)/R39</f>
        <v>-0.47827996816170798</v>
      </c>
    </row>
    <row r="40" spans="1:22" x14ac:dyDescent="0.25">
      <c r="A40" s="92"/>
      <c r="B40" s="34">
        <v>100000000</v>
      </c>
      <c r="C40" s="34">
        <f t="shared" si="0"/>
        <v>1</v>
      </c>
      <c r="D40" s="92"/>
      <c r="E40" s="5" t="s">
        <v>118</v>
      </c>
      <c r="F40">
        <v>4.3810000000000002</v>
      </c>
      <c r="G40">
        <v>3.55</v>
      </c>
      <c r="H40">
        <v>25.39</v>
      </c>
      <c r="I40">
        <v>149.15</v>
      </c>
      <c r="J40">
        <v>15.55255</v>
      </c>
      <c r="K40">
        <v>111.23359000000001</v>
      </c>
      <c r="L40">
        <v>653.42615000000001</v>
      </c>
      <c r="M40">
        <v>13.712529999999999</v>
      </c>
      <c r="N40">
        <v>108.69261</v>
      </c>
      <c r="O40">
        <v>273.94393000000002</v>
      </c>
      <c r="P40" s="17">
        <f t="shared" si="1"/>
        <v>13.712529999999999</v>
      </c>
      <c r="Q40" s="16">
        <f t="shared" si="2"/>
        <v>108.69261</v>
      </c>
      <c r="R40" s="16">
        <f t="shared" si="2"/>
        <v>273.94393000000002</v>
      </c>
      <c r="S40" s="93"/>
      <c r="T40" s="94"/>
      <c r="U40" s="94"/>
      <c r="V40" s="95"/>
    </row>
    <row r="41" spans="1:22" x14ac:dyDescent="0.25">
      <c r="A41" s="92"/>
      <c r="B41" s="34">
        <v>100000000</v>
      </c>
      <c r="C41" s="34">
        <f t="shared" si="0"/>
        <v>1</v>
      </c>
      <c r="D41" s="92" t="s">
        <v>114</v>
      </c>
      <c r="E41" s="6"/>
      <c r="F41">
        <v>8.4600000000000009</v>
      </c>
      <c r="G41">
        <v>3.51</v>
      </c>
      <c r="H41">
        <v>26.75</v>
      </c>
      <c r="I41">
        <v>149.55000000000001</v>
      </c>
      <c r="J41">
        <v>29.694600000000001</v>
      </c>
      <c r="K41">
        <v>226.30500000000001</v>
      </c>
      <c r="L41">
        <v>1265.193</v>
      </c>
      <c r="M41">
        <v>26.141400000000001</v>
      </c>
      <c r="N41">
        <v>221.3982</v>
      </c>
      <c r="O41">
        <v>532.38780000000008</v>
      </c>
      <c r="P41" s="17">
        <f t="shared" si="1"/>
        <v>26.141400000000001</v>
      </c>
      <c r="Q41" s="16">
        <f t="shared" si="2"/>
        <v>221.3982</v>
      </c>
      <c r="R41" s="16">
        <f t="shared" si="2"/>
        <v>532.38780000000008</v>
      </c>
      <c r="S41" s="93">
        <f>(F42-F41)/F41</f>
        <v>-0.43664302600472821</v>
      </c>
      <c r="T41" s="94">
        <f>(P42-P41)/P41</f>
        <v>-0.43299670254844808</v>
      </c>
      <c r="U41" s="94">
        <f>(Q42-Q41)/Q41</f>
        <v>-0.46096833668927756</v>
      </c>
      <c r="V41" s="95">
        <f>(R42-R41)/R41</f>
        <v>-0.44478945610699583</v>
      </c>
    </row>
    <row r="42" spans="1:22" x14ac:dyDescent="0.25">
      <c r="A42" s="92"/>
      <c r="B42" s="34">
        <v>100000000</v>
      </c>
      <c r="C42" s="34">
        <f t="shared" si="0"/>
        <v>1</v>
      </c>
      <c r="D42" s="92"/>
      <c r="E42" s="5" t="s">
        <v>118</v>
      </c>
      <c r="F42">
        <v>4.766</v>
      </c>
      <c r="G42">
        <v>3.53</v>
      </c>
      <c r="H42">
        <v>25.62</v>
      </c>
      <c r="I42">
        <v>148.63999999999999</v>
      </c>
      <c r="J42">
        <v>16.823979999999999</v>
      </c>
      <c r="K42">
        <v>122.10492000000001</v>
      </c>
      <c r="L42">
        <v>708.41823999999997</v>
      </c>
      <c r="M42">
        <v>14.82226</v>
      </c>
      <c r="N42">
        <v>119.34063999999999</v>
      </c>
      <c r="O42">
        <v>295.58731999999998</v>
      </c>
      <c r="P42" s="17">
        <f t="shared" si="1"/>
        <v>14.82226</v>
      </c>
      <c r="Q42" s="16">
        <f t="shared" si="2"/>
        <v>119.34063999999999</v>
      </c>
      <c r="R42" s="16">
        <f t="shared" si="2"/>
        <v>295.58731999999998</v>
      </c>
      <c r="S42" s="93"/>
      <c r="T42" s="94"/>
      <c r="U42" s="94"/>
      <c r="V42" s="95"/>
    </row>
    <row r="43" spans="1:22" x14ac:dyDescent="0.25">
      <c r="A43" s="92" t="s">
        <v>33</v>
      </c>
      <c r="B43" s="34">
        <v>100000000</v>
      </c>
      <c r="C43" s="34">
        <f t="shared" si="0"/>
        <v>1</v>
      </c>
      <c r="D43" s="92" t="s">
        <v>111</v>
      </c>
      <c r="E43" s="6"/>
      <c r="F43">
        <v>8.1679999999999993</v>
      </c>
      <c r="G43">
        <v>3.52</v>
      </c>
      <c r="H43">
        <v>26.42</v>
      </c>
      <c r="I43">
        <v>147.22</v>
      </c>
      <c r="J43">
        <v>28.751359999999998</v>
      </c>
      <c r="K43">
        <v>215.79856000000001</v>
      </c>
      <c r="L43">
        <v>1202.49296</v>
      </c>
      <c r="M43">
        <v>25.320799999999998</v>
      </c>
      <c r="N43">
        <v>211.06111999999999</v>
      </c>
      <c r="O43">
        <v>518.01455999999996</v>
      </c>
      <c r="P43" s="17">
        <f t="shared" si="1"/>
        <v>25.320799999999998</v>
      </c>
      <c r="Q43" s="16">
        <f t="shared" si="2"/>
        <v>211.06111999999999</v>
      </c>
      <c r="R43" s="16">
        <f t="shared" si="2"/>
        <v>518.01455999999996</v>
      </c>
      <c r="S43" s="93">
        <f>(F44-F43)/F43</f>
        <v>-0.45727228207639564</v>
      </c>
      <c r="T43" s="94">
        <f>(P44-P43)/P43</f>
        <v>-0.45202007835455432</v>
      </c>
      <c r="U43" s="94">
        <f>(Q44-Q43)/Q43</f>
        <v>-0.47785560883975214</v>
      </c>
      <c r="V43" s="95">
        <f>(R44-R43)/R43</f>
        <v>-0.45906939372514932</v>
      </c>
    </row>
    <row r="44" spans="1:22" x14ac:dyDescent="0.25">
      <c r="A44" s="92"/>
      <c r="B44" s="34">
        <v>100000000</v>
      </c>
      <c r="C44" s="34">
        <f t="shared" si="0"/>
        <v>1</v>
      </c>
      <c r="D44" s="92"/>
      <c r="E44" s="5" t="s">
        <v>118</v>
      </c>
      <c r="F44">
        <v>4.4329999999999998</v>
      </c>
      <c r="G44">
        <v>3.55</v>
      </c>
      <c r="H44">
        <v>25.44</v>
      </c>
      <c r="I44">
        <v>147.01</v>
      </c>
      <c r="J44">
        <v>15.73715</v>
      </c>
      <c r="K44">
        <v>112.77552</v>
      </c>
      <c r="L44">
        <v>651.6953299999999</v>
      </c>
      <c r="M44">
        <v>13.87529</v>
      </c>
      <c r="N44">
        <v>110.20438</v>
      </c>
      <c r="O44">
        <v>280.20992999999999</v>
      </c>
      <c r="P44" s="17">
        <f t="shared" si="1"/>
        <v>13.87529</v>
      </c>
      <c r="Q44" s="16">
        <f t="shared" si="2"/>
        <v>110.20438</v>
      </c>
      <c r="R44" s="16">
        <f t="shared" si="2"/>
        <v>280.20992999999999</v>
      </c>
      <c r="S44" s="93"/>
      <c r="T44" s="94"/>
      <c r="U44" s="94"/>
      <c r="V44" s="95"/>
    </row>
    <row r="45" spans="1:22" x14ac:dyDescent="0.25">
      <c r="A45" s="92"/>
      <c r="B45" s="34">
        <v>100000000</v>
      </c>
      <c r="C45" s="34">
        <f t="shared" si="0"/>
        <v>1</v>
      </c>
      <c r="D45" s="92" t="s">
        <v>114</v>
      </c>
      <c r="E45" s="6"/>
      <c r="F45">
        <v>8.5630000000000006</v>
      </c>
      <c r="G45">
        <v>3.52</v>
      </c>
      <c r="H45">
        <v>26.32</v>
      </c>
      <c r="I45">
        <v>146.69999999999999</v>
      </c>
      <c r="J45">
        <v>30.141760000000001</v>
      </c>
      <c r="K45">
        <v>225.37816000000001</v>
      </c>
      <c r="L45">
        <v>1256.1921</v>
      </c>
      <c r="M45">
        <v>26.545300000000001</v>
      </c>
      <c r="N45">
        <v>220.41162</v>
      </c>
      <c r="O45">
        <v>538.61270000000002</v>
      </c>
      <c r="P45" s="17">
        <f t="shared" si="1"/>
        <v>26.545300000000001</v>
      </c>
      <c r="Q45" s="16">
        <f t="shared" si="2"/>
        <v>220.41162</v>
      </c>
      <c r="R45" s="16">
        <f t="shared" si="2"/>
        <v>538.61270000000002</v>
      </c>
      <c r="S45" s="93">
        <f>(F46-F45)/F45</f>
        <v>-0.42298259955623035</v>
      </c>
      <c r="T45" s="94">
        <f>(P46-P45)/P45</f>
        <v>-0.41739856019709709</v>
      </c>
      <c r="U45" s="94">
        <f>(Q46-Q45)/Q45</f>
        <v>-0.43508785970540031</v>
      </c>
      <c r="V45" s="95">
        <f>(R46-R45)/R45</f>
        <v>-0.40812142008534152</v>
      </c>
    </row>
    <row r="46" spans="1:22" x14ac:dyDescent="0.25">
      <c r="A46" s="92"/>
      <c r="B46" s="34">
        <v>100000000</v>
      </c>
      <c r="C46" s="34">
        <f t="shared" si="0"/>
        <v>1</v>
      </c>
      <c r="D46" s="92"/>
      <c r="E46" s="5" t="s">
        <v>118</v>
      </c>
      <c r="F46">
        <v>4.9409999999999998</v>
      </c>
      <c r="G46">
        <v>3.55</v>
      </c>
      <c r="H46">
        <v>25.78</v>
      </c>
      <c r="I46">
        <v>148.32</v>
      </c>
      <c r="J46">
        <v>17.54055</v>
      </c>
      <c r="K46">
        <v>127.37898</v>
      </c>
      <c r="L46">
        <v>732.84911999999997</v>
      </c>
      <c r="M46">
        <v>15.46533</v>
      </c>
      <c r="N46">
        <v>124.5132</v>
      </c>
      <c r="O46">
        <v>318.79331999999999</v>
      </c>
      <c r="P46" s="17">
        <f t="shared" si="1"/>
        <v>15.46533</v>
      </c>
      <c r="Q46" s="16">
        <f t="shared" si="2"/>
        <v>124.5132</v>
      </c>
      <c r="R46" s="16">
        <f t="shared" si="2"/>
        <v>318.79331999999999</v>
      </c>
      <c r="S46" s="93"/>
      <c r="T46" s="94"/>
      <c r="U46" s="94"/>
      <c r="V46" s="95"/>
    </row>
    <row r="47" spans="1:22" x14ac:dyDescent="0.25">
      <c r="A47" s="92" t="s">
        <v>37</v>
      </c>
      <c r="B47" s="34">
        <v>100000000</v>
      </c>
      <c r="C47" s="34">
        <f t="shared" si="0"/>
        <v>1</v>
      </c>
      <c r="D47" s="92" t="s">
        <v>111</v>
      </c>
      <c r="E47" s="6"/>
      <c r="F47">
        <v>128.31399999999999</v>
      </c>
      <c r="G47">
        <v>3.5</v>
      </c>
      <c r="H47">
        <v>28.32</v>
      </c>
      <c r="I47">
        <v>150.9</v>
      </c>
      <c r="J47">
        <v>449.09899999999999</v>
      </c>
      <c r="K47">
        <v>3633.85248</v>
      </c>
      <c r="L47">
        <v>19362.582600000002</v>
      </c>
      <c r="M47">
        <v>395.20711999999997</v>
      </c>
      <c r="N47">
        <v>3559.4303599999989</v>
      </c>
      <c r="O47">
        <v>8475.1396999999997</v>
      </c>
      <c r="P47" s="17">
        <f t="shared" si="1"/>
        <v>395.20711999999997</v>
      </c>
      <c r="Q47" s="16">
        <f t="shared" si="2"/>
        <v>3559.4303599999989</v>
      </c>
      <c r="R47" s="16">
        <f t="shared" si="2"/>
        <v>8475.1396999999997</v>
      </c>
      <c r="S47" s="93">
        <f>(F48-F47)/F47</f>
        <v>-4.3868946490640076E-2</v>
      </c>
      <c r="T47" s="94">
        <f>(P48-P47)/P47</f>
        <v>-4.0764624888336945E-2</v>
      </c>
      <c r="U47" s="94">
        <f>(Q48-Q47)/Q47</f>
        <v>-2.8703205194889354E-2</v>
      </c>
      <c r="V47" s="95">
        <f>(R48-R47)/R47</f>
        <v>-3.1130183022233662E-2</v>
      </c>
    </row>
    <row r="48" spans="1:22" x14ac:dyDescent="0.25">
      <c r="A48" s="92"/>
      <c r="B48" s="34">
        <v>100000000</v>
      </c>
      <c r="C48" s="34">
        <f t="shared" si="0"/>
        <v>1</v>
      </c>
      <c r="D48" s="92"/>
      <c r="E48" s="5" t="s">
        <v>118</v>
      </c>
      <c r="F48">
        <v>122.685</v>
      </c>
      <c r="G48">
        <v>3.51</v>
      </c>
      <c r="H48">
        <v>28.76</v>
      </c>
      <c r="I48">
        <v>151.77000000000001</v>
      </c>
      <c r="J48">
        <v>430.62434999999999</v>
      </c>
      <c r="K48">
        <v>3528.4205999999999</v>
      </c>
      <c r="L48">
        <v>18619.902450000001</v>
      </c>
      <c r="M48">
        <v>379.09665000000001</v>
      </c>
      <c r="N48">
        <v>3457.2633000000001</v>
      </c>
      <c r="O48">
        <v>8211.3070500000013</v>
      </c>
      <c r="P48" s="17">
        <f t="shared" si="1"/>
        <v>379.09665000000001</v>
      </c>
      <c r="Q48" s="16">
        <f t="shared" si="2"/>
        <v>3457.2633000000001</v>
      </c>
      <c r="R48" s="16">
        <f t="shared" si="2"/>
        <v>8211.3070500000013</v>
      </c>
      <c r="S48" s="93"/>
      <c r="T48" s="94"/>
      <c r="U48" s="94"/>
      <c r="V48" s="95"/>
    </row>
    <row r="49" spans="1:22" x14ac:dyDescent="0.25">
      <c r="A49" s="92"/>
      <c r="B49" s="34">
        <v>100000000</v>
      </c>
      <c r="C49" s="34">
        <f t="shared" si="0"/>
        <v>1</v>
      </c>
      <c r="D49" s="92" t="s">
        <v>114</v>
      </c>
      <c r="E49" s="6"/>
      <c r="F49">
        <v>132.50899999999999</v>
      </c>
      <c r="G49">
        <v>3.5</v>
      </c>
      <c r="H49">
        <v>28.34</v>
      </c>
      <c r="I49">
        <v>151.30000000000001</v>
      </c>
      <c r="J49">
        <v>463.78149999999988</v>
      </c>
      <c r="K49">
        <v>3755.3050600000001</v>
      </c>
      <c r="L49">
        <v>20048.611700000001</v>
      </c>
      <c r="M49">
        <v>408.12772000000001</v>
      </c>
      <c r="N49">
        <v>3678.4498400000002</v>
      </c>
      <c r="O49">
        <v>8806.548139999999</v>
      </c>
      <c r="P49" s="17">
        <f t="shared" si="1"/>
        <v>408.12772000000001</v>
      </c>
      <c r="Q49" s="16">
        <f t="shared" si="2"/>
        <v>3678.4498400000002</v>
      </c>
      <c r="R49" s="16">
        <f t="shared" si="2"/>
        <v>8806.548139999999</v>
      </c>
      <c r="S49" s="93">
        <f>(F50-F49)/F49</f>
        <v>-3.9287897425835147E-2</v>
      </c>
      <c r="T49" s="94">
        <f>(P50-P49)/P49</f>
        <v>-3.92878974258353E-2</v>
      </c>
      <c r="U49" s="94">
        <f>(Q50-Q49)/Q49</f>
        <v>-1.2293825379443016E-2</v>
      </c>
      <c r="V49" s="95">
        <f>(R50-R49)/R49</f>
        <v>-1.7170992265761909E-2</v>
      </c>
    </row>
    <row r="50" spans="1:22" x14ac:dyDescent="0.25">
      <c r="A50" s="92"/>
      <c r="B50" s="34">
        <v>100000000</v>
      </c>
      <c r="C50" s="34">
        <f t="shared" si="0"/>
        <v>1</v>
      </c>
      <c r="D50" s="92"/>
      <c r="E50" s="5" t="s">
        <v>118</v>
      </c>
      <c r="F50">
        <v>127.303</v>
      </c>
      <c r="G50">
        <v>3.5</v>
      </c>
      <c r="H50">
        <v>29.12</v>
      </c>
      <c r="I50">
        <v>152.84</v>
      </c>
      <c r="J50">
        <v>445.56049999999999</v>
      </c>
      <c r="K50">
        <v>3707.0633600000001</v>
      </c>
      <c r="L50">
        <v>19456.990519999999</v>
      </c>
      <c r="M50">
        <v>392.09323999999998</v>
      </c>
      <c r="N50">
        <v>3633.2276200000001</v>
      </c>
      <c r="O50">
        <v>8655.3309699999991</v>
      </c>
      <c r="P50" s="17">
        <f t="shared" si="1"/>
        <v>392.09323999999998</v>
      </c>
      <c r="Q50" s="16">
        <f t="shared" si="2"/>
        <v>3633.2276200000001</v>
      </c>
      <c r="R50" s="16">
        <f t="shared" si="2"/>
        <v>8655.3309699999991</v>
      </c>
      <c r="S50" s="93"/>
      <c r="T50" s="94"/>
      <c r="U50" s="94"/>
      <c r="V50" s="95"/>
    </row>
    <row r="51" spans="1:22" x14ac:dyDescent="0.25">
      <c r="A51" s="92" t="s">
        <v>39</v>
      </c>
      <c r="B51" s="34">
        <v>100000000</v>
      </c>
      <c r="C51" s="34">
        <f t="shared" si="0"/>
        <v>1</v>
      </c>
      <c r="D51" s="92" t="s">
        <v>111</v>
      </c>
      <c r="E51" s="6"/>
      <c r="F51">
        <v>69.498999999999995</v>
      </c>
      <c r="G51">
        <v>3.5</v>
      </c>
      <c r="H51">
        <v>28.63</v>
      </c>
      <c r="I51">
        <v>151.69999999999999</v>
      </c>
      <c r="J51">
        <v>243.2465</v>
      </c>
      <c r="K51">
        <v>1989.7563700000001</v>
      </c>
      <c r="L51">
        <v>10542.998299999999</v>
      </c>
      <c r="M51">
        <v>214.05691999999999</v>
      </c>
      <c r="N51">
        <v>1949.44695</v>
      </c>
      <c r="O51">
        <v>4528.5548399999998</v>
      </c>
      <c r="P51" s="17">
        <f t="shared" si="1"/>
        <v>214.05691999999999</v>
      </c>
      <c r="Q51" s="16">
        <f t="shared" si="2"/>
        <v>1949.44695</v>
      </c>
      <c r="R51" s="16">
        <f t="shared" si="2"/>
        <v>4528.5548399999998</v>
      </c>
      <c r="S51" s="93">
        <f>(F52-F51)/F51</f>
        <v>-7.3612569965035471E-2</v>
      </c>
      <c r="T51" s="94">
        <f>(P52-P51)/P51</f>
        <v>-7.0604818568818062E-2</v>
      </c>
      <c r="U51" s="94">
        <f>(Q52-Q51)/Q51</f>
        <v>-7.955730213638286E-2</v>
      </c>
      <c r="V51" s="95">
        <f>(R52-R51)/R51</f>
        <v>-7.3186056415295755E-2</v>
      </c>
    </row>
    <row r="52" spans="1:22" x14ac:dyDescent="0.25">
      <c r="A52" s="92"/>
      <c r="B52" s="34">
        <v>100000000</v>
      </c>
      <c r="C52" s="34">
        <f t="shared" si="0"/>
        <v>1</v>
      </c>
      <c r="D52" s="92"/>
      <c r="E52" s="5" t="s">
        <v>118</v>
      </c>
      <c r="F52">
        <v>64.382999999999996</v>
      </c>
      <c r="G52">
        <v>3.51</v>
      </c>
      <c r="H52">
        <v>28.45</v>
      </c>
      <c r="I52">
        <v>151.74</v>
      </c>
      <c r="J52">
        <v>225.98433</v>
      </c>
      <c r="K52">
        <v>1831.6963499999999</v>
      </c>
      <c r="L52">
        <v>9769.4764199999991</v>
      </c>
      <c r="M52">
        <v>198.94346999999999</v>
      </c>
      <c r="N52">
        <v>1794.35421</v>
      </c>
      <c r="O52">
        <v>4197.1277699999991</v>
      </c>
      <c r="P52" s="17">
        <f t="shared" si="1"/>
        <v>198.94346999999999</v>
      </c>
      <c r="Q52" s="16">
        <f t="shared" si="2"/>
        <v>1794.35421</v>
      </c>
      <c r="R52" s="16">
        <f t="shared" si="2"/>
        <v>4197.1277699999991</v>
      </c>
      <c r="S52" s="93"/>
      <c r="T52" s="94"/>
      <c r="U52" s="94"/>
      <c r="V52" s="95"/>
    </row>
    <row r="53" spans="1:22" x14ac:dyDescent="0.25">
      <c r="A53" s="92"/>
      <c r="B53" s="34">
        <v>100000000</v>
      </c>
      <c r="C53" s="34">
        <f t="shared" si="0"/>
        <v>1</v>
      </c>
      <c r="D53" s="92" t="s">
        <v>114</v>
      </c>
      <c r="E53" s="6"/>
      <c r="F53">
        <v>61.884</v>
      </c>
      <c r="G53">
        <v>3.52</v>
      </c>
      <c r="H53">
        <v>28.61</v>
      </c>
      <c r="I53">
        <v>153.47999999999999</v>
      </c>
      <c r="J53">
        <v>217.83168000000001</v>
      </c>
      <c r="K53">
        <v>1770.5012400000001</v>
      </c>
      <c r="L53">
        <v>9497.9563199999993</v>
      </c>
      <c r="M53">
        <v>191.84039999999999</v>
      </c>
      <c r="N53">
        <v>1734.60852</v>
      </c>
      <c r="O53">
        <v>4141.8961200000003</v>
      </c>
      <c r="P53" s="17">
        <f t="shared" si="1"/>
        <v>191.84039999999999</v>
      </c>
      <c r="Q53" s="16">
        <f t="shared" si="2"/>
        <v>1734.60852</v>
      </c>
      <c r="R53" s="16">
        <f t="shared" si="2"/>
        <v>4141.8961200000003</v>
      </c>
      <c r="S53" s="93">
        <f>(F54-F53)/F53</f>
        <v>0.11256544502617791</v>
      </c>
      <c r="T53" s="94">
        <f>(P54-P53)/P53</f>
        <v>0.11256544502617809</v>
      </c>
      <c r="U53" s="94">
        <f>(Q54-Q53)/Q53</f>
        <v>0.10859624971748663</v>
      </c>
      <c r="V53" s="95">
        <f>(R54-R53)/R53</f>
        <v>9.4280341342795254E-2</v>
      </c>
    </row>
    <row r="54" spans="1:22" x14ac:dyDescent="0.25">
      <c r="A54" s="92"/>
      <c r="B54" s="34">
        <v>100000000</v>
      </c>
      <c r="C54" s="34">
        <f t="shared" si="0"/>
        <v>1</v>
      </c>
      <c r="D54" s="92"/>
      <c r="E54" s="5" t="s">
        <v>118</v>
      </c>
      <c r="F54">
        <v>68.849999999999994</v>
      </c>
      <c r="G54">
        <v>3.52</v>
      </c>
      <c r="H54">
        <v>28.51</v>
      </c>
      <c r="I54">
        <v>152.38</v>
      </c>
      <c r="J54">
        <v>242.352</v>
      </c>
      <c r="K54">
        <v>1962.9135000000001</v>
      </c>
      <c r="L54">
        <v>10491.362999999999</v>
      </c>
      <c r="M54">
        <v>213.435</v>
      </c>
      <c r="N54">
        <v>1922.9804999999999</v>
      </c>
      <c r="O54">
        <v>4532.3954999999996</v>
      </c>
      <c r="P54" s="17">
        <f t="shared" si="1"/>
        <v>213.435</v>
      </c>
      <c r="Q54" s="16">
        <f t="shared" si="2"/>
        <v>1922.9804999999999</v>
      </c>
      <c r="R54" s="16">
        <f t="shared" si="2"/>
        <v>4532.3954999999996</v>
      </c>
      <c r="S54" s="93"/>
      <c r="T54" s="94"/>
      <c r="U54" s="94"/>
      <c r="V54" s="95"/>
    </row>
    <row r="55" spans="1:22" x14ac:dyDescent="0.25">
      <c r="A55" s="92" t="s">
        <v>49</v>
      </c>
      <c r="B55" s="34">
        <v>100000000</v>
      </c>
      <c r="C55" s="34">
        <f t="shared" si="0"/>
        <v>1</v>
      </c>
      <c r="D55" s="92" t="s">
        <v>111</v>
      </c>
      <c r="E55" s="6"/>
      <c r="F55">
        <v>181.41900000000001</v>
      </c>
      <c r="G55">
        <v>3.49</v>
      </c>
      <c r="H55">
        <v>28.12</v>
      </c>
      <c r="I55">
        <v>150.22999999999999</v>
      </c>
      <c r="J55">
        <v>633.15231000000006</v>
      </c>
      <c r="K55">
        <v>5101.5022800000006</v>
      </c>
      <c r="L55">
        <v>27254.576369999999</v>
      </c>
      <c r="M55">
        <v>556.95632999999998</v>
      </c>
      <c r="N55">
        <v>4996.2792600000002</v>
      </c>
      <c r="O55">
        <v>11808.56271</v>
      </c>
      <c r="P55" s="17">
        <f t="shared" si="1"/>
        <v>556.95632999999998</v>
      </c>
      <c r="Q55" s="16">
        <f t="shared" si="2"/>
        <v>4996.2792600000002</v>
      </c>
      <c r="R55" s="16">
        <f t="shared" si="2"/>
        <v>11808.56271</v>
      </c>
      <c r="S55" s="93">
        <f>(F56-F55)/F55</f>
        <v>-0.12613893803846352</v>
      </c>
      <c r="T55" s="94">
        <f>(P56-P55)/P55</f>
        <v>-0.12613893803846363</v>
      </c>
      <c r="U55" s="94">
        <f>(Q56-Q55)/Q55</f>
        <v>-0.10361020332558428</v>
      </c>
      <c r="V55" s="95">
        <f>(R56-R55)/R55</f>
        <v>-0.10183891465314496</v>
      </c>
    </row>
    <row r="56" spans="1:22" x14ac:dyDescent="0.25">
      <c r="A56" s="92"/>
      <c r="B56" s="34">
        <v>100000000</v>
      </c>
      <c r="C56" s="34">
        <f t="shared" si="0"/>
        <v>1</v>
      </c>
      <c r="D56" s="92"/>
      <c r="E56" s="5" t="s">
        <v>118</v>
      </c>
      <c r="F56">
        <v>158.535</v>
      </c>
      <c r="G56">
        <v>3.49</v>
      </c>
      <c r="H56">
        <v>28.83</v>
      </c>
      <c r="I56">
        <v>152.04</v>
      </c>
      <c r="J56">
        <v>553.28715</v>
      </c>
      <c r="K56">
        <v>4570.56405</v>
      </c>
      <c r="L56">
        <v>24103.661400000001</v>
      </c>
      <c r="M56">
        <v>486.70244999999989</v>
      </c>
      <c r="N56">
        <v>4478.6137500000004</v>
      </c>
      <c r="O56">
        <v>10605.9915</v>
      </c>
      <c r="P56" s="17">
        <f t="shared" si="1"/>
        <v>486.70244999999989</v>
      </c>
      <c r="Q56" s="16">
        <f t="shared" si="2"/>
        <v>4478.6137500000004</v>
      </c>
      <c r="R56" s="16">
        <f t="shared" si="2"/>
        <v>10605.9915</v>
      </c>
      <c r="S56" s="93"/>
      <c r="T56" s="94"/>
      <c r="U56" s="94"/>
      <c r="V56" s="95"/>
    </row>
    <row r="57" spans="1:22" x14ac:dyDescent="0.25">
      <c r="A57" s="92"/>
      <c r="B57" s="34">
        <v>100000000</v>
      </c>
      <c r="C57" s="34">
        <f t="shared" si="0"/>
        <v>1</v>
      </c>
      <c r="D57" s="92" t="s">
        <v>114</v>
      </c>
      <c r="E57" s="6"/>
      <c r="F57">
        <v>172.815</v>
      </c>
      <c r="G57">
        <v>3.51</v>
      </c>
      <c r="H57">
        <v>28.31</v>
      </c>
      <c r="I57">
        <v>151.19999999999999</v>
      </c>
      <c r="J57">
        <v>606.58064999999999</v>
      </c>
      <c r="K57">
        <v>4892.3926499999998</v>
      </c>
      <c r="L57">
        <v>26129.628000000001</v>
      </c>
      <c r="M57">
        <v>533.99834999999996</v>
      </c>
      <c r="N57">
        <v>4792.1599500000002</v>
      </c>
      <c r="O57">
        <v>11414.43075</v>
      </c>
      <c r="P57" s="17">
        <f t="shared" si="1"/>
        <v>533.99834999999996</v>
      </c>
      <c r="Q57" s="16">
        <f t="shared" si="2"/>
        <v>4792.1599500000002</v>
      </c>
      <c r="R57" s="16">
        <f t="shared" si="2"/>
        <v>11414.43075</v>
      </c>
      <c r="S57" s="93">
        <f>(F58-F57)/F57</f>
        <v>-0.14111043601539217</v>
      </c>
      <c r="T57" s="94">
        <f>(P58-P57)/P57</f>
        <v>-0.13833085813841925</v>
      </c>
      <c r="U57" s="94">
        <f>(Q58-Q57)/Q57</f>
        <v>-0.12159725803810044</v>
      </c>
      <c r="V57" s="95">
        <f>(R58-R57)/R57</f>
        <v>-0.12069474161030753</v>
      </c>
    </row>
    <row r="58" spans="1:22" x14ac:dyDescent="0.25">
      <c r="A58" s="92"/>
      <c r="B58" s="34">
        <v>100000000</v>
      </c>
      <c r="C58" s="34">
        <f t="shared" si="0"/>
        <v>1</v>
      </c>
      <c r="D58" s="92"/>
      <c r="E58" s="5" t="s">
        <v>118</v>
      </c>
      <c r="F58">
        <v>148.429</v>
      </c>
      <c r="G58">
        <v>3.52</v>
      </c>
      <c r="H58">
        <v>28.94</v>
      </c>
      <c r="I58">
        <v>152.76</v>
      </c>
      <c r="J58">
        <v>522.47008000000005</v>
      </c>
      <c r="K58">
        <v>4295.5352600000006</v>
      </c>
      <c r="L58">
        <v>22674.014039999998</v>
      </c>
      <c r="M58">
        <v>460.12990000000002</v>
      </c>
      <c r="N58">
        <v>4209.4464399999997</v>
      </c>
      <c r="O58">
        <v>10036.768980000001</v>
      </c>
      <c r="P58" s="17">
        <f t="shared" si="1"/>
        <v>460.12990000000002</v>
      </c>
      <c r="Q58" s="16">
        <f t="shared" si="2"/>
        <v>4209.4464399999997</v>
      </c>
      <c r="R58" s="16">
        <f t="shared" si="2"/>
        <v>10036.768980000001</v>
      </c>
      <c r="S58" s="93"/>
      <c r="T58" s="94"/>
      <c r="U58" s="94"/>
      <c r="V58" s="95"/>
    </row>
    <row r="59" spans="1:22" x14ac:dyDescent="0.25">
      <c r="A59" s="92" t="s">
        <v>51</v>
      </c>
      <c r="B59" s="34">
        <v>100000000</v>
      </c>
      <c r="C59" s="34">
        <f t="shared" si="0"/>
        <v>1</v>
      </c>
      <c r="D59" s="92" t="s">
        <v>111</v>
      </c>
      <c r="E59" s="6"/>
      <c r="F59">
        <v>173.517</v>
      </c>
      <c r="G59">
        <v>3.51</v>
      </c>
      <c r="H59">
        <v>29.02</v>
      </c>
      <c r="I59">
        <v>152.58000000000001</v>
      </c>
      <c r="J59">
        <v>609.04467</v>
      </c>
      <c r="K59">
        <v>5035.4633400000002</v>
      </c>
      <c r="L59">
        <v>26475.223859999998</v>
      </c>
      <c r="M59">
        <v>536.16752999999994</v>
      </c>
      <c r="N59">
        <v>4934.82348</v>
      </c>
      <c r="O59">
        <v>11367.098669999999</v>
      </c>
      <c r="P59" s="17">
        <f t="shared" si="1"/>
        <v>536.16752999999994</v>
      </c>
      <c r="Q59" s="16">
        <f t="shared" si="2"/>
        <v>4934.82348</v>
      </c>
      <c r="R59" s="16">
        <f t="shared" si="2"/>
        <v>11367.098669999999</v>
      </c>
      <c r="S59" s="93">
        <f>(F60-F59)/F59</f>
        <v>-0.13059239152359708</v>
      </c>
      <c r="T59" s="94">
        <f>(P60-P59)/P59</f>
        <v>-0.13059239152359706</v>
      </c>
      <c r="U59" s="94">
        <f>(Q60-Q59)/Q59</f>
        <v>-0.1318151870348156</v>
      </c>
      <c r="V59" s="95">
        <f>(R60-R59)/R59</f>
        <v>-0.13191952876749324</v>
      </c>
    </row>
    <row r="60" spans="1:22" x14ac:dyDescent="0.25">
      <c r="A60" s="92"/>
      <c r="B60" s="34">
        <v>100000000</v>
      </c>
      <c r="C60" s="34">
        <f t="shared" si="0"/>
        <v>1</v>
      </c>
      <c r="D60" s="92"/>
      <c r="E60" s="5" t="s">
        <v>118</v>
      </c>
      <c r="F60">
        <v>150.857</v>
      </c>
      <c r="G60">
        <v>3.51</v>
      </c>
      <c r="H60">
        <v>28.98</v>
      </c>
      <c r="I60">
        <v>152.47</v>
      </c>
      <c r="J60">
        <v>529.50806999999998</v>
      </c>
      <c r="K60">
        <v>4371.8358600000001</v>
      </c>
      <c r="L60">
        <v>23001.166789999999</v>
      </c>
      <c r="M60">
        <v>466.14812999999998</v>
      </c>
      <c r="N60">
        <v>4284.3388000000004</v>
      </c>
      <c r="O60">
        <v>9867.5563700000002</v>
      </c>
      <c r="P60" s="17">
        <f t="shared" si="1"/>
        <v>466.14812999999998</v>
      </c>
      <c r="Q60" s="16">
        <f t="shared" si="2"/>
        <v>4284.3388000000004</v>
      </c>
      <c r="R60" s="16">
        <f t="shared" si="2"/>
        <v>9867.5563700000002</v>
      </c>
      <c r="S60" s="93"/>
      <c r="T60" s="94"/>
      <c r="U60" s="94"/>
      <c r="V60" s="95"/>
    </row>
    <row r="61" spans="1:22" x14ac:dyDescent="0.25">
      <c r="A61" s="92"/>
      <c r="B61" s="34">
        <v>100000000</v>
      </c>
      <c r="C61" s="34">
        <f t="shared" si="0"/>
        <v>1</v>
      </c>
      <c r="D61" s="92" t="s">
        <v>114</v>
      </c>
      <c r="E61" s="6"/>
      <c r="F61">
        <v>127.854</v>
      </c>
      <c r="G61">
        <v>3.5</v>
      </c>
      <c r="H61">
        <v>29.48</v>
      </c>
      <c r="I61">
        <v>153.56</v>
      </c>
      <c r="J61">
        <v>447.48899999999998</v>
      </c>
      <c r="K61">
        <v>3769.1359200000002</v>
      </c>
      <c r="L61">
        <v>19633.26024</v>
      </c>
      <c r="M61">
        <v>393.79032000000001</v>
      </c>
      <c r="N61">
        <v>3694.9805999999999</v>
      </c>
      <c r="O61">
        <v>8502.2909999999993</v>
      </c>
      <c r="P61" s="17">
        <f t="shared" si="1"/>
        <v>393.79032000000001</v>
      </c>
      <c r="Q61" s="16">
        <f t="shared" si="2"/>
        <v>3694.9805999999999</v>
      </c>
      <c r="R61" s="16">
        <f t="shared" si="2"/>
        <v>8502.2909999999993</v>
      </c>
      <c r="S61" s="93">
        <f>(F62-F61)/F61</f>
        <v>1.9217232155427345E-2</v>
      </c>
      <c r="T61" s="94">
        <f>(P62-P61)/P61</f>
        <v>1.5908085297779821E-2</v>
      </c>
      <c r="U61" s="94">
        <f>(Q62-Q61)/Q61</f>
        <v>-2.4513887840168912E-2</v>
      </c>
      <c r="V61" s="95">
        <f>(R62-R61)/R61</f>
        <v>-3.2893122571316172E-2</v>
      </c>
    </row>
    <row r="62" spans="1:22" x14ac:dyDescent="0.25">
      <c r="A62" s="92"/>
      <c r="B62" s="34">
        <v>100000000</v>
      </c>
      <c r="C62" s="34">
        <f t="shared" si="0"/>
        <v>1</v>
      </c>
      <c r="D62" s="92"/>
      <c r="E62" s="5" t="s">
        <v>118</v>
      </c>
      <c r="F62">
        <v>130.31100000000001</v>
      </c>
      <c r="G62">
        <v>3.49</v>
      </c>
      <c r="H62">
        <v>28.24</v>
      </c>
      <c r="I62">
        <v>150.16999999999999</v>
      </c>
      <c r="J62">
        <v>454.78539000000012</v>
      </c>
      <c r="K62">
        <v>3679.9826400000002</v>
      </c>
      <c r="L62">
        <v>19568.80287</v>
      </c>
      <c r="M62">
        <v>400.05477000000002</v>
      </c>
      <c r="N62">
        <v>3604.4022599999998</v>
      </c>
      <c r="O62">
        <v>8222.6241000000009</v>
      </c>
      <c r="P62" s="17">
        <f t="shared" si="1"/>
        <v>400.05477000000002</v>
      </c>
      <c r="Q62" s="16">
        <f t="shared" si="2"/>
        <v>3604.4022599999998</v>
      </c>
      <c r="R62" s="16">
        <f t="shared" si="2"/>
        <v>8222.6241000000009</v>
      </c>
      <c r="S62" s="93"/>
      <c r="T62" s="94"/>
      <c r="U62" s="94"/>
      <c r="V62" s="95"/>
    </row>
    <row r="63" spans="1:22" x14ac:dyDescent="0.25">
      <c r="A63" s="92" t="s">
        <v>55</v>
      </c>
      <c r="B63" s="34">
        <v>100000000</v>
      </c>
      <c r="C63" s="34">
        <f t="shared" si="0"/>
        <v>1</v>
      </c>
      <c r="D63" s="92" t="s">
        <v>111</v>
      </c>
      <c r="E63" s="6"/>
      <c r="F63">
        <v>202.86500000000001</v>
      </c>
      <c r="G63">
        <v>3.49</v>
      </c>
      <c r="H63">
        <v>29.25</v>
      </c>
      <c r="I63">
        <v>150.57</v>
      </c>
      <c r="J63">
        <v>707.99885000000006</v>
      </c>
      <c r="K63">
        <v>5933.8012500000004</v>
      </c>
      <c r="L63">
        <v>30545.38305</v>
      </c>
      <c r="M63">
        <v>622.79555000000005</v>
      </c>
      <c r="N63">
        <v>5816.1395500000008</v>
      </c>
      <c r="O63">
        <v>14007.82825</v>
      </c>
      <c r="P63" s="17">
        <f t="shared" si="1"/>
        <v>622.79555000000005</v>
      </c>
      <c r="Q63" s="16">
        <f t="shared" si="2"/>
        <v>5816.1395500000008</v>
      </c>
      <c r="R63" s="16">
        <f t="shared" si="2"/>
        <v>14007.82825</v>
      </c>
      <c r="S63" s="93">
        <f>(F64-F63)/F63</f>
        <v>-5.8704064279200552E-2</v>
      </c>
      <c r="T63" s="94">
        <f>(P64-P63)/P63</f>
        <v>-5.5637953739393474E-2</v>
      </c>
      <c r="U63" s="94">
        <f>(Q64-Q63)/Q63</f>
        <v>-1.930555981931369E-2</v>
      </c>
      <c r="V63" s="95">
        <f>(R64-R63)/R63</f>
        <v>-2.7622895076544092E-2</v>
      </c>
    </row>
    <row r="64" spans="1:22" x14ac:dyDescent="0.25">
      <c r="A64" s="92"/>
      <c r="B64" s="34">
        <v>100000000</v>
      </c>
      <c r="C64" s="34">
        <f t="shared" si="0"/>
        <v>1</v>
      </c>
      <c r="D64" s="92"/>
      <c r="E64" s="5" t="s">
        <v>118</v>
      </c>
      <c r="F64">
        <v>190.95599999999999</v>
      </c>
      <c r="G64">
        <v>3.5</v>
      </c>
      <c r="H64">
        <v>30.45</v>
      </c>
      <c r="I64">
        <v>152.86000000000001</v>
      </c>
      <c r="J64">
        <v>668.346</v>
      </c>
      <c r="K64">
        <v>5814.6101999999992</v>
      </c>
      <c r="L64">
        <v>29189.534159999999</v>
      </c>
      <c r="M64">
        <v>588.14447999999993</v>
      </c>
      <c r="N64">
        <v>5703.8557199999996</v>
      </c>
      <c r="O64">
        <v>13620.89148</v>
      </c>
      <c r="P64" s="17">
        <f t="shared" si="1"/>
        <v>588.14447999999993</v>
      </c>
      <c r="Q64" s="16">
        <f t="shared" si="2"/>
        <v>5703.8557199999996</v>
      </c>
      <c r="R64" s="16">
        <f t="shared" si="2"/>
        <v>13620.89148</v>
      </c>
      <c r="S64" s="93"/>
      <c r="T64" s="94"/>
      <c r="U64" s="94"/>
      <c r="V64" s="95"/>
    </row>
    <row r="65" spans="1:22" x14ac:dyDescent="0.25">
      <c r="A65" s="92"/>
      <c r="B65" s="34">
        <v>100000000</v>
      </c>
      <c r="C65" s="34">
        <f t="shared" si="0"/>
        <v>1</v>
      </c>
      <c r="D65" s="92" t="s">
        <v>114</v>
      </c>
      <c r="E65" s="6"/>
      <c r="F65">
        <v>242.57599999999999</v>
      </c>
      <c r="G65">
        <v>3.53</v>
      </c>
      <c r="H65">
        <v>29.57</v>
      </c>
      <c r="I65">
        <v>152.9</v>
      </c>
      <c r="J65">
        <v>856.29327999999998</v>
      </c>
      <c r="K65">
        <v>7172.9723199999999</v>
      </c>
      <c r="L65">
        <v>37089.8704</v>
      </c>
      <c r="M65">
        <v>754.41135999999995</v>
      </c>
      <c r="N65">
        <v>7032.2782399999996</v>
      </c>
      <c r="O65">
        <v>17312.649119999998</v>
      </c>
      <c r="P65" s="17">
        <f t="shared" si="1"/>
        <v>754.41135999999995</v>
      </c>
      <c r="Q65" s="16">
        <f t="shared" si="2"/>
        <v>7032.2782399999996</v>
      </c>
      <c r="R65" s="16">
        <f t="shared" si="2"/>
        <v>17312.649119999998</v>
      </c>
      <c r="S65" s="93">
        <f>(F66-F65)/F65</f>
        <v>-6.46395356506827E-2</v>
      </c>
      <c r="T65" s="94">
        <f>(P66-P65)/P65</f>
        <v>-6.1631945733160665E-2</v>
      </c>
      <c r="U65" s="94">
        <f>(Q66-Q65)/Q65</f>
        <v>-6.5607483699336638E-2</v>
      </c>
      <c r="V65" s="95">
        <f>(R66-R65)/R65</f>
        <v>-4.0786991933213571E-2</v>
      </c>
    </row>
    <row r="66" spans="1:22" x14ac:dyDescent="0.25">
      <c r="A66" s="92"/>
      <c r="B66" s="34">
        <v>100000000</v>
      </c>
      <c r="C66" s="34">
        <f t="shared" si="0"/>
        <v>1</v>
      </c>
      <c r="D66" s="92"/>
      <c r="E66" s="5" t="s">
        <v>118</v>
      </c>
      <c r="F66">
        <v>226.89599999999999</v>
      </c>
      <c r="G66">
        <v>3.54</v>
      </c>
      <c r="H66">
        <v>29.54</v>
      </c>
      <c r="I66">
        <v>154.71</v>
      </c>
      <c r="J66">
        <v>803.21183999999994</v>
      </c>
      <c r="K66">
        <v>6702.5078399999993</v>
      </c>
      <c r="L66">
        <v>35103.080159999998</v>
      </c>
      <c r="M66">
        <v>707.91552000000001</v>
      </c>
      <c r="N66">
        <v>6570.90816</v>
      </c>
      <c r="O66">
        <v>16606.518240000001</v>
      </c>
      <c r="P66" s="17">
        <f t="shared" si="1"/>
        <v>707.91552000000001</v>
      </c>
      <c r="Q66" s="16">
        <f t="shared" si="2"/>
        <v>6570.90816</v>
      </c>
      <c r="R66" s="16">
        <f t="shared" si="2"/>
        <v>16606.518240000001</v>
      </c>
      <c r="S66" s="93"/>
      <c r="T66" s="94"/>
      <c r="U66" s="94"/>
      <c r="V66" s="95"/>
    </row>
    <row r="67" spans="1:22" x14ac:dyDescent="0.25">
      <c r="A67" s="92" t="s">
        <v>57</v>
      </c>
      <c r="B67" s="34">
        <v>100000000</v>
      </c>
      <c r="C67" s="34">
        <f t="shared" si="0"/>
        <v>1</v>
      </c>
      <c r="D67" s="92" t="s">
        <v>111</v>
      </c>
      <c r="E67" s="6"/>
      <c r="F67">
        <v>5.6539999999999999</v>
      </c>
      <c r="G67">
        <v>3.52</v>
      </c>
      <c r="H67">
        <v>25.27</v>
      </c>
      <c r="I67">
        <v>144.68</v>
      </c>
      <c r="J67">
        <v>19.902080000000002</v>
      </c>
      <c r="K67">
        <v>142.87657999999999</v>
      </c>
      <c r="L67">
        <v>818.02071999999998</v>
      </c>
      <c r="M67">
        <v>17.5274</v>
      </c>
      <c r="N67">
        <v>139.59726000000001</v>
      </c>
      <c r="O67">
        <v>345.57247999999998</v>
      </c>
      <c r="P67" s="17">
        <f t="shared" si="1"/>
        <v>17.5274</v>
      </c>
      <c r="Q67" s="16">
        <f t="shared" si="2"/>
        <v>139.59726000000001</v>
      </c>
      <c r="R67" s="16">
        <f t="shared" si="2"/>
        <v>345.57247999999998</v>
      </c>
      <c r="S67" s="93">
        <f>(F68-F67)/F67</f>
        <v>-0.47205518217191372</v>
      </c>
      <c r="T67" s="94">
        <f>(P68-P67)/P67</f>
        <v>-0.46864908657302279</v>
      </c>
      <c r="U67" s="94">
        <f>(Q68-Q67)/Q67</f>
        <v>-0.51332425865665265</v>
      </c>
      <c r="V67" s="95">
        <f>(R68-R67)/R67</f>
        <v>-0.47784253537781707</v>
      </c>
    </row>
    <row r="68" spans="1:22" x14ac:dyDescent="0.25">
      <c r="A68" s="92"/>
      <c r="B68" s="34">
        <v>100000000</v>
      </c>
      <c r="C68" s="34">
        <f t="shared" ref="C68:C106" si="3">100000000/B68</f>
        <v>1</v>
      </c>
      <c r="D68" s="92"/>
      <c r="E68" s="5" t="s">
        <v>118</v>
      </c>
      <c r="F68">
        <v>2.9849999999999999</v>
      </c>
      <c r="G68">
        <v>3.54</v>
      </c>
      <c r="H68">
        <v>23.34</v>
      </c>
      <c r="I68">
        <v>144.02000000000001</v>
      </c>
      <c r="J68">
        <v>10.5669</v>
      </c>
      <c r="K68">
        <v>69.669899999999998</v>
      </c>
      <c r="L68">
        <v>429.8997</v>
      </c>
      <c r="M68">
        <v>9.3132000000000001</v>
      </c>
      <c r="N68">
        <v>67.938600000000008</v>
      </c>
      <c r="O68">
        <v>180.44325000000001</v>
      </c>
      <c r="P68" s="17">
        <f t="shared" ref="P68:P106" si="4">C68*M68</f>
        <v>9.3132000000000001</v>
      </c>
      <c r="Q68" s="16">
        <f t="shared" ref="Q68:R106" si="5">$C68*N68</f>
        <v>67.938600000000008</v>
      </c>
      <c r="R68" s="16">
        <f t="shared" si="5"/>
        <v>180.44325000000001</v>
      </c>
      <c r="S68" s="93"/>
      <c r="T68" s="94"/>
      <c r="U68" s="94"/>
      <c r="V68" s="95"/>
    </row>
    <row r="69" spans="1:22" x14ac:dyDescent="0.25">
      <c r="A69" s="92"/>
      <c r="B69" s="34">
        <v>100000000</v>
      </c>
      <c r="C69" s="34">
        <f t="shared" si="3"/>
        <v>1</v>
      </c>
      <c r="D69" s="92" t="s">
        <v>114</v>
      </c>
      <c r="E69" s="6"/>
      <c r="F69">
        <v>5.8730000000000002</v>
      </c>
      <c r="G69">
        <v>3.51</v>
      </c>
      <c r="H69">
        <v>25.7</v>
      </c>
      <c r="I69">
        <v>146.01</v>
      </c>
      <c r="J69">
        <v>20.614229999999999</v>
      </c>
      <c r="K69">
        <v>150.93610000000001</v>
      </c>
      <c r="L69">
        <v>857.51672999999994</v>
      </c>
      <c r="M69">
        <v>18.147570000000002</v>
      </c>
      <c r="N69">
        <v>147.52976000000001</v>
      </c>
      <c r="O69">
        <v>366.71012000000002</v>
      </c>
      <c r="P69" s="17">
        <f t="shared" si="4"/>
        <v>18.147570000000002</v>
      </c>
      <c r="Q69" s="16">
        <f t="shared" si="5"/>
        <v>147.52976000000001</v>
      </c>
      <c r="R69" s="16">
        <f t="shared" si="5"/>
        <v>366.71012000000002</v>
      </c>
      <c r="S69" s="93">
        <f>(F70-F69)/F69</f>
        <v>-0.41818491401328117</v>
      </c>
      <c r="T69" s="94">
        <f>(P70-P69)/P69</f>
        <v>-0.41065332713966674</v>
      </c>
      <c r="U69" s="94">
        <f>(Q70-Q69)/Q69</f>
        <v>-0.44250441402466867</v>
      </c>
      <c r="V69" s="95">
        <f>(R70-R69)/R69</f>
        <v>-0.4202348710747334</v>
      </c>
    </row>
    <row r="70" spans="1:22" x14ac:dyDescent="0.25">
      <c r="A70" s="92"/>
      <c r="B70" s="34">
        <v>100000000</v>
      </c>
      <c r="C70" s="34">
        <f t="shared" si="3"/>
        <v>1</v>
      </c>
      <c r="D70" s="92"/>
      <c r="E70" s="5" t="s">
        <v>118</v>
      </c>
      <c r="F70">
        <v>3.4169999999999998</v>
      </c>
      <c r="G70">
        <v>3.55</v>
      </c>
      <c r="H70">
        <v>24.65</v>
      </c>
      <c r="I70">
        <v>145.79</v>
      </c>
      <c r="J70">
        <v>12.13035</v>
      </c>
      <c r="K70">
        <v>84.229049999999987</v>
      </c>
      <c r="L70">
        <v>498.16442999999992</v>
      </c>
      <c r="M70">
        <v>10.695209999999999</v>
      </c>
      <c r="N70">
        <v>82.247190000000003</v>
      </c>
      <c r="O70">
        <v>212.60574</v>
      </c>
      <c r="P70" s="17">
        <f t="shared" si="4"/>
        <v>10.695209999999999</v>
      </c>
      <c r="Q70" s="16">
        <f t="shared" si="5"/>
        <v>82.247190000000003</v>
      </c>
      <c r="R70" s="16">
        <f t="shared" si="5"/>
        <v>212.60574</v>
      </c>
      <c r="S70" s="93"/>
      <c r="T70" s="94"/>
      <c r="U70" s="94"/>
      <c r="V70" s="95"/>
    </row>
    <row r="71" spans="1:22" ht="15" customHeight="1" x14ac:dyDescent="0.25">
      <c r="A71" s="92" t="s">
        <v>61</v>
      </c>
      <c r="B71" s="34">
        <v>100000000</v>
      </c>
      <c r="C71" s="34">
        <f t="shared" si="3"/>
        <v>1</v>
      </c>
      <c r="D71" s="92" t="s">
        <v>111</v>
      </c>
      <c r="E71" s="6"/>
      <c r="F71">
        <v>154.828</v>
      </c>
      <c r="G71">
        <v>3.64</v>
      </c>
      <c r="H71">
        <v>29.8</v>
      </c>
      <c r="I71">
        <v>151.9</v>
      </c>
      <c r="J71">
        <v>563.57392000000004</v>
      </c>
      <c r="K71">
        <v>4613.8744000000006</v>
      </c>
      <c r="L71">
        <v>23518.373200000002</v>
      </c>
      <c r="M71">
        <v>535.70488</v>
      </c>
      <c r="N71">
        <v>4581.3605200000002</v>
      </c>
      <c r="O71">
        <v>10282.127479999999</v>
      </c>
      <c r="P71" s="17">
        <f t="shared" si="4"/>
        <v>535.70488</v>
      </c>
      <c r="Q71" s="16">
        <f t="shared" si="5"/>
        <v>4581.3605200000002</v>
      </c>
      <c r="R71" s="16">
        <f t="shared" si="5"/>
        <v>10282.127479999999</v>
      </c>
      <c r="S71" s="93">
        <f>(F72-F71)/F71</f>
        <v>1.5585165473945279</v>
      </c>
      <c r="T71" s="94">
        <f>(P72-P71)/P71</f>
        <v>1.5289383214130885</v>
      </c>
      <c r="U71" s="94">
        <f>(Q72-Q71)/Q71</f>
        <v>1.7106959702878828</v>
      </c>
      <c r="V71" s="95">
        <f>(R72-R71)/R71</f>
        <v>1.7781151668817865</v>
      </c>
    </row>
    <row r="72" spans="1:22" ht="15" customHeight="1" x14ac:dyDescent="0.25">
      <c r="A72" s="92"/>
      <c r="B72" s="34">
        <v>100000000</v>
      </c>
      <c r="C72" s="34">
        <f t="shared" si="3"/>
        <v>1</v>
      </c>
      <c r="D72" s="92"/>
      <c r="E72" s="5" t="s">
        <v>118</v>
      </c>
      <c r="F72">
        <v>396.13</v>
      </c>
      <c r="G72">
        <v>3.6</v>
      </c>
      <c r="H72">
        <v>31.56</v>
      </c>
      <c r="I72">
        <v>157.61000000000001</v>
      </c>
      <c r="J72">
        <v>1426.068</v>
      </c>
      <c r="K72">
        <v>12501.862800000001</v>
      </c>
      <c r="L72">
        <v>62434.049300000013</v>
      </c>
      <c r="M72">
        <v>1354.7646</v>
      </c>
      <c r="N72">
        <v>12418.675499999999</v>
      </c>
      <c r="O72">
        <v>28564.934300000001</v>
      </c>
      <c r="P72" s="17">
        <f t="shared" si="4"/>
        <v>1354.7646</v>
      </c>
      <c r="Q72" s="16">
        <f t="shared" si="5"/>
        <v>12418.675499999999</v>
      </c>
      <c r="R72" s="16">
        <f t="shared" si="5"/>
        <v>28564.934300000001</v>
      </c>
      <c r="S72" s="93"/>
      <c r="T72" s="94"/>
      <c r="U72" s="94"/>
      <c r="V72" s="95"/>
    </row>
    <row r="73" spans="1:22" ht="15" customHeight="1" x14ac:dyDescent="0.25">
      <c r="A73" s="92"/>
      <c r="B73" s="34">
        <v>100000000</v>
      </c>
      <c r="C73" s="34">
        <f t="shared" si="3"/>
        <v>1</v>
      </c>
      <c r="D73" s="92" t="s">
        <v>114</v>
      </c>
      <c r="E73" s="6"/>
      <c r="F73">
        <v>309.08199999999999</v>
      </c>
      <c r="G73">
        <v>3.64</v>
      </c>
      <c r="H73">
        <v>30.72</v>
      </c>
      <c r="I73">
        <v>157.76</v>
      </c>
      <c r="J73">
        <v>1125.0584799999999</v>
      </c>
      <c r="K73">
        <v>9494.9990399999988</v>
      </c>
      <c r="L73">
        <v>48760.776319999997</v>
      </c>
      <c r="M73">
        <v>1069.42372</v>
      </c>
      <c r="N73">
        <v>9430.0918199999996</v>
      </c>
      <c r="O73">
        <v>22337.35614</v>
      </c>
      <c r="P73" s="17">
        <f t="shared" si="4"/>
        <v>1069.42372</v>
      </c>
      <c r="Q73" s="16">
        <f t="shared" si="5"/>
        <v>9430.0918199999996</v>
      </c>
      <c r="R73" s="16">
        <f t="shared" si="5"/>
        <v>22337.35614</v>
      </c>
      <c r="S73" s="93">
        <f>(F74-F73)/F73</f>
        <v>0.3767543888029713</v>
      </c>
      <c r="T73" s="94">
        <f>(P74-P73)/P73</f>
        <v>0.368796270948619</v>
      </c>
      <c r="U73" s="94">
        <f>(Q74-Q73)/Q73</f>
        <v>0.39841424152750193</v>
      </c>
      <c r="V73" s="95">
        <f>(R74-R73)/R73</f>
        <v>0.38265993551016558</v>
      </c>
    </row>
    <row r="74" spans="1:22" ht="15" customHeight="1" x14ac:dyDescent="0.25">
      <c r="A74" s="92"/>
      <c r="B74" s="34">
        <v>100000000</v>
      </c>
      <c r="C74" s="34">
        <f t="shared" si="3"/>
        <v>1</v>
      </c>
      <c r="D74" s="92"/>
      <c r="E74" s="5" t="s">
        <v>118</v>
      </c>
      <c r="F74">
        <v>425.53</v>
      </c>
      <c r="G74">
        <v>3.62</v>
      </c>
      <c r="H74">
        <v>31.2</v>
      </c>
      <c r="I74">
        <v>158.07</v>
      </c>
      <c r="J74">
        <v>1540.4186</v>
      </c>
      <c r="K74">
        <v>13276.536</v>
      </c>
      <c r="L74">
        <v>67263.527099999992</v>
      </c>
      <c r="M74">
        <v>1463.8232</v>
      </c>
      <c r="N74">
        <v>13187.1747</v>
      </c>
      <c r="O74">
        <v>30884.967400000001</v>
      </c>
      <c r="P74" s="17">
        <f t="shared" si="4"/>
        <v>1463.8232</v>
      </c>
      <c r="Q74" s="16">
        <f t="shared" si="5"/>
        <v>13187.1747</v>
      </c>
      <c r="R74" s="16">
        <f t="shared" si="5"/>
        <v>30884.967400000001</v>
      </c>
      <c r="S74" s="93"/>
      <c r="T74" s="94"/>
      <c r="U74" s="94"/>
      <c r="V74" s="95"/>
    </row>
    <row r="75" spans="1:22" x14ac:dyDescent="0.25">
      <c r="A75" s="92" t="s">
        <v>63</v>
      </c>
      <c r="B75" s="34">
        <v>100000000</v>
      </c>
      <c r="C75" s="34">
        <f t="shared" si="3"/>
        <v>1</v>
      </c>
      <c r="D75" s="92" t="s">
        <v>111</v>
      </c>
      <c r="E75" s="6"/>
      <c r="F75">
        <v>11.939</v>
      </c>
      <c r="G75">
        <v>3.49</v>
      </c>
      <c r="H75">
        <v>26.3</v>
      </c>
      <c r="I75">
        <v>140.28</v>
      </c>
      <c r="J75">
        <v>41.667110000000001</v>
      </c>
      <c r="K75">
        <v>313.9957</v>
      </c>
      <c r="L75">
        <v>1674.8029200000001</v>
      </c>
      <c r="M75">
        <v>36.652729999999998</v>
      </c>
      <c r="N75">
        <v>307.07107999999999</v>
      </c>
      <c r="O75">
        <v>722.66767000000004</v>
      </c>
      <c r="P75" s="17">
        <f t="shared" si="4"/>
        <v>36.652729999999998</v>
      </c>
      <c r="Q75" s="16">
        <f t="shared" si="5"/>
        <v>307.07107999999999</v>
      </c>
      <c r="R75" s="16">
        <f t="shared" si="5"/>
        <v>722.66767000000004</v>
      </c>
      <c r="S75" s="93">
        <f>(F76-F75)/F75</f>
        <v>-0.1634977803836167</v>
      </c>
      <c r="T75" s="94">
        <f>(P76-P75)/P75</f>
        <v>-0.16622254331396319</v>
      </c>
      <c r="U75" s="94">
        <f>(Q76-Q75)/Q75</f>
        <v>-0.15439122433802629</v>
      </c>
      <c r="V75" s="95">
        <f>(R76-R75)/R75</f>
        <v>-0.12632297498516851</v>
      </c>
    </row>
    <row r="76" spans="1:22" x14ac:dyDescent="0.25">
      <c r="A76" s="92"/>
      <c r="B76" s="34">
        <v>100000000</v>
      </c>
      <c r="C76" s="34">
        <f t="shared" si="3"/>
        <v>1</v>
      </c>
      <c r="D76" s="92"/>
      <c r="E76" s="5" t="s">
        <v>118</v>
      </c>
      <c r="F76">
        <v>9.9870000000000001</v>
      </c>
      <c r="G76">
        <v>3.48</v>
      </c>
      <c r="H76">
        <v>26.58</v>
      </c>
      <c r="I76">
        <v>142.97</v>
      </c>
      <c r="J76">
        <v>34.754759999999997</v>
      </c>
      <c r="K76">
        <v>265.45445999999998</v>
      </c>
      <c r="L76">
        <v>1427.84139</v>
      </c>
      <c r="M76">
        <v>30.560220000000001</v>
      </c>
      <c r="N76">
        <v>259.66199999999998</v>
      </c>
      <c r="O76">
        <v>631.37814000000003</v>
      </c>
      <c r="P76" s="17">
        <f t="shared" si="4"/>
        <v>30.560220000000001</v>
      </c>
      <c r="Q76" s="16">
        <f t="shared" si="5"/>
        <v>259.66199999999998</v>
      </c>
      <c r="R76" s="16">
        <f t="shared" si="5"/>
        <v>631.37814000000003</v>
      </c>
      <c r="S76" s="93"/>
      <c r="T76" s="94"/>
      <c r="U76" s="94"/>
      <c r="V76" s="95"/>
    </row>
    <row r="77" spans="1:22" x14ac:dyDescent="0.25">
      <c r="A77" s="92"/>
      <c r="B77" s="34">
        <v>100000000</v>
      </c>
      <c r="C77" s="34">
        <f t="shared" si="3"/>
        <v>1</v>
      </c>
      <c r="D77" s="92" t="s">
        <v>114</v>
      </c>
      <c r="E77" s="6"/>
      <c r="F77">
        <v>13.581</v>
      </c>
      <c r="G77">
        <v>3.5</v>
      </c>
      <c r="H77">
        <v>26.4</v>
      </c>
      <c r="I77">
        <v>141.86000000000001</v>
      </c>
      <c r="J77">
        <v>47.533499999999997</v>
      </c>
      <c r="K77">
        <v>358.53840000000002</v>
      </c>
      <c r="L77">
        <v>1926.6006600000001</v>
      </c>
      <c r="M77">
        <v>41.829479999999997</v>
      </c>
      <c r="N77">
        <v>350.66142000000002</v>
      </c>
      <c r="O77">
        <v>843.51590999999996</v>
      </c>
      <c r="P77" s="17">
        <f t="shared" si="4"/>
        <v>41.829479999999997</v>
      </c>
      <c r="Q77" s="16">
        <f t="shared" si="5"/>
        <v>350.66142000000002</v>
      </c>
      <c r="R77" s="16">
        <f t="shared" si="5"/>
        <v>843.51590999999996</v>
      </c>
      <c r="S77" s="93">
        <f>(F78-F77)/F77</f>
        <v>-7.8639275458360913E-2</v>
      </c>
      <c r="T77" s="94">
        <f>(P78-P77)/P77</f>
        <v>-8.1630706382197382E-2</v>
      </c>
      <c r="U77" s="94">
        <f>(Q78-Q77)/Q77</f>
        <v>-4.688052081691791E-2</v>
      </c>
      <c r="V77" s="95">
        <f>(R78-R77)/R77</f>
        <v>-4.2888521213547692E-2</v>
      </c>
    </row>
    <row r="78" spans="1:22" x14ac:dyDescent="0.25">
      <c r="A78" s="92"/>
      <c r="B78" s="34">
        <v>100000000</v>
      </c>
      <c r="C78" s="34">
        <f t="shared" si="3"/>
        <v>1</v>
      </c>
      <c r="D78" s="92"/>
      <c r="E78" s="5" t="s">
        <v>118</v>
      </c>
      <c r="F78">
        <v>12.513</v>
      </c>
      <c r="G78">
        <v>3.49</v>
      </c>
      <c r="H78">
        <v>27.29</v>
      </c>
      <c r="I78">
        <v>144.27000000000001</v>
      </c>
      <c r="J78">
        <v>43.670370000000013</v>
      </c>
      <c r="K78">
        <v>341.47976999999997</v>
      </c>
      <c r="L78">
        <v>1805.2505100000001</v>
      </c>
      <c r="M78">
        <v>38.414909999999999</v>
      </c>
      <c r="N78">
        <v>334.22223000000002</v>
      </c>
      <c r="O78">
        <v>807.33875999999998</v>
      </c>
      <c r="P78" s="17">
        <f t="shared" si="4"/>
        <v>38.414909999999999</v>
      </c>
      <c r="Q78" s="16">
        <f t="shared" si="5"/>
        <v>334.22223000000002</v>
      </c>
      <c r="R78" s="16">
        <f t="shared" si="5"/>
        <v>807.33875999999998</v>
      </c>
      <c r="S78" s="93"/>
      <c r="T78" s="94"/>
      <c r="U78" s="94"/>
      <c r="V78" s="95"/>
    </row>
    <row r="79" spans="1:22" x14ac:dyDescent="0.25">
      <c r="A79" s="92" t="s">
        <v>65</v>
      </c>
      <c r="B79" s="34">
        <v>100000000</v>
      </c>
      <c r="C79" s="34">
        <f t="shared" si="3"/>
        <v>1</v>
      </c>
      <c r="D79" s="92" t="s">
        <v>111</v>
      </c>
      <c r="E79" s="6"/>
      <c r="F79">
        <v>10.699</v>
      </c>
      <c r="G79">
        <v>3.48</v>
      </c>
      <c r="H79">
        <v>28.35</v>
      </c>
      <c r="I79">
        <v>151.33000000000001</v>
      </c>
      <c r="J79">
        <v>37.232520000000001</v>
      </c>
      <c r="K79">
        <v>303.31664999999998</v>
      </c>
      <c r="L79">
        <v>1619.0796700000001</v>
      </c>
      <c r="M79">
        <v>32.738939999999999</v>
      </c>
      <c r="N79">
        <v>297.11122999999998</v>
      </c>
      <c r="O79">
        <v>699.92858000000001</v>
      </c>
      <c r="P79" s="17">
        <f t="shared" si="4"/>
        <v>32.738939999999999</v>
      </c>
      <c r="Q79" s="16">
        <f t="shared" si="5"/>
        <v>297.11122999999998</v>
      </c>
      <c r="R79" s="16">
        <f t="shared" si="5"/>
        <v>699.92858000000001</v>
      </c>
      <c r="S79" s="93">
        <f>(F80-F79)/F79</f>
        <v>-0.45966912795588377</v>
      </c>
      <c r="T79" s="94">
        <f>(P80-P79)/P79</f>
        <v>-0.45437176646525518</v>
      </c>
      <c r="U79" s="94">
        <f>(Q80-Q79)/Q79</f>
        <v>-0.50442105470062504</v>
      </c>
      <c r="V79" s="95">
        <f>(R80-R79)/R79</f>
        <v>-0.4763531444879705</v>
      </c>
    </row>
    <row r="80" spans="1:22" x14ac:dyDescent="0.25">
      <c r="A80" s="92"/>
      <c r="B80" s="34">
        <v>100000000</v>
      </c>
      <c r="C80" s="34">
        <f t="shared" si="3"/>
        <v>1</v>
      </c>
      <c r="D80" s="92"/>
      <c r="E80" s="5" t="s">
        <v>118</v>
      </c>
      <c r="F80">
        <v>5.7809999999999997</v>
      </c>
      <c r="G80">
        <v>3.51</v>
      </c>
      <c r="H80">
        <v>26.05</v>
      </c>
      <c r="I80">
        <v>149.31</v>
      </c>
      <c r="J80">
        <v>20.291309999999999</v>
      </c>
      <c r="K80">
        <v>150.59504999999999</v>
      </c>
      <c r="L80">
        <v>863.16111000000001</v>
      </c>
      <c r="M80">
        <v>17.863289999999999</v>
      </c>
      <c r="N80">
        <v>147.24207000000001</v>
      </c>
      <c r="O80">
        <v>366.5154</v>
      </c>
      <c r="P80" s="17">
        <f t="shared" si="4"/>
        <v>17.863289999999999</v>
      </c>
      <c r="Q80" s="16">
        <f t="shared" si="5"/>
        <v>147.24207000000001</v>
      </c>
      <c r="R80" s="16">
        <f t="shared" si="5"/>
        <v>366.5154</v>
      </c>
      <c r="S80" s="93"/>
      <c r="T80" s="94"/>
      <c r="U80" s="94"/>
      <c r="V80" s="95"/>
    </row>
    <row r="81" spans="1:22" x14ac:dyDescent="0.25">
      <c r="A81" s="92"/>
      <c r="B81" s="34">
        <v>100000000</v>
      </c>
      <c r="C81" s="34">
        <f t="shared" si="3"/>
        <v>1</v>
      </c>
      <c r="D81" s="92" t="s">
        <v>114</v>
      </c>
      <c r="E81" s="6"/>
      <c r="F81">
        <v>10.252000000000001</v>
      </c>
      <c r="G81">
        <v>3.49</v>
      </c>
      <c r="H81">
        <v>28.3</v>
      </c>
      <c r="I81">
        <v>152.6</v>
      </c>
      <c r="J81">
        <v>35.779480000000007</v>
      </c>
      <c r="K81">
        <v>290.13159999999999</v>
      </c>
      <c r="L81">
        <v>1564.4552000000001</v>
      </c>
      <c r="M81">
        <v>31.47364</v>
      </c>
      <c r="N81">
        <v>284.18544000000003</v>
      </c>
      <c r="O81">
        <v>683.70587999999998</v>
      </c>
      <c r="P81" s="17">
        <f t="shared" si="4"/>
        <v>31.47364</v>
      </c>
      <c r="Q81" s="16">
        <f t="shared" si="5"/>
        <v>284.18544000000003</v>
      </c>
      <c r="R81" s="16">
        <f t="shared" si="5"/>
        <v>683.70587999999998</v>
      </c>
      <c r="S81" s="93">
        <f>(F82-F81)/F81</f>
        <v>-0.43259851736246591</v>
      </c>
      <c r="T81" s="94">
        <f>(P82-P81)/P81</f>
        <v>-0.42705387746698509</v>
      </c>
      <c r="U81" s="94">
        <f>(Q82-Q81)/Q81</f>
        <v>-0.48970710814741253</v>
      </c>
      <c r="V81" s="95">
        <f>(R82-R81)/R81</f>
        <v>-0.4774359114770228</v>
      </c>
    </row>
    <row r="82" spans="1:22" x14ac:dyDescent="0.25">
      <c r="A82" s="92"/>
      <c r="B82" s="34">
        <v>100000000</v>
      </c>
      <c r="C82" s="34">
        <f t="shared" si="3"/>
        <v>1</v>
      </c>
      <c r="D82" s="92"/>
      <c r="E82" s="5" t="s">
        <v>118</v>
      </c>
      <c r="F82">
        <v>5.8170000000000002</v>
      </c>
      <c r="G82">
        <v>3.52</v>
      </c>
      <c r="H82">
        <v>25.51</v>
      </c>
      <c r="I82">
        <v>147.33000000000001</v>
      </c>
      <c r="J82">
        <v>20.475840000000002</v>
      </c>
      <c r="K82">
        <v>148.39167</v>
      </c>
      <c r="L82">
        <v>857.01861000000008</v>
      </c>
      <c r="M82">
        <v>18.032699999999998</v>
      </c>
      <c r="N82">
        <v>145.01781</v>
      </c>
      <c r="O82">
        <v>357.28014000000002</v>
      </c>
      <c r="P82" s="17">
        <f t="shared" si="4"/>
        <v>18.032699999999998</v>
      </c>
      <c r="Q82" s="16">
        <f t="shared" si="5"/>
        <v>145.01781</v>
      </c>
      <c r="R82" s="16">
        <f t="shared" si="5"/>
        <v>357.28014000000002</v>
      </c>
      <c r="S82" s="93"/>
      <c r="T82" s="94"/>
      <c r="U82" s="94"/>
      <c r="V82" s="95"/>
    </row>
    <row r="83" spans="1:22" x14ac:dyDescent="0.25">
      <c r="A83" s="92" t="s">
        <v>71</v>
      </c>
      <c r="B83" s="34">
        <v>100000000</v>
      </c>
      <c r="C83" s="34">
        <f t="shared" si="3"/>
        <v>1</v>
      </c>
      <c r="D83" s="92" t="s">
        <v>111</v>
      </c>
      <c r="E83" s="6"/>
      <c r="F83">
        <v>70.037999999999997</v>
      </c>
      <c r="G83">
        <v>3.46</v>
      </c>
      <c r="H83">
        <v>29.11</v>
      </c>
      <c r="I83">
        <v>151.52000000000001</v>
      </c>
      <c r="J83">
        <v>242.33148</v>
      </c>
      <c r="K83">
        <v>2038.80618</v>
      </c>
      <c r="L83">
        <v>10612.15776</v>
      </c>
      <c r="M83">
        <v>212.91551999999999</v>
      </c>
      <c r="N83">
        <v>1998.1841400000001</v>
      </c>
      <c r="O83">
        <v>4483.13238</v>
      </c>
      <c r="P83" s="17">
        <f t="shared" si="4"/>
        <v>212.91551999999999</v>
      </c>
      <c r="Q83" s="16">
        <f t="shared" si="5"/>
        <v>1998.1841400000001</v>
      </c>
      <c r="R83" s="16">
        <f t="shared" si="5"/>
        <v>4483.13238</v>
      </c>
      <c r="S83" s="93">
        <f>(F84-F83)/F83</f>
        <v>-0.280247865444473</v>
      </c>
      <c r="T83" s="94">
        <f>(P84-P83)/P83</f>
        <v>-0.280247865444473</v>
      </c>
      <c r="U83" s="94">
        <f>(Q84-Q83)/Q83</f>
        <v>-0.29134814372012779</v>
      </c>
      <c r="V83" s="95">
        <f>(R84-R83)/R83</f>
        <v>-0.27642477958681222</v>
      </c>
    </row>
    <row r="84" spans="1:22" x14ac:dyDescent="0.25">
      <c r="A84" s="92"/>
      <c r="B84" s="34">
        <v>100000000</v>
      </c>
      <c r="C84" s="34">
        <f t="shared" si="3"/>
        <v>1</v>
      </c>
      <c r="D84" s="92"/>
      <c r="E84" s="5" t="s">
        <v>118</v>
      </c>
      <c r="F84">
        <v>50.41</v>
      </c>
      <c r="G84">
        <v>3.46</v>
      </c>
      <c r="H84">
        <v>28.67</v>
      </c>
      <c r="I84">
        <v>151.87</v>
      </c>
      <c r="J84">
        <v>174.4186</v>
      </c>
      <c r="K84">
        <v>1445.2547</v>
      </c>
      <c r="L84">
        <v>7655.7667000000001</v>
      </c>
      <c r="M84">
        <v>153.24639999999999</v>
      </c>
      <c r="N84">
        <v>1416.0169000000001</v>
      </c>
      <c r="O84">
        <v>3243.883499999999</v>
      </c>
      <c r="P84" s="17">
        <f t="shared" si="4"/>
        <v>153.24639999999999</v>
      </c>
      <c r="Q84" s="16">
        <f t="shared" si="5"/>
        <v>1416.0169000000001</v>
      </c>
      <c r="R84" s="16">
        <f t="shared" si="5"/>
        <v>3243.883499999999</v>
      </c>
      <c r="S84" s="93"/>
      <c r="T84" s="94"/>
      <c r="U84" s="94"/>
      <c r="V84" s="95"/>
    </row>
    <row r="85" spans="1:22" x14ac:dyDescent="0.25">
      <c r="A85" s="92"/>
      <c r="B85" s="34">
        <v>100000000</v>
      </c>
      <c r="C85" s="34">
        <f t="shared" si="3"/>
        <v>1</v>
      </c>
      <c r="D85" s="92" t="s">
        <v>114</v>
      </c>
      <c r="E85" s="6"/>
      <c r="F85">
        <v>61.616999999999997</v>
      </c>
      <c r="G85">
        <v>3.47</v>
      </c>
      <c r="H85">
        <v>28.96</v>
      </c>
      <c r="I85">
        <v>151.38999999999999</v>
      </c>
      <c r="J85">
        <v>213.81099</v>
      </c>
      <c r="K85">
        <v>1784.42832</v>
      </c>
      <c r="L85">
        <v>9328.1976299999988</v>
      </c>
      <c r="M85">
        <v>187.93185</v>
      </c>
      <c r="N85">
        <v>1748.69046</v>
      </c>
      <c r="O85">
        <v>3935.477789999999</v>
      </c>
      <c r="P85" s="17">
        <f t="shared" si="4"/>
        <v>187.93185</v>
      </c>
      <c r="Q85" s="16">
        <f t="shared" si="5"/>
        <v>1748.69046</v>
      </c>
      <c r="R85" s="16">
        <f t="shared" si="5"/>
        <v>3935.477789999999</v>
      </c>
      <c r="S85" s="93">
        <f>(F86-F85)/F85</f>
        <v>-0.23350698670821363</v>
      </c>
      <c r="T85" s="94">
        <f>(P86-P85)/P85</f>
        <v>-0.23350698670821363</v>
      </c>
      <c r="U85" s="94">
        <f>(Q86-Q85)/Q85</f>
        <v>-0.2475512561554204</v>
      </c>
      <c r="V85" s="95">
        <f>(R86-R85)/R85</f>
        <v>-0.2489880574322843</v>
      </c>
    </row>
    <row r="86" spans="1:22" x14ac:dyDescent="0.25">
      <c r="A86" s="92"/>
      <c r="B86" s="34">
        <v>100000000</v>
      </c>
      <c r="C86" s="34">
        <f t="shared" si="3"/>
        <v>1</v>
      </c>
      <c r="D86" s="92"/>
      <c r="E86" s="5" t="s">
        <v>118</v>
      </c>
      <c r="F86">
        <v>47.228999999999999</v>
      </c>
      <c r="G86">
        <v>3.47</v>
      </c>
      <c r="H86">
        <v>28.44</v>
      </c>
      <c r="I86">
        <v>150.1</v>
      </c>
      <c r="J86">
        <v>163.88462999999999</v>
      </c>
      <c r="K86">
        <v>1343.1927599999999</v>
      </c>
      <c r="L86">
        <v>7089.0728999999992</v>
      </c>
      <c r="M86">
        <v>144.04845</v>
      </c>
      <c r="N86">
        <v>1315.7999400000001</v>
      </c>
      <c r="O86">
        <v>2955.5908199999999</v>
      </c>
      <c r="P86" s="17">
        <f t="shared" si="4"/>
        <v>144.04845</v>
      </c>
      <c r="Q86" s="16">
        <f t="shared" si="5"/>
        <v>1315.7999400000001</v>
      </c>
      <c r="R86" s="16">
        <f t="shared" si="5"/>
        <v>2955.5908199999999</v>
      </c>
      <c r="S86" s="93"/>
      <c r="T86" s="94"/>
      <c r="U86" s="94"/>
      <c r="V86" s="95"/>
    </row>
    <row r="87" spans="1:22" x14ac:dyDescent="0.25">
      <c r="A87" s="92" t="s">
        <v>79</v>
      </c>
      <c r="B87" s="34">
        <v>100000000</v>
      </c>
      <c r="C87" s="34">
        <f t="shared" si="3"/>
        <v>1</v>
      </c>
      <c r="D87" s="92" t="s">
        <v>111</v>
      </c>
      <c r="E87" s="6"/>
      <c r="F87">
        <v>204.48599999999999</v>
      </c>
      <c r="G87">
        <v>3.5</v>
      </c>
      <c r="H87">
        <v>29.07</v>
      </c>
      <c r="I87">
        <v>152.21</v>
      </c>
      <c r="J87">
        <v>715.70100000000002</v>
      </c>
      <c r="K87">
        <v>5944.4080199999999</v>
      </c>
      <c r="L87">
        <v>31124.814060000001</v>
      </c>
      <c r="M87">
        <v>629.81687999999997</v>
      </c>
      <c r="N87">
        <v>5934.18372</v>
      </c>
      <c r="O87">
        <v>14013.425579999999</v>
      </c>
      <c r="P87" s="17">
        <f t="shared" si="4"/>
        <v>629.81687999999997</v>
      </c>
      <c r="Q87" s="16">
        <f t="shared" si="5"/>
        <v>5934.18372</v>
      </c>
      <c r="R87" s="16">
        <f t="shared" si="5"/>
        <v>14013.425579999999</v>
      </c>
      <c r="S87" s="93">
        <f>(F88-F87)/F87</f>
        <v>-0.23339006093326681</v>
      </c>
      <c r="T87" s="94">
        <f>(P88-P87)/P87</f>
        <v>-0.2309010676246086</v>
      </c>
      <c r="U87" s="94">
        <f>(Q88-Q87)/Q87</f>
        <v>-0.23629588771815108</v>
      </c>
      <c r="V87" s="95">
        <f>(R88-R87)/R87</f>
        <v>-0.22958665542790146</v>
      </c>
    </row>
    <row r="88" spans="1:22" x14ac:dyDescent="0.25">
      <c r="A88" s="92"/>
      <c r="B88" s="34">
        <v>100000000</v>
      </c>
      <c r="C88" s="34">
        <f t="shared" si="3"/>
        <v>1</v>
      </c>
      <c r="D88" s="92"/>
      <c r="E88" s="5" t="s">
        <v>118</v>
      </c>
      <c r="F88">
        <v>156.761</v>
      </c>
      <c r="G88">
        <v>3.51</v>
      </c>
      <c r="H88">
        <v>28.96</v>
      </c>
      <c r="I88">
        <v>152.56</v>
      </c>
      <c r="J88">
        <v>550.23110999999994</v>
      </c>
      <c r="K88">
        <v>4539.7985600000002</v>
      </c>
      <c r="L88">
        <v>23915.458159999998</v>
      </c>
      <c r="M88">
        <v>484.39148999999998</v>
      </c>
      <c r="N88">
        <v>4531.9605099999999</v>
      </c>
      <c r="O88">
        <v>10796.130069999999</v>
      </c>
      <c r="P88" s="17">
        <f t="shared" si="4"/>
        <v>484.39148999999998</v>
      </c>
      <c r="Q88" s="16">
        <f t="shared" si="5"/>
        <v>4531.9605099999999</v>
      </c>
      <c r="R88" s="16">
        <f t="shared" si="5"/>
        <v>10796.130069999999</v>
      </c>
      <c r="S88" s="93"/>
      <c r="T88" s="94"/>
      <c r="U88" s="94"/>
      <c r="V88" s="95"/>
    </row>
    <row r="89" spans="1:22" x14ac:dyDescent="0.25">
      <c r="A89" s="92"/>
      <c r="B89" s="34">
        <v>100000000</v>
      </c>
      <c r="C89" s="34">
        <f t="shared" si="3"/>
        <v>1</v>
      </c>
      <c r="D89" s="92" t="s">
        <v>114</v>
      </c>
      <c r="E89" s="6"/>
      <c r="F89">
        <v>130.517</v>
      </c>
      <c r="G89">
        <v>3.52</v>
      </c>
      <c r="H89">
        <v>29.11</v>
      </c>
      <c r="I89">
        <v>152.41999999999999</v>
      </c>
      <c r="J89">
        <v>459.41984000000002</v>
      </c>
      <c r="K89">
        <v>3799.34987</v>
      </c>
      <c r="L89">
        <v>19893.401140000002</v>
      </c>
      <c r="M89">
        <v>404.60270000000003</v>
      </c>
      <c r="N89">
        <v>3792.82402</v>
      </c>
      <c r="O89">
        <v>8970.4334099999996</v>
      </c>
      <c r="P89" s="17">
        <f t="shared" si="4"/>
        <v>404.60270000000003</v>
      </c>
      <c r="Q89" s="16">
        <f t="shared" si="5"/>
        <v>3792.82402</v>
      </c>
      <c r="R89" s="16">
        <f t="shared" si="5"/>
        <v>8970.4334099999996</v>
      </c>
      <c r="S89" s="93">
        <f>(F90-F89)/F89</f>
        <v>0.17525686309063185</v>
      </c>
      <c r="T89" s="94">
        <f>(P90-P89)/P89</f>
        <v>0.16767456074811157</v>
      </c>
      <c r="U89" s="94">
        <f>(Q90-Q89)/Q89</f>
        <v>0.18617631777179047</v>
      </c>
      <c r="V89" s="95">
        <f>(R90-R89)/R89</f>
        <v>0.19150150182096939</v>
      </c>
    </row>
    <row r="90" spans="1:22" x14ac:dyDescent="0.25">
      <c r="A90" s="92"/>
      <c r="B90" s="34">
        <v>100000000</v>
      </c>
      <c r="C90" s="34">
        <f t="shared" si="3"/>
        <v>1</v>
      </c>
      <c r="D90" s="92"/>
      <c r="E90" s="5" t="s">
        <v>118</v>
      </c>
      <c r="F90">
        <v>153.39099999999999</v>
      </c>
      <c r="G90">
        <v>3.5</v>
      </c>
      <c r="H90">
        <v>29.38</v>
      </c>
      <c r="I90">
        <v>153.37</v>
      </c>
      <c r="J90">
        <v>536.86849999999993</v>
      </c>
      <c r="K90">
        <v>4506.6275799999994</v>
      </c>
      <c r="L90">
        <v>23525.577669999999</v>
      </c>
      <c r="M90">
        <v>472.44427999999999</v>
      </c>
      <c r="N90">
        <v>4498.9580299999998</v>
      </c>
      <c r="O90">
        <v>10688.284879999999</v>
      </c>
      <c r="P90" s="17">
        <f t="shared" si="4"/>
        <v>472.44427999999999</v>
      </c>
      <c r="Q90" s="16">
        <f t="shared" si="5"/>
        <v>4498.9580299999998</v>
      </c>
      <c r="R90" s="16">
        <f t="shared" si="5"/>
        <v>10688.284879999999</v>
      </c>
      <c r="S90" s="93"/>
      <c r="T90" s="94"/>
      <c r="U90" s="94"/>
      <c r="V90" s="95"/>
    </row>
    <row r="91" spans="1:22" x14ac:dyDescent="0.25">
      <c r="A91" s="92" t="s">
        <v>87</v>
      </c>
      <c r="B91" s="34">
        <v>100000000</v>
      </c>
      <c r="C91" s="34">
        <f t="shared" si="3"/>
        <v>1</v>
      </c>
      <c r="D91" s="92" t="s">
        <v>111</v>
      </c>
      <c r="E91" s="6"/>
      <c r="F91">
        <v>6.2480000000000002</v>
      </c>
      <c r="G91">
        <v>3.5</v>
      </c>
      <c r="H91">
        <v>28.18</v>
      </c>
      <c r="I91">
        <v>151.91</v>
      </c>
      <c r="J91">
        <v>21.867999999999999</v>
      </c>
      <c r="K91">
        <v>176.06863999999999</v>
      </c>
      <c r="L91">
        <v>949.13368000000003</v>
      </c>
      <c r="M91">
        <v>19.243839999999999</v>
      </c>
      <c r="N91">
        <v>172.44479999999999</v>
      </c>
      <c r="O91">
        <v>407.43207999999998</v>
      </c>
      <c r="P91" s="17">
        <f t="shared" si="4"/>
        <v>19.243839999999999</v>
      </c>
      <c r="Q91" s="16">
        <f t="shared" si="5"/>
        <v>172.44479999999999</v>
      </c>
      <c r="R91" s="16">
        <f t="shared" si="5"/>
        <v>407.43207999999998</v>
      </c>
      <c r="S91" s="93">
        <f>(F92-F91)/F91</f>
        <v>-0.60611395646606914</v>
      </c>
      <c r="T91" s="94">
        <f>(P92-P91)/P91</f>
        <v>-0.60099855330329077</v>
      </c>
      <c r="U91" s="94">
        <f>(Q92-Q91)/Q91</f>
        <v>-0.67789826077678184</v>
      </c>
      <c r="V91" s="95">
        <f>(R92-R91)/R91</f>
        <v>-0.63395960377003202</v>
      </c>
    </row>
    <row r="92" spans="1:22" x14ac:dyDescent="0.25">
      <c r="A92" s="92"/>
      <c r="B92" s="34">
        <v>100000000</v>
      </c>
      <c r="C92" s="34">
        <f t="shared" si="3"/>
        <v>1</v>
      </c>
      <c r="D92" s="92"/>
      <c r="E92" s="5" t="s">
        <v>118</v>
      </c>
      <c r="F92">
        <v>2.4609999999999999</v>
      </c>
      <c r="G92">
        <v>3.54</v>
      </c>
      <c r="H92">
        <v>23.15</v>
      </c>
      <c r="I92">
        <v>147.29</v>
      </c>
      <c r="J92">
        <v>8.7119400000000002</v>
      </c>
      <c r="K92">
        <v>56.972149999999992</v>
      </c>
      <c r="L92">
        <v>362.48068999999998</v>
      </c>
      <c r="M92">
        <v>7.6783199999999994</v>
      </c>
      <c r="N92">
        <v>55.54477</v>
      </c>
      <c r="O92">
        <v>149.13659999999999</v>
      </c>
      <c r="P92" s="17">
        <f t="shared" si="4"/>
        <v>7.6783199999999994</v>
      </c>
      <c r="Q92" s="16">
        <f t="shared" si="5"/>
        <v>55.54477</v>
      </c>
      <c r="R92" s="16">
        <f t="shared" si="5"/>
        <v>149.13659999999999</v>
      </c>
      <c r="S92" s="93"/>
      <c r="T92" s="94"/>
      <c r="U92" s="94"/>
      <c r="V92" s="95"/>
    </row>
    <row r="93" spans="1:22" x14ac:dyDescent="0.25">
      <c r="A93" s="92"/>
      <c r="B93" s="34">
        <v>100000000</v>
      </c>
      <c r="C93" s="34">
        <f t="shared" si="3"/>
        <v>1</v>
      </c>
      <c r="D93" s="92" t="s">
        <v>114</v>
      </c>
      <c r="E93" s="6"/>
      <c r="F93">
        <v>5.9779999999999998</v>
      </c>
      <c r="G93">
        <v>3.51</v>
      </c>
      <c r="H93">
        <v>28.11</v>
      </c>
      <c r="I93">
        <v>154.08000000000001</v>
      </c>
      <c r="J93">
        <v>20.982780000000002</v>
      </c>
      <c r="K93">
        <v>168.04158000000001</v>
      </c>
      <c r="L93">
        <v>921.09023999999999</v>
      </c>
      <c r="M93">
        <v>18.472020000000001</v>
      </c>
      <c r="N93">
        <v>164.57434000000001</v>
      </c>
      <c r="O93">
        <v>402.85741999999999</v>
      </c>
      <c r="P93" s="17">
        <f t="shared" si="4"/>
        <v>18.472020000000001</v>
      </c>
      <c r="Q93" s="16">
        <f t="shared" si="5"/>
        <v>164.57434000000001</v>
      </c>
      <c r="R93" s="16">
        <f t="shared" si="5"/>
        <v>402.85741999999999</v>
      </c>
      <c r="S93" s="93">
        <f>(F94-F93)/F93</f>
        <v>-0.6013716962194714</v>
      </c>
      <c r="T93" s="94">
        <f>(P94-P93)/P93</f>
        <v>-0.59621145927732866</v>
      </c>
      <c r="U93" s="94">
        <f>(Q94-Q93)/Q93</f>
        <v>-0.66855786874187073</v>
      </c>
      <c r="V93" s="95">
        <f>(R94-R93)/R93</f>
        <v>-0.64212772846532162</v>
      </c>
    </row>
    <row r="94" spans="1:22" x14ac:dyDescent="0.25">
      <c r="A94" s="92"/>
      <c r="B94" s="34">
        <v>100000000</v>
      </c>
      <c r="C94" s="34">
        <f t="shared" si="3"/>
        <v>1</v>
      </c>
      <c r="D94" s="92"/>
      <c r="E94" s="5" t="s">
        <v>118</v>
      </c>
      <c r="F94">
        <v>2.383</v>
      </c>
      <c r="G94">
        <v>3.55</v>
      </c>
      <c r="H94">
        <v>23.47</v>
      </c>
      <c r="I94">
        <v>147.19999999999999</v>
      </c>
      <c r="J94">
        <v>8.4596499999999999</v>
      </c>
      <c r="K94">
        <v>55.929009999999998</v>
      </c>
      <c r="L94">
        <v>350.77759999999989</v>
      </c>
      <c r="M94">
        <v>7.4587899999999996</v>
      </c>
      <c r="N94">
        <v>54.546869999999998</v>
      </c>
      <c r="O94">
        <v>144.17150000000001</v>
      </c>
      <c r="P94" s="17">
        <f t="shared" si="4"/>
        <v>7.4587899999999996</v>
      </c>
      <c r="Q94" s="16">
        <f t="shared" si="5"/>
        <v>54.546869999999998</v>
      </c>
      <c r="R94" s="16">
        <f t="shared" si="5"/>
        <v>144.17150000000001</v>
      </c>
      <c r="S94" s="93"/>
      <c r="T94" s="94"/>
      <c r="U94" s="94"/>
      <c r="V94" s="95"/>
    </row>
    <row r="95" spans="1:22" x14ac:dyDescent="0.25">
      <c r="A95" s="92" t="s">
        <v>91</v>
      </c>
      <c r="B95" s="34">
        <v>100000000</v>
      </c>
      <c r="C95" s="34">
        <f t="shared" si="3"/>
        <v>1</v>
      </c>
      <c r="D95" s="92" t="s">
        <v>111</v>
      </c>
      <c r="E95" s="6"/>
      <c r="F95">
        <v>55.194000000000003</v>
      </c>
      <c r="G95">
        <v>3.5</v>
      </c>
      <c r="H95">
        <v>28.34</v>
      </c>
      <c r="I95">
        <v>148.56</v>
      </c>
      <c r="J95">
        <v>193.179</v>
      </c>
      <c r="K95">
        <v>1564.19796</v>
      </c>
      <c r="L95">
        <v>8199.620640000001</v>
      </c>
      <c r="M95">
        <v>169.99752000000001</v>
      </c>
      <c r="N95">
        <v>1532.18544</v>
      </c>
      <c r="O95">
        <v>3524.6888399999998</v>
      </c>
      <c r="P95" s="17">
        <f t="shared" si="4"/>
        <v>169.99752000000001</v>
      </c>
      <c r="Q95" s="16">
        <f t="shared" si="5"/>
        <v>1532.18544</v>
      </c>
      <c r="R95" s="16">
        <f t="shared" si="5"/>
        <v>3524.6888399999998</v>
      </c>
      <c r="S95" s="93">
        <f>(F96-F95)/F95</f>
        <v>-0.13052143348914738</v>
      </c>
      <c r="T95" s="94">
        <f>(P96-P95)/P95</f>
        <v>-0.13052143348914738</v>
      </c>
      <c r="U95" s="94">
        <f>(Q96-Q95)/Q95</f>
        <v>-0.12801573156836679</v>
      </c>
      <c r="V95" s="95">
        <f>(R96-R95)/R95</f>
        <v>-0.10873681547446887</v>
      </c>
    </row>
    <row r="96" spans="1:22" x14ac:dyDescent="0.25">
      <c r="A96" s="92"/>
      <c r="B96" s="34">
        <v>100000000</v>
      </c>
      <c r="C96" s="34">
        <f t="shared" si="3"/>
        <v>1</v>
      </c>
      <c r="D96" s="92"/>
      <c r="E96" s="5" t="s">
        <v>118</v>
      </c>
      <c r="F96">
        <v>47.99</v>
      </c>
      <c r="G96">
        <v>3.5</v>
      </c>
      <c r="H96">
        <v>28.42</v>
      </c>
      <c r="I96">
        <v>150.15</v>
      </c>
      <c r="J96">
        <v>167.965</v>
      </c>
      <c r="K96">
        <v>1363.8758</v>
      </c>
      <c r="L96">
        <v>7205.6985000000004</v>
      </c>
      <c r="M96">
        <v>147.8092</v>
      </c>
      <c r="N96">
        <v>1336.0416</v>
      </c>
      <c r="O96">
        <v>3141.4254000000001</v>
      </c>
      <c r="P96" s="17">
        <f t="shared" si="4"/>
        <v>147.8092</v>
      </c>
      <c r="Q96" s="16">
        <f t="shared" si="5"/>
        <v>1336.0416</v>
      </c>
      <c r="R96" s="16">
        <f t="shared" si="5"/>
        <v>3141.4254000000001</v>
      </c>
      <c r="S96" s="93"/>
      <c r="T96" s="94"/>
      <c r="U96" s="94"/>
      <c r="V96" s="95"/>
    </row>
    <row r="97" spans="1:22" x14ac:dyDescent="0.25">
      <c r="A97" s="92"/>
      <c r="B97" s="34">
        <v>100000000</v>
      </c>
      <c r="C97" s="34">
        <f t="shared" si="3"/>
        <v>1</v>
      </c>
      <c r="D97" s="92" t="s">
        <v>114</v>
      </c>
      <c r="E97" s="6"/>
      <c r="F97">
        <v>54.970999999999997</v>
      </c>
      <c r="G97">
        <v>3.51</v>
      </c>
      <c r="H97">
        <v>28.08</v>
      </c>
      <c r="I97">
        <v>148.13999999999999</v>
      </c>
      <c r="J97">
        <v>192.94820999999999</v>
      </c>
      <c r="K97">
        <v>1543.5856799999999</v>
      </c>
      <c r="L97">
        <v>8143.4039399999983</v>
      </c>
      <c r="M97">
        <v>169.86039</v>
      </c>
      <c r="N97">
        <v>1511.7025000000001</v>
      </c>
      <c r="O97">
        <v>3487.36024</v>
      </c>
      <c r="P97" s="17">
        <f t="shared" si="4"/>
        <v>169.86039</v>
      </c>
      <c r="Q97" s="16">
        <f t="shared" si="5"/>
        <v>1511.7025000000001</v>
      </c>
      <c r="R97" s="16">
        <f t="shared" si="5"/>
        <v>3487.36024</v>
      </c>
      <c r="S97" s="93">
        <f>(F98-F97)/F97</f>
        <v>-4.3259173018500539E-2</v>
      </c>
      <c r="T97" s="94">
        <f>(P98-P97)/P97</f>
        <v>-4.9451670280516821E-2</v>
      </c>
      <c r="U97" s="94">
        <f>(Q98-Q97)/Q97</f>
        <v>2.8409412566295162E-2</v>
      </c>
      <c r="V97" s="95">
        <f>(R98-R97)/R97</f>
        <v>5.476755105747267E-2</v>
      </c>
    </row>
    <row r="98" spans="1:22" x14ac:dyDescent="0.25">
      <c r="A98" s="92"/>
      <c r="B98" s="34">
        <v>100000000</v>
      </c>
      <c r="C98" s="34">
        <f t="shared" si="3"/>
        <v>1</v>
      </c>
      <c r="D98" s="92"/>
      <c r="E98" s="5" t="s">
        <v>118</v>
      </c>
      <c r="F98">
        <v>52.593000000000004</v>
      </c>
      <c r="G98">
        <v>3.49</v>
      </c>
      <c r="H98">
        <v>30.14</v>
      </c>
      <c r="I98">
        <v>154.63999999999999</v>
      </c>
      <c r="J98">
        <v>183.54956999999999</v>
      </c>
      <c r="K98">
        <v>1585.15302</v>
      </c>
      <c r="L98">
        <v>8132.9815200000003</v>
      </c>
      <c r="M98">
        <v>161.46051</v>
      </c>
      <c r="N98">
        <v>1554.6490799999999</v>
      </c>
      <c r="O98">
        <v>3678.3544200000001</v>
      </c>
      <c r="P98" s="17">
        <f t="shared" si="4"/>
        <v>161.46051</v>
      </c>
      <c r="Q98" s="16">
        <f t="shared" si="5"/>
        <v>1554.6490799999999</v>
      </c>
      <c r="R98" s="16">
        <f t="shared" si="5"/>
        <v>3678.3544200000001</v>
      </c>
      <c r="S98" s="93"/>
      <c r="T98" s="94"/>
      <c r="U98" s="94"/>
      <c r="V98" s="95"/>
    </row>
    <row r="99" spans="1:22" x14ac:dyDescent="0.25">
      <c r="A99" s="92" t="s">
        <v>93</v>
      </c>
      <c r="B99" s="34">
        <v>100000</v>
      </c>
      <c r="C99" s="34">
        <f t="shared" si="3"/>
        <v>1000</v>
      </c>
      <c r="D99" s="92" t="s">
        <v>111</v>
      </c>
      <c r="E99" s="6"/>
      <c r="F99">
        <v>7.383</v>
      </c>
      <c r="G99">
        <v>3.49</v>
      </c>
      <c r="H99">
        <v>27.08</v>
      </c>
      <c r="I99">
        <v>147.85</v>
      </c>
      <c r="J99">
        <v>25.766670000000001</v>
      </c>
      <c r="K99">
        <v>199.93163999999999</v>
      </c>
      <c r="L99">
        <v>1091.57655</v>
      </c>
      <c r="M99">
        <v>22.66581</v>
      </c>
      <c r="N99">
        <v>195.64949999999999</v>
      </c>
      <c r="O99">
        <v>502.26549</v>
      </c>
      <c r="P99" s="17">
        <f t="shared" si="4"/>
        <v>22665.81</v>
      </c>
      <c r="Q99" s="16">
        <f t="shared" si="5"/>
        <v>195649.5</v>
      </c>
      <c r="R99" s="16">
        <f t="shared" si="5"/>
        <v>502265.49</v>
      </c>
      <c r="S99" s="93">
        <f>(F100-F99)/F99</f>
        <v>-0.15847216578626575</v>
      </c>
      <c r="T99" s="94">
        <f>(P100-P99)/P99</f>
        <v>-0.15298989976532934</v>
      </c>
      <c r="U99" s="94">
        <f>(Q100-Q99)/Q99</f>
        <v>-0.1467225318746023</v>
      </c>
      <c r="V99" s="95">
        <f>(R100-R99)/R99</f>
        <v>-0.14659701187115204</v>
      </c>
    </row>
    <row r="100" spans="1:22" x14ac:dyDescent="0.25">
      <c r="A100" s="92"/>
      <c r="B100" s="34">
        <v>100000</v>
      </c>
      <c r="C100" s="34">
        <f t="shared" si="3"/>
        <v>1000</v>
      </c>
      <c r="D100" s="92"/>
      <c r="E100" s="5" t="s">
        <v>118</v>
      </c>
      <c r="F100">
        <v>6.2130000000000001</v>
      </c>
      <c r="G100">
        <v>3.51</v>
      </c>
      <c r="H100">
        <v>27.45</v>
      </c>
      <c r="I100">
        <v>148.80000000000001</v>
      </c>
      <c r="J100">
        <v>21.80763</v>
      </c>
      <c r="K100">
        <v>170.54685000000001</v>
      </c>
      <c r="L100">
        <v>924.49440000000004</v>
      </c>
      <c r="M100">
        <v>19.198170000000001</v>
      </c>
      <c r="N100">
        <v>166.94331</v>
      </c>
      <c r="O100">
        <v>428.63486999999998</v>
      </c>
      <c r="P100" s="17">
        <f t="shared" si="4"/>
        <v>19198.170000000002</v>
      </c>
      <c r="Q100" s="16">
        <f t="shared" si="5"/>
        <v>166943.31</v>
      </c>
      <c r="R100" s="16">
        <f t="shared" si="5"/>
        <v>428634.87</v>
      </c>
      <c r="S100" s="93"/>
      <c r="T100" s="94"/>
      <c r="U100" s="94"/>
      <c r="V100" s="95"/>
    </row>
    <row r="101" spans="1:22" x14ac:dyDescent="0.25">
      <c r="A101" s="92"/>
      <c r="B101" s="34">
        <v>100000</v>
      </c>
      <c r="C101" s="34">
        <f t="shared" si="3"/>
        <v>1000</v>
      </c>
      <c r="D101" s="92" t="s">
        <v>114</v>
      </c>
      <c r="E101" s="6"/>
      <c r="F101">
        <v>5.798</v>
      </c>
      <c r="G101">
        <v>3.5</v>
      </c>
      <c r="H101">
        <v>26.53</v>
      </c>
      <c r="I101">
        <v>146.75</v>
      </c>
      <c r="J101">
        <v>20.292999999999999</v>
      </c>
      <c r="K101">
        <v>153.82094000000001</v>
      </c>
      <c r="L101">
        <v>850.85649999999998</v>
      </c>
      <c r="M101">
        <v>17.857839999999999</v>
      </c>
      <c r="N101">
        <v>150.4581</v>
      </c>
      <c r="O101">
        <v>388.11811999999998</v>
      </c>
      <c r="P101" s="17">
        <f t="shared" si="4"/>
        <v>17857.84</v>
      </c>
      <c r="Q101" s="16">
        <f t="shared" si="5"/>
        <v>150458.1</v>
      </c>
      <c r="R101" s="16">
        <f t="shared" si="5"/>
        <v>388118.12</v>
      </c>
      <c r="S101" s="93">
        <f>(F102-F101)/F101</f>
        <v>-0.2202483615039669</v>
      </c>
      <c r="T101" s="94">
        <f>(P102-P101)/P101</f>
        <v>-0.21518503917607054</v>
      </c>
      <c r="U101" s="94">
        <f>(Q102-Q101)/Q101</f>
        <v>-0.21183485634871105</v>
      </c>
      <c r="V101" s="95">
        <f>(R102-R101)/R101</f>
        <v>-0.20568771692494028</v>
      </c>
    </row>
    <row r="102" spans="1:22" x14ac:dyDescent="0.25">
      <c r="A102" s="92"/>
      <c r="B102" s="34">
        <v>100000</v>
      </c>
      <c r="C102" s="34">
        <f t="shared" si="3"/>
        <v>1000</v>
      </c>
      <c r="D102" s="92"/>
      <c r="E102" s="5" t="s">
        <v>118</v>
      </c>
      <c r="F102">
        <v>4.5209999999999999</v>
      </c>
      <c r="G102">
        <v>3.52</v>
      </c>
      <c r="H102">
        <v>26.81</v>
      </c>
      <c r="I102">
        <v>148</v>
      </c>
      <c r="J102">
        <v>15.913919999999999</v>
      </c>
      <c r="K102">
        <v>121.20801</v>
      </c>
      <c r="L102">
        <v>669.10799999999995</v>
      </c>
      <c r="M102">
        <v>14.0151</v>
      </c>
      <c r="N102">
        <v>118.58583</v>
      </c>
      <c r="O102">
        <v>308.28699</v>
      </c>
      <c r="P102" s="17">
        <f t="shared" si="4"/>
        <v>14015.1</v>
      </c>
      <c r="Q102" s="16">
        <f t="shared" si="5"/>
        <v>118585.83</v>
      </c>
      <c r="R102" s="16">
        <f t="shared" si="5"/>
        <v>308286.99</v>
      </c>
      <c r="S102" s="93"/>
      <c r="T102" s="94"/>
      <c r="U102" s="94"/>
      <c r="V102" s="95"/>
    </row>
    <row r="103" spans="1:22" x14ac:dyDescent="0.25">
      <c r="A103" s="92" t="s">
        <v>95</v>
      </c>
      <c r="B103" s="34">
        <v>100000</v>
      </c>
      <c r="C103" s="34">
        <f t="shared" si="3"/>
        <v>1000</v>
      </c>
      <c r="D103" s="92" t="s">
        <v>111</v>
      </c>
      <c r="E103" s="6"/>
      <c r="F103">
        <v>1.972</v>
      </c>
      <c r="G103">
        <v>3.57</v>
      </c>
      <c r="H103">
        <v>23.38</v>
      </c>
      <c r="I103">
        <v>147.29</v>
      </c>
      <c r="J103">
        <v>7.0400399999999994</v>
      </c>
      <c r="K103">
        <v>46.105359999999997</v>
      </c>
      <c r="L103">
        <v>290.45587999999998</v>
      </c>
      <c r="M103">
        <v>6.2117999999999993</v>
      </c>
      <c r="N103">
        <v>44.961599999999997</v>
      </c>
      <c r="O103">
        <v>122.264</v>
      </c>
      <c r="P103" s="17">
        <f t="shared" si="4"/>
        <v>6211.7999999999993</v>
      </c>
      <c r="Q103" s="16">
        <f t="shared" si="5"/>
        <v>44961.599999999999</v>
      </c>
      <c r="R103" s="16">
        <f t="shared" si="5"/>
        <v>122264</v>
      </c>
      <c r="S103" s="93">
        <f>(F104-F103)/F103</f>
        <v>0.25659229208924961</v>
      </c>
      <c r="T103" s="94">
        <f>(P104-P103)/P103</f>
        <v>0.2645706558485465</v>
      </c>
      <c r="U103" s="94">
        <f>(Q104-Q103)/Q103</f>
        <v>0.3640640012810934</v>
      </c>
      <c r="V103" s="95">
        <f>(R104-R103)/R103</f>
        <v>0.35124206634823013</v>
      </c>
    </row>
    <row r="104" spans="1:22" x14ac:dyDescent="0.25">
      <c r="A104" s="92"/>
      <c r="B104" s="34">
        <v>100000</v>
      </c>
      <c r="C104" s="34">
        <f t="shared" si="3"/>
        <v>1000</v>
      </c>
      <c r="D104" s="92"/>
      <c r="E104" s="5" t="s">
        <v>118</v>
      </c>
      <c r="F104">
        <v>2.4780000000000002</v>
      </c>
      <c r="G104">
        <v>3.59</v>
      </c>
      <c r="H104">
        <v>25.33</v>
      </c>
      <c r="I104">
        <v>151.97</v>
      </c>
      <c r="J104">
        <v>8.89602</v>
      </c>
      <c r="K104">
        <v>62.767740000000003</v>
      </c>
      <c r="L104">
        <v>376.58166000000011</v>
      </c>
      <c r="M104">
        <v>7.8552600000000004</v>
      </c>
      <c r="N104">
        <v>61.330500000000008</v>
      </c>
      <c r="O104">
        <v>165.20826</v>
      </c>
      <c r="P104" s="17">
        <f t="shared" si="4"/>
        <v>7855.26</v>
      </c>
      <c r="Q104" s="16">
        <f t="shared" si="5"/>
        <v>61330.500000000007</v>
      </c>
      <c r="R104" s="16">
        <f t="shared" si="5"/>
        <v>165208.26</v>
      </c>
      <c r="S104" s="93"/>
      <c r="T104" s="94"/>
      <c r="U104" s="94"/>
      <c r="V104" s="95"/>
    </row>
    <row r="105" spans="1:22" x14ac:dyDescent="0.25">
      <c r="A105" s="92"/>
      <c r="B105" s="34">
        <v>100000</v>
      </c>
      <c r="C105" s="34">
        <f t="shared" si="3"/>
        <v>1000</v>
      </c>
      <c r="D105" s="92" t="s">
        <v>114</v>
      </c>
      <c r="E105" s="6"/>
      <c r="F105">
        <v>1.204</v>
      </c>
      <c r="G105">
        <v>3.59</v>
      </c>
      <c r="H105">
        <v>20.85</v>
      </c>
      <c r="I105">
        <v>144.31</v>
      </c>
      <c r="J105">
        <v>4.3223599999999998</v>
      </c>
      <c r="K105">
        <v>25.103400000000001</v>
      </c>
      <c r="L105">
        <v>173.74923999999999</v>
      </c>
      <c r="M105">
        <v>3.8166799999999999</v>
      </c>
      <c r="N105">
        <v>24.405080000000002</v>
      </c>
      <c r="O105">
        <v>71.04804</v>
      </c>
      <c r="P105" s="17">
        <f t="shared" si="4"/>
        <v>3816.68</v>
      </c>
      <c r="Q105" s="16">
        <f t="shared" si="5"/>
        <v>24405.08</v>
      </c>
      <c r="R105" s="16">
        <f t="shared" si="5"/>
        <v>71048.039999999994</v>
      </c>
      <c r="S105" s="93">
        <f>(F106-F105)/F105</f>
        <v>0.30481727574750833</v>
      </c>
      <c r="T105" s="94">
        <f>(P106-P105)/P105</f>
        <v>0.30070113292180634</v>
      </c>
      <c r="U105" s="94">
        <f>(Q106-Q105)/Q105</f>
        <v>0.44836648763290254</v>
      </c>
      <c r="V105" s="95">
        <f>(R106-R105)/R105</f>
        <v>0.40807937840368302</v>
      </c>
    </row>
    <row r="106" spans="1:22" x14ac:dyDescent="0.25">
      <c r="A106" s="92"/>
      <c r="B106" s="34">
        <v>100000</v>
      </c>
      <c r="C106" s="34">
        <f t="shared" si="3"/>
        <v>1000</v>
      </c>
      <c r="D106" s="92"/>
      <c r="E106" s="5" t="s">
        <v>118</v>
      </c>
      <c r="F106">
        <v>1.571</v>
      </c>
      <c r="G106">
        <v>3.58</v>
      </c>
      <c r="H106">
        <v>23.08</v>
      </c>
      <c r="I106">
        <v>148.97999999999999</v>
      </c>
      <c r="J106">
        <v>5.62418</v>
      </c>
      <c r="K106">
        <v>36.258679999999998</v>
      </c>
      <c r="L106">
        <v>234.04758000000001</v>
      </c>
      <c r="M106">
        <v>4.9643600000000001</v>
      </c>
      <c r="N106">
        <v>35.347499999999997</v>
      </c>
      <c r="O106">
        <v>100.04128</v>
      </c>
      <c r="P106" s="20">
        <f t="shared" si="4"/>
        <v>4964.3599999999997</v>
      </c>
      <c r="Q106" s="19">
        <f t="shared" si="5"/>
        <v>35347.5</v>
      </c>
      <c r="R106" s="19">
        <f t="shared" si="5"/>
        <v>100041.28</v>
      </c>
      <c r="S106" s="96"/>
      <c r="T106" s="97"/>
      <c r="U106" s="97"/>
      <c r="V106" s="98"/>
    </row>
  </sheetData>
  <mergeCells count="297">
    <mergeCell ref="A3:A6"/>
    <mergeCell ref="D3:D4"/>
    <mergeCell ref="S3:S4"/>
    <mergeCell ref="T3:T4"/>
    <mergeCell ref="U3:U4"/>
    <mergeCell ref="A1:A2"/>
    <mergeCell ref="B1:B2"/>
    <mergeCell ref="C1:C2"/>
    <mergeCell ref="D1:D2"/>
    <mergeCell ref="E1:E2"/>
    <mergeCell ref="F1:F2"/>
    <mergeCell ref="V3:V4"/>
    <mergeCell ref="D5:D6"/>
    <mergeCell ref="S5:S6"/>
    <mergeCell ref="T5:T6"/>
    <mergeCell ref="U5:U6"/>
    <mergeCell ref="V5:V6"/>
    <mergeCell ref="G1:I1"/>
    <mergeCell ref="J1:L1"/>
    <mergeCell ref="M1:O1"/>
    <mergeCell ref="P1:R1"/>
    <mergeCell ref="S1:V1"/>
    <mergeCell ref="V9:V10"/>
    <mergeCell ref="A11:A14"/>
    <mergeCell ref="D11:D12"/>
    <mergeCell ref="S11:S12"/>
    <mergeCell ref="T11:T12"/>
    <mergeCell ref="U11:U12"/>
    <mergeCell ref="V11:V12"/>
    <mergeCell ref="D13:D14"/>
    <mergeCell ref="S13:S14"/>
    <mergeCell ref="T13:T14"/>
    <mergeCell ref="A7:A10"/>
    <mergeCell ref="D7:D8"/>
    <mergeCell ref="S7:S8"/>
    <mergeCell ref="T7:T8"/>
    <mergeCell ref="U7:U8"/>
    <mergeCell ref="V7:V8"/>
    <mergeCell ref="D9:D10"/>
    <mergeCell ref="S9:S10"/>
    <mergeCell ref="T9:T10"/>
    <mergeCell ref="U9:U10"/>
    <mergeCell ref="U13:U14"/>
    <mergeCell ref="V13:V14"/>
    <mergeCell ref="A15:A18"/>
    <mergeCell ref="D15:D16"/>
    <mergeCell ref="S15:S16"/>
    <mergeCell ref="T15:T16"/>
    <mergeCell ref="U15:U16"/>
    <mergeCell ref="V15:V16"/>
    <mergeCell ref="D17:D18"/>
    <mergeCell ref="S17:S18"/>
    <mergeCell ref="T17:T18"/>
    <mergeCell ref="U17:U18"/>
    <mergeCell ref="V17:V18"/>
    <mergeCell ref="A19:A22"/>
    <mergeCell ref="D19:D20"/>
    <mergeCell ref="S19:S20"/>
    <mergeCell ref="T19:T20"/>
    <mergeCell ref="U19:U20"/>
    <mergeCell ref="V19:V20"/>
    <mergeCell ref="D21:D22"/>
    <mergeCell ref="A27:A30"/>
    <mergeCell ref="D27:D28"/>
    <mergeCell ref="S27:S28"/>
    <mergeCell ref="T27:T28"/>
    <mergeCell ref="U27:U28"/>
    <mergeCell ref="S21:S22"/>
    <mergeCell ref="T21:T22"/>
    <mergeCell ref="U21:U22"/>
    <mergeCell ref="V21:V22"/>
    <mergeCell ref="A23:A26"/>
    <mergeCell ref="D23:D24"/>
    <mergeCell ref="S23:S24"/>
    <mergeCell ref="T23:T24"/>
    <mergeCell ref="U23:U24"/>
    <mergeCell ref="V23:V24"/>
    <mergeCell ref="V27:V28"/>
    <mergeCell ref="D29:D30"/>
    <mergeCell ref="S29:S30"/>
    <mergeCell ref="T29:T30"/>
    <mergeCell ref="U29:U30"/>
    <mergeCell ref="V29:V30"/>
    <mergeCell ref="D25:D26"/>
    <mergeCell ref="S25:S26"/>
    <mergeCell ref="T25:T26"/>
    <mergeCell ref="U25:U26"/>
    <mergeCell ref="V25:V26"/>
    <mergeCell ref="V33:V34"/>
    <mergeCell ref="A35:A38"/>
    <mergeCell ref="D35:D36"/>
    <mergeCell ref="S35:S36"/>
    <mergeCell ref="T35:T36"/>
    <mergeCell ref="U35:U36"/>
    <mergeCell ref="V35:V36"/>
    <mergeCell ref="D37:D38"/>
    <mergeCell ref="S37:S38"/>
    <mergeCell ref="T37:T38"/>
    <mergeCell ref="A31:A34"/>
    <mergeCell ref="D31:D32"/>
    <mergeCell ref="S31:S32"/>
    <mergeCell ref="T31:T32"/>
    <mergeCell ref="U31:U32"/>
    <mergeCell ref="V31:V32"/>
    <mergeCell ref="D33:D34"/>
    <mergeCell ref="S33:S34"/>
    <mergeCell ref="T33:T34"/>
    <mergeCell ref="U33:U34"/>
    <mergeCell ref="U37:U38"/>
    <mergeCell ref="V37:V38"/>
    <mergeCell ref="A39:A42"/>
    <mergeCell ref="D39:D40"/>
    <mergeCell ref="S39:S40"/>
    <mergeCell ref="T39:T40"/>
    <mergeCell ref="U39:U40"/>
    <mergeCell ref="V39:V40"/>
    <mergeCell ref="D41:D42"/>
    <mergeCell ref="S41:S42"/>
    <mergeCell ref="T41:T42"/>
    <mergeCell ref="U41:U42"/>
    <mergeCell ref="V41:V42"/>
    <mergeCell ref="A43:A46"/>
    <mergeCell ref="D43:D44"/>
    <mergeCell ref="S43:S44"/>
    <mergeCell ref="T43:T44"/>
    <mergeCell ref="U43:U44"/>
    <mergeCell ref="V43:V44"/>
    <mergeCell ref="D45:D46"/>
    <mergeCell ref="A51:A54"/>
    <mergeCell ref="D51:D52"/>
    <mergeCell ref="S51:S52"/>
    <mergeCell ref="T51:T52"/>
    <mergeCell ref="U51:U52"/>
    <mergeCell ref="S45:S46"/>
    <mergeCell ref="T45:T46"/>
    <mergeCell ref="U45:U46"/>
    <mergeCell ref="V45:V46"/>
    <mergeCell ref="A47:A50"/>
    <mergeCell ref="D47:D48"/>
    <mergeCell ref="S47:S48"/>
    <mergeCell ref="T47:T48"/>
    <mergeCell ref="U47:U48"/>
    <mergeCell ref="V47:V48"/>
    <mergeCell ref="V51:V52"/>
    <mergeCell ref="D53:D54"/>
    <mergeCell ref="S53:S54"/>
    <mergeCell ref="T53:T54"/>
    <mergeCell ref="U53:U54"/>
    <mergeCell ref="V53:V54"/>
    <mergeCell ref="D49:D50"/>
    <mergeCell ref="S49:S50"/>
    <mergeCell ref="T49:T50"/>
    <mergeCell ref="U49:U50"/>
    <mergeCell ref="V49:V50"/>
    <mergeCell ref="V57:V58"/>
    <mergeCell ref="A59:A62"/>
    <mergeCell ref="D59:D60"/>
    <mergeCell ref="S59:S60"/>
    <mergeCell ref="T59:T60"/>
    <mergeCell ref="U59:U60"/>
    <mergeCell ref="V59:V60"/>
    <mergeCell ref="D61:D62"/>
    <mergeCell ref="S61:S62"/>
    <mergeCell ref="T61:T62"/>
    <mergeCell ref="A55:A58"/>
    <mergeCell ref="D55:D56"/>
    <mergeCell ref="S55:S56"/>
    <mergeCell ref="T55:T56"/>
    <mergeCell ref="U55:U56"/>
    <mergeCell ref="V55:V56"/>
    <mergeCell ref="D57:D58"/>
    <mergeCell ref="S57:S58"/>
    <mergeCell ref="T57:T58"/>
    <mergeCell ref="U57:U58"/>
    <mergeCell ref="U61:U62"/>
    <mergeCell ref="V61:V62"/>
    <mergeCell ref="A63:A66"/>
    <mergeCell ref="D63:D64"/>
    <mergeCell ref="S63:S64"/>
    <mergeCell ref="T63:T64"/>
    <mergeCell ref="U63:U64"/>
    <mergeCell ref="V63:V64"/>
    <mergeCell ref="D65:D66"/>
    <mergeCell ref="S65:S66"/>
    <mergeCell ref="T65:T66"/>
    <mergeCell ref="U65:U66"/>
    <mergeCell ref="V65:V66"/>
    <mergeCell ref="A67:A70"/>
    <mergeCell ref="D67:D68"/>
    <mergeCell ref="S67:S68"/>
    <mergeCell ref="T67:T68"/>
    <mergeCell ref="U67:U68"/>
    <mergeCell ref="V67:V68"/>
    <mergeCell ref="D69:D70"/>
    <mergeCell ref="A75:A78"/>
    <mergeCell ref="D75:D76"/>
    <mergeCell ref="S75:S76"/>
    <mergeCell ref="T75:T76"/>
    <mergeCell ref="U75:U76"/>
    <mergeCell ref="S69:S70"/>
    <mergeCell ref="T69:T70"/>
    <mergeCell ref="U69:U70"/>
    <mergeCell ref="V69:V70"/>
    <mergeCell ref="A71:A74"/>
    <mergeCell ref="D71:D72"/>
    <mergeCell ref="S71:S72"/>
    <mergeCell ref="T71:T72"/>
    <mergeCell ref="U71:U72"/>
    <mergeCell ref="V71:V72"/>
    <mergeCell ref="V75:V76"/>
    <mergeCell ref="D77:D78"/>
    <mergeCell ref="S77:S78"/>
    <mergeCell ref="T77:T78"/>
    <mergeCell ref="U77:U78"/>
    <mergeCell ref="V77:V78"/>
    <mergeCell ref="D73:D74"/>
    <mergeCell ref="S73:S74"/>
    <mergeCell ref="T73:T74"/>
    <mergeCell ref="U73:U74"/>
    <mergeCell ref="V73:V74"/>
    <mergeCell ref="V81:V82"/>
    <mergeCell ref="A83:A86"/>
    <mergeCell ref="D83:D84"/>
    <mergeCell ref="S83:S84"/>
    <mergeCell ref="T83:T84"/>
    <mergeCell ref="U83:U84"/>
    <mergeCell ref="V83:V84"/>
    <mergeCell ref="D85:D86"/>
    <mergeCell ref="S85:S86"/>
    <mergeCell ref="T85:T86"/>
    <mergeCell ref="A79:A82"/>
    <mergeCell ref="D79:D80"/>
    <mergeCell ref="S79:S80"/>
    <mergeCell ref="T79:T80"/>
    <mergeCell ref="U79:U80"/>
    <mergeCell ref="V79:V80"/>
    <mergeCell ref="D81:D82"/>
    <mergeCell ref="S81:S82"/>
    <mergeCell ref="T81:T82"/>
    <mergeCell ref="U81:U82"/>
    <mergeCell ref="U85:U86"/>
    <mergeCell ref="V85:V86"/>
    <mergeCell ref="A87:A90"/>
    <mergeCell ref="D87:D88"/>
    <mergeCell ref="S87:S88"/>
    <mergeCell ref="T87:T88"/>
    <mergeCell ref="U87:U88"/>
    <mergeCell ref="V87:V88"/>
    <mergeCell ref="D89:D90"/>
    <mergeCell ref="S89:S90"/>
    <mergeCell ref="T89:T90"/>
    <mergeCell ref="U89:U90"/>
    <mergeCell ref="V89:V90"/>
    <mergeCell ref="A91:A94"/>
    <mergeCell ref="D91:D92"/>
    <mergeCell ref="S91:S92"/>
    <mergeCell ref="T91:T92"/>
    <mergeCell ref="U91:U92"/>
    <mergeCell ref="V91:V92"/>
    <mergeCell ref="D93:D94"/>
    <mergeCell ref="A99:A102"/>
    <mergeCell ref="D99:D100"/>
    <mergeCell ref="S99:S100"/>
    <mergeCell ref="T99:T100"/>
    <mergeCell ref="U99:U100"/>
    <mergeCell ref="S93:S94"/>
    <mergeCell ref="T93:T94"/>
    <mergeCell ref="U93:U94"/>
    <mergeCell ref="V93:V94"/>
    <mergeCell ref="A95:A98"/>
    <mergeCell ref="D95:D96"/>
    <mergeCell ref="S95:S96"/>
    <mergeCell ref="T95:T96"/>
    <mergeCell ref="U95:U96"/>
    <mergeCell ref="V95:V96"/>
    <mergeCell ref="V99:V100"/>
    <mergeCell ref="D101:D102"/>
    <mergeCell ref="S101:S102"/>
    <mergeCell ref="T101:T102"/>
    <mergeCell ref="U101:U102"/>
    <mergeCell ref="V101:V102"/>
    <mergeCell ref="D97:D98"/>
    <mergeCell ref="S97:S98"/>
    <mergeCell ref="T97:T98"/>
    <mergeCell ref="U97:U98"/>
    <mergeCell ref="V97:V98"/>
    <mergeCell ref="V105:V106"/>
    <mergeCell ref="A103:A106"/>
    <mergeCell ref="D103:D104"/>
    <mergeCell ref="S103:S104"/>
    <mergeCell ref="T103:T104"/>
    <mergeCell ref="U103:U104"/>
    <mergeCell ref="V103:V104"/>
    <mergeCell ref="D105:D106"/>
    <mergeCell ref="S105:S106"/>
    <mergeCell ref="T105:T106"/>
    <mergeCell ref="U105:U106"/>
  </mergeCells>
  <conditionalFormatting sqref="S3:V106">
    <cfRule type="colorScale" priority="1">
      <colorScale>
        <cfvo type="num" val="-1"/>
        <cfvo type="num" val="0"/>
        <cfvo type="num" val="1"/>
        <color rgb="FF92D050"/>
        <color rgb="FFFFC000"/>
        <color rgb="FFFF0000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53897-0FFF-4331-B18D-B677A58C4548}">
  <dimension ref="B2:AD48"/>
  <sheetViews>
    <sheetView topLeftCell="P1" zoomScale="85" zoomScaleNormal="85" workbookViewId="0">
      <selection activeCell="V5" sqref="V5:W30"/>
    </sheetView>
  </sheetViews>
  <sheetFormatPr baseColWidth="10" defaultRowHeight="15" x14ac:dyDescent="0.25"/>
  <cols>
    <col min="3" max="4" width="20.42578125" bestFit="1" customWidth="1"/>
    <col min="6" max="6" width="7.7109375" bestFit="1" customWidth="1"/>
    <col min="7" max="7" width="33.5703125" bestFit="1" customWidth="1"/>
    <col min="8" max="9" width="20.42578125" bestFit="1" customWidth="1"/>
    <col min="12" max="12" width="33.5703125" bestFit="1" customWidth="1"/>
    <col min="14" max="15" width="20.42578125" bestFit="1" customWidth="1"/>
    <col min="17" max="17" width="7.7109375" bestFit="1" customWidth="1"/>
    <col min="18" max="18" width="33.5703125" bestFit="1" customWidth="1"/>
    <col min="19" max="20" width="20.42578125" bestFit="1" customWidth="1"/>
    <col min="22" max="22" width="7.7109375" bestFit="1" customWidth="1"/>
    <col min="23" max="23" width="33.5703125" bestFit="1" customWidth="1"/>
    <col min="24" max="24" width="18.28515625" bestFit="1" customWidth="1"/>
    <col min="26" max="26" width="12.5703125" bestFit="1" customWidth="1"/>
    <col min="27" max="27" width="44.5703125" bestFit="1" customWidth="1"/>
    <col min="29" max="29" width="12.5703125" bestFit="1" customWidth="1"/>
    <col min="30" max="30" width="41.28515625" bestFit="1" customWidth="1"/>
  </cols>
  <sheetData>
    <row r="2" spans="2:30" x14ac:dyDescent="0.25">
      <c r="B2" s="38"/>
      <c r="C2" s="88" t="s">
        <v>217</v>
      </c>
      <c r="D2" s="88"/>
      <c r="E2" s="88"/>
      <c r="F2" s="88"/>
      <c r="G2" s="88"/>
      <c r="H2" s="88"/>
      <c r="I2" s="88"/>
      <c r="J2" s="88"/>
      <c r="K2" s="88"/>
      <c r="L2" s="88"/>
      <c r="N2" s="82" t="s">
        <v>118</v>
      </c>
      <c r="O2" s="83"/>
      <c r="P2" s="83"/>
      <c r="Q2" s="83"/>
      <c r="R2" s="83"/>
      <c r="S2" s="83"/>
      <c r="T2" s="83"/>
      <c r="U2" s="83"/>
      <c r="V2" s="83"/>
      <c r="W2" s="84"/>
    </row>
    <row r="3" spans="2:30" ht="15.75" x14ac:dyDescent="0.25">
      <c r="B3" s="38"/>
      <c r="C3" s="82" t="s">
        <v>100</v>
      </c>
      <c r="D3" s="83"/>
      <c r="E3" s="83"/>
      <c r="F3" s="83"/>
      <c r="G3" s="84"/>
      <c r="H3" s="88" t="s">
        <v>205</v>
      </c>
      <c r="I3" s="88"/>
      <c r="J3" s="88"/>
      <c r="K3" s="88"/>
      <c r="L3" s="88"/>
      <c r="N3" s="82" t="s">
        <v>100</v>
      </c>
      <c r="O3" s="83"/>
      <c r="P3" s="83"/>
      <c r="Q3" s="83"/>
      <c r="R3" s="83"/>
      <c r="S3" s="83" t="s">
        <v>205</v>
      </c>
      <c r="T3" s="83"/>
      <c r="U3" s="83"/>
      <c r="V3" s="40"/>
      <c r="W3" s="41"/>
      <c r="Z3" s="85" t="s">
        <v>205</v>
      </c>
      <c r="AA3" s="86"/>
      <c r="AC3" s="85" t="s">
        <v>205</v>
      </c>
      <c r="AD3" s="86"/>
    </row>
    <row r="4" spans="2:30" x14ac:dyDescent="0.25">
      <c r="B4" s="39" t="s">
        <v>97</v>
      </c>
      <c r="C4" s="29" t="s">
        <v>217</v>
      </c>
      <c r="D4" s="29" t="s">
        <v>118</v>
      </c>
      <c r="E4" s="29" t="s">
        <v>147</v>
      </c>
      <c r="F4" s="15" t="s">
        <v>208</v>
      </c>
      <c r="G4" s="15" t="s">
        <v>171</v>
      </c>
      <c r="H4" s="29" t="s">
        <v>217</v>
      </c>
      <c r="I4" s="29" t="s">
        <v>118</v>
      </c>
      <c r="J4" s="29" t="s">
        <v>147</v>
      </c>
      <c r="K4" s="29" t="s">
        <v>208</v>
      </c>
      <c r="L4" s="29" t="s">
        <v>171</v>
      </c>
      <c r="M4" s="39" t="s">
        <v>97</v>
      </c>
      <c r="N4" s="29" t="s">
        <v>217</v>
      </c>
      <c r="O4" s="29" t="s">
        <v>118</v>
      </c>
      <c r="P4" s="29" t="s">
        <v>147</v>
      </c>
      <c r="Q4" s="15" t="s">
        <v>208</v>
      </c>
      <c r="R4" s="29" t="s">
        <v>171</v>
      </c>
      <c r="S4" s="29" t="s">
        <v>217</v>
      </c>
      <c r="T4" s="29" t="s">
        <v>118</v>
      </c>
      <c r="U4" s="29" t="s">
        <v>147</v>
      </c>
      <c r="V4" s="15" t="s">
        <v>208</v>
      </c>
      <c r="W4" s="29" t="s">
        <v>171</v>
      </c>
      <c r="X4" s="63" t="s">
        <v>172</v>
      </c>
      <c r="Z4" s="82" t="s">
        <v>187</v>
      </c>
      <c r="AA4" s="84"/>
      <c r="AB4" s="42"/>
      <c r="AC4" s="82" t="s">
        <v>118</v>
      </c>
      <c r="AD4" s="84"/>
    </row>
    <row r="5" spans="2:30" x14ac:dyDescent="0.25">
      <c r="B5" s="66" t="s">
        <v>150</v>
      </c>
      <c r="C5" s="64" cm="1">
        <f t="array" aca="1" ref="C5" ca="1">INDIRECT("'Python Impact of Technique'!F" &amp; 3 + (ROW(A1)-1)*4)</f>
        <v>85.152000000000001</v>
      </c>
      <c r="D5" s="64" cm="1">
        <f t="array" aca="1" ref="D5" ca="1">INDIRECT("'Python Impact of Technique'!F" &amp; 4 + (ROW(A1)-1)*4)</f>
        <v>47.722000000000001</v>
      </c>
      <c r="E5" s="64" cm="1">
        <f t="array" aca="1" ref="E5" ca="1">INDIRECT("'Python Impact of Technique'!S" &amp; 3 + (ROW(A1)-1)*4)*100</f>
        <v>-43.956689214580983</v>
      </c>
      <c r="F5" s="64">
        <v>2.8719490663203402E-11</v>
      </c>
      <c r="G5" s="67" t="s">
        <v>180</v>
      </c>
      <c r="H5" s="64" cm="1">
        <f t="array" aca="1" ref="H5" ca="1">INDIRECT("'Python Impact of Technique'!R" &amp; 3 + (ROW(A1)-1)*4)</f>
        <v>5897.6275200000009</v>
      </c>
      <c r="I5" s="64" cm="1">
        <f t="array" aca="1" ref="I5" ca="1">INDIRECT("'Python Impact of Technique'!R" &amp; 4 + (ROW(A1)-1)*4)</f>
        <v>3317.1562199999998</v>
      </c>
      <c r="J5" s="64" cm="1">
        <f t="array" aca="1" ref="J5" ca="1">INDIRECT("'Python Impact of Technique'!V" &amp; 3 + (ROW(A1)-1)*4)*100</f>
        <v>-43.754396004988813</v>
      </c>
      <c r="K5" s="64">
        <v>2.8719490663203402E-11</v>
      </c>
      <c r="L5" s="64" t="s">
        <v>180</v>
      </c>
      <c r="M5" s="68" t="s">
        <v>150</v>
      </c>
      <c r="N5" s="64" cm="1">
        <f t="array" aca="1" ref="N5" ca="1">INDIRECT("'Python Impact of Technique'!F" &amp; 5 + (ROW(A1)-1)*4)</f>
        <v>136.29400000000001</v>
      </c>
      <c r="O5" s="64" cm="1">
        <f t="array" aca="1" ref="O5" ca="1">INDIRECT("'Python Impact of Technique'!F" &amp; 6 + (ROW(A1)-1)*4)</f>
        <v>42.798000000000002</v>
      </c>
      <c r="P5" s="64" cm="1">
        <f t="array" aca="1" ref="P5" ca="1">INDIRECT("'Python Impact of Technique'!S" &amp; 5 + (ROW(A1)-1)*4)*100</f>
        <v>-68.598764435705178</v>
      </c>
      <c r="Q5" s="64">
        <v>2.8719490663203402E-11</v>
      </c>
      <c r="R5" s="64" t="s">
        <v>180</v>
      </c>
      <c r="S5" s="64" cm="1">
        <f t="array" aca="1" ref="S5" ca="1">INDIRECT("'Python Impact of Technique'!R" &amp; 5 + (ROW(A1)-1)*4)</f>
        <v>9396.1083600000002</v>
      </c>
      <c r="T5" s="64" cm="1">
        <f t="array" aca="1" ref="T5" ca="1">INDIRECT("'Python Impact of Technique'!R" &amp; 6 + (ROW(A1)-1)*4)</f>
        <v>2935.5148199999999</v>
      </c>
      <c r="U5" s="64" cm="1">
        <f t="array" aca="1" ref="U5" ca="1">INDIRECT("'Python Impact of Technique'!V" &amp; 5 + (ROW(A1)-1)*4)*100</f>
        <v>-68.758184691688669</v>
      </c>
      <c r="V5" s="64">
        <v>2.8719490663203402E-11</v>
      </c>
      <c r="W5" s="64" t="s">
        <v>180</v>
      </c>
      <c r="X5" s="64">
        <f ca="1">AVERAGE(J5,U5)</f>
        <v>-56.256290348338737</v>
      </c>
      <c r="Z5" s="15" t="s">
        <v>149</v>
      </c>
      <c r="AA5" s="15" t="s">
        <v>148</v>
      </c>
      <c r="AB5" s="42"/>
      <c r="AC5" s="15" t="s">
        <v>149</v>
      </c>
      <c r="AD5" s="15" t="s">
        <v>148</v>
      </c>
    </row>
    <row r="6" spans="2:30" x14ac:dyDescent="0.25">
      <c r="B6" s="66" t="s">
        <v>151</v>
      </c>
      <c r="C6" s="64" cm="1">
        <f t="array" aca="1" ref="C6" ca="1">INDIRECT("'Python Impact of Technique'!F" &amp; 3 + (ROW(A2)-1)*4)</f>
        <v>5.6189999999999998</v>
      </c>
      <c r="D6" s="64" cm="1">
        <f t="array" aca="1" ref="D6" ca="1">INDIRECT("'Python Impact of Technique'!F" &amp; 4 + (ROW(A2)-1)*4)</f>
        <v>5.2670000000000003</v>
      </c>
      <c r="E6" s="64" cm="1">
        <f t="array" aca="1" ref="E6" ca="1">INDIRECT("'Python Impact of Technique'!S" &amp; 3 + (ROW(A2)-1)*4)*100</f>
        <v>-6.264459868303959</v>
      </c>
      <c r="F6" s="64">
        <v>6.7282950584858124E-4</v>
      </c>
      <c r="G6" s="67" t="s">
        <v>209</v>
      </c>
      <c r="H6" s="64" cm="1">
        <f t="array" aca="1" ref="H6" ca="1">INDIRECT("'Python Impact of Technique'!R" &amp; 3 + (ROW(A2)-1)*4)</f>
        <v>347366.58</v>
      </c>
      <c r="I6" s="64" cm="1">
        <f t="array" aca="1" ref="I6" ca="1">INDIRECT("'Python Impact of Technique'!R" &amp; 4 + (ROW(A2)-1)*4)</f>
        <v>322129.72000000003</v>
      </c>
      <c r="J6" s="64" cm="1">
        <f t="array" aca="1" ref="J6" ca="1">INDIRECT("'Python Impact of Technique'!V" &amp; 3 + (ROW(A2)-1)*4)*100</f>
        <v>-7.265195172201075</v>
      </c>
      <c r="K6" s="64">
        <v>3.6431710502669779E-10</v>
      </c>
      <c r="L6" s="64" t="s">
        <v>180</v>
      </c>
      <c r="M6" s="68" t="s">
        <v>151</v>
      </c>
      <c r="N6" s="64" cm="1">
        <f t="array" aca="1" ref="N6" ca="1">INDIRECT("'Python Impact of Technique'!F" &amp; 5 + (ROW(A2)-1)*4)</f>
        <v>6.266</v>
      </c>
      <c r="O6" s="64" cm="1">
        <f t="array" aca="1" ref="O6" ca="1">INDIRECT("'Python Impact of Technique'!F" &amp; 6 + (ROW(A2)-1)*4)</f>
        <v>5.9580000000000002</v>
      </c>
      <c r="P6" s="64" cm="1">
        <f t="array" aca="1" ref="P6" ca="1">INDIRECT("'Python Impact of Technique'!S" &amp; 5 + (ROW(A2)-1)*4)*100</f>
        <v>-4.9154165336737918</v>
      </c>
      <c r="Q6" s="64">
        <v>5.4608865232140522E-2</v>
      </c>
      <c r="R6" s="64" t="s">
        <v>179</v>
      </c>
      <c r="S6" s="64" cm="1">
        <f t="array" aca="1" ref="S6" ca="1">INDIRECT("'Python Impact of Technique'!R" &amp; 5 + (ROW(A2)-1)*4)</f>
        <v>421952.44</v>
      </c>
      <c r="T6" s="64" cm="1">
        <f t="array" aca="1" ref="T6" ca="1">INDIRECT("'Python Impact of Technique'!R" &amp; 6 + (ROW(A2)-1)*4)</f>
        <v>387806.22000000009</v>
      </c>
      <c r="U6" s="64" cm="1">
        <f t="array" aca="1" ref="U6" ca="1">INDIRECT("'Python Impact of Technique'!V" &amp; 5 + (ROW(A2)-1)*4)*100</f>
        <v>-8.092433355759221</v>
      </c>
      <c r="V6" s="64">
        <v>2.8719490663203402E-11</v>
      </c>
      <c r="W6" s="64" t="s">
        <v>180</v>
      </c>
      <c r="X6" s="64">
        <f t="shared" ref="X6:X30" ca="1" si="0">AVERAGE(J6,U6)</f>
        <v>-7.678814263980148</v>
      </c>
      <c r="Z6" s="43" t="s">
        <v>155</v>
      </c>
      <c r="AA6" s="24" t="str" cm="1">
        <f t="array" aca="1" ref="AA6" ca="1">_xlfn.TEXTJOIN(", ", TRUE, IF(J5:J30 &lt;= -75, B5:B30, ""))</f>
        <v/>
      </c>
      <c r="AC6" s="43" t="s">
        <v>155</v>
      </c>
      <c r="AD6" s="24" t="str" cm="1">
        <f t="array" aca="1" ref="AD6" ca="1">_xlfn.TEXTJOIN(", ", TRUE, IF(U5:U30 &lt;= -75, M5:M30, ""))</f>
        <v/>
      </c>
    </row>
    <row r="7" spans="2:30" x14ac:dyDescent="0.25">
      <c r="B7" s="66" t="s">
        <v>152</v>
      </c>
      <c r="C7" s="64" cm="1">
        <f t="array" aca="1" ref="C7" ca="1">INDIRECT("'Python Impact of Technique'!F" &amp; 3 + (ROW(A3)-1)*4)</f>
        <v>21.376000000000001</v>
      </c>
      <c r="D7" s="64" cm="1">
        <f t="array" aca="1" ref="D7" ca="1">INDIRECT("'Python Impact of Technique'!F" &amp; 4 + (ROW(A3)-1)*4)</f>
        <v>15.071999999999999</v>
      </c>
      <c r="E7" s="64" cm="1">
        <f t="array" aca="1" ref="E7" ca="1">INDIRECT("'Python Impact of Technique'!S" &amp; 3 + (ROW(A3)-1)*4)*100</f>
        <v>-29.491017964071865</v>
      </c>
      <c r="F7" s="64">
        <v>2.8719490663203402E-11</v>
      </c>
      <c r="G7" s="67" t="s">
        <v>180</v>
      </c>
      <c r="H7" s="64" cm="1">
        <f t="array" aca="1" ref="H7" ca="1">INDIRECT("'Python Impact of Technique'!R" &amp; 3 + (ROW(A3)-1)*4)</f>
        <v>1516.1996799999999</v>
      </c>
      <c r="I7" s="64" cm="1">
        <f t="array" aca="1" ref="I7" ca="1">INDIRECT("'Python Impact of Technique'!R" &amp; 4 + (ROW(A3)-1)*4)</f>
        <v>1051.8748800000001</v>
      </c>
      <c r="J7" s="64" cm="1">
        <f t="array" aca="1" ref="J7" ca="1">INDIRECT("'Python Impact of Technique'!V" &amp; 3 + (ROW(A3)-1)*4)*100</f>
        <v>-30.624251285951985</v>
      </c>
      <c r="K7" s="64">
        <v>2.8719490663203402E-11</v>
      </c>
      <c r="L7" s="64" t="s">
        <v>180</v>
      </c>
      <c r="M7" s="68" t="s">
        <v>152</v>
      </c>
      <c r="N7" s="64" cm="1">
        <f t="array" aca="1" ref="N7" ca="1">INDIRECT("'Python Impact of Technique'!F" &amp; 5 + (ROW(A3)-1)*4)</f>
        <v>19.172000000000001</v>
      </c>
      <c r="O7" s="64" cm="1">
        <f t="array" aca="1" ref="O7" ca="1">INDIRECT("'Python Impact of Technique'!F" &amp; 6 + (ROW(A3)-1)*4)</f>
        <v>11.672000000000001</v>
      </c>
      <c r="P7" s="64" cm="1">
        <f t="array" aca="1" ref="P7" ca="1">INDIRECT("'Python Impact of Technique'!S" &amp; 5 + (ROW(A3)-1)*4)*100</f>
        <v>-39.119549342791572</v>
      </c>
      <c r="Q7" s="64">
        <v>2.8719490663203402E-11</v>
      </c>
      <c r="R7" s="64" t="s">
        <v>180</v>
      </c>
      <c r="S7" s="64" cm="1">
        <f t="array" aca="1" ref="S7" ca="1">INDIRECT("'Python Impact of Technique'!R" &amp; 5 + (ROW(A3)-1)*4)</f>
        <v>1283.94884</v>
      </c>
      <c r="T7" s="64" cm="1">
        <f t="array" aca="1" ref="T7" ca="1">INDIRECT("'Python Impact of Technique'!R" &amp; 6 + (ROW(A3)-1)*4)</f>
        <v>755.64527999999996</v>
      </c>
      <c r="U7" s="64" cm="1">
        <f t="array" aca="1" ref="U7" ca="1">INDIRECT("'Python Impact of Technique'!V" &amp; 5 + (ROW(A3)-1)*4)*100</f>
        <v>-41.146776533557208</v>
      </c>
      <c r="V7" s="64">
        <v>2.8719490663203402E-11</v>
      </c>
      <c r="W7" s="64" t="s">
        <v>180</v>
      </c>
      <c r="X7" s="64">
        <f t="shared" ca="1" si="0"/>
        <v>-35.885513909754593</v>
      </c>
      <c r="Z7" s="44" t="s">
        <v>156</v>
      </c>
      <c r="AA7" s="24" t="str" cm="1">
        <f t="array" aca="1" ref="AA7" ca="1">_xlfn.TEXTJOIN(", ", TRUE, IF((J5:J30 &gt; -75) * (J5:J30 &lt;= -25), B5:B30, ""))</f>
        <v>T4, T7, T8, T9, T10, T26, T40, T51</v>
      </c>
      <c r="AC7" s="44" t="s">
        <v>156</v>
      </c>
      <c r="AD7" s="24" t="str" cm="1">
        <f t="array" aca="1" ref="AD7" ca="1">_xlfn.TEXTJOIN(", ", TRUE, IF((U5:U30 &gt; -75) * (U5:U30 &lt;= -25), M5:M30, ""))</f>
        <v>T4, T7, T8, T9, T10, T50, T51</v>
      </c>
    </row>
    <row r="8" spans="2:30" x14ac:dyDescent="0.25">
      <c r="B8" s="66" t="s">
        <v>154</v>
      </c>
      <c r="C8" s="64" cm="1">
        <f t="array" aca="1" ref="C8" ca="1">INDIRECT("'Python Impact of Technique'!F" &amp; 3 + (ROW(A4)-1)*4)</f>
        <v>24.300999999999998</v>
      </c>
      <c r="D8" s="64" cm="1">
        <f t="array" aca="1" ref="D8" ca="1">INDIRECT("'Python Impact of Technique'!F" &amp; 4 + (ROW(A4)-1)*4)</f>
        <v>7.1150000000000002</v>
      </c>
      <c r="E8" s="64" cm="1">
        <f t="array" aca="1" ref="E8" ca="1">INDIRECT("'Python Impact of Technique'!S" &amp; 3 + (ROW(A4)-1)*4)*100</f>
        <v>-70.721369490967462</v>
      </c>
      <c r="F8" s="64">
        <v>2.8719490663203402E-11</v>
      </c>
      <c r="G8" s="67" t="s">
        <v>180</v>
      </c>
      <c r="H8" s="64" cm="1">
        <f t="array" aca="1" ref="H8" ca="1">INDIRECT("'Python Impact of Technique'!R" &amp; 3 + (ROW(A4)-1)*4)</f>
        <v>1506.4189899999999</v>
      </c>
      <c r="I8" s="64" cm="1">
        <f t="array" aca="1" ref="I8" ca="1">INDIRECT("'Python Impact of Technique'!R" &amp; 4 + (ROW(A4)-1)*4)</f>
        <v>446.25279999999998</v>
      </c>
      <c r="J8" s="64" cm="1">
        <f t="array" aca="1" ref="J8" ca="1">INDIRECT("'Python Impact of Technique'!V" &amp; 3 + (ROW(A4)-1)*4)*100</f>
        <v>-70.376581617575056</v>
      </c>
      <c r="K8" s="64">
        <v>2.8719490663203402E-11</v>
      </c>
      <c r="L8" s="64" t="s">
        <v>180</v>
      </c>
      <c r="M8" s="68" t="s">
        <v>154</v>
      </c>
      <c r="N8" s="64" cm="1">
        <f t="array" aca="1" ref="N8" ca="1">INDIRECT("'Python Impact of Technique'!F" &amp; 5 + (ROW(A4)-1)*4)</f>
        <v>18</v>
      </c>
      <c r="O8" s="64" cm="1">
        <f t="array" aca="1" ref="O8" ca="1">INDIRECT("'Python Impact of Technique'!F" &amp; 6 + (ROW(A4)-1)*4)</f>
        <v>8.15</v>
      </c>
      <c r="P8" s="64" cm="1">
        <f t="array" aca="1" ref="P8" ca="1">INDIRECT("'Python Impact of Technique'!S" &amp; 5 + (ROW(A4)-1)*4)*100</f>
        <v>-54.722222222222214</v>
      </c>
      <c r="Q8" s="64">
        <v>2.8719490663203402E-11</v>
      </c>
      <c r="R8" s="64" t="s">
        <v>180</v>
      </c>
      <c r="S8" s="64" cm="1">
        <f t="array" aca="1" ref="S8" ca="1">INDIRECT("'Python Impact of Technique'!R" &amp; 5 + (ROW(A4)-1)*4)</f>
        <v>1121.22</v>
      </c>
      <c r="T8" s="64" cm="1">
        <f t="array" aca="1" ref="T8" ca="1">INDIRECT("'Python Impact of Technique'!R" &amp; 6 + (ROW(A4)-1)*4)</f>
        <v>525.91950000000008</v>
      </c>
      <c r="U8" s="64" cm="1">
        <f t="array" aca="1" ref="U8" ca="1">INDIRECT("'Python Impact of Technique'!V" &amp; 5 + (ROW(A4)-1)*4)*100</f>
        <v>-53.09399582597527</v>
      </c>
      <c r="V8" s="64">
        <v>2.8719490663203402E-11</v>
      </c>
      <c r="W8" s="64" t="s">
        <v>180</v>
      </c>
      <c r="X8" s="64">
        <f t="shared" ca="1" si="0"/>
        <v>-61.735288721775163</v>
      </c>
      <c r="Z8" s="45" t="s">
        <v>161</v>
      </c>
      <c r="AA8" s="24" t="str" cm="1">
        <f t="array" aca="1" ref="AA8" ca="1">_xlfn.TEXTJOIN(", ", TRUE, IF((J5:J30 &gt; -25) * (J5:J30 &lt;= -3), B5:B30, ""))</f>
        <v>T5, T11, T12, T13, T20, T25, T36, T50</v>
      </c>
      <c r="AC8" s="45" t="s">
        <v>161</v>
      </c>
      <c r="AD8" s="24" t="str" cm="1">
        <f t="array" aca="1" ref="AD8" ca="1">_xlfn.TEXTJOIN(", ", TRUE, IF((U5:U30 &gt; -25) * (U5:U30 &lt;= -3), M5:M30, ""))</f>
        <v>T5, T11, T12, T25, T26, T36, T44</v>
      </c>
    </row>
    <row r="9" spans="2:30" x14ac:dyDescent="0.25">
      <c r="B9" s="66" t="s">
        <v>153</v>
      </c>
      <c r="C9" s="64" cm="1">
        <f t="array" aca="1" ref="C9" ca="1">INDIRECT("'Python Impact of Technique'!F" &amp; 3 + (ROW(A5)-1)*4)</f>
        <v>6.0209999999999999</v>
      </c>
      <c r="D9" s="64" cm="1">
        <f t="array" aca="1" ref="D9" ca="1">INDIRECT("'Python Impact of Technique'!F" &amp; 4 + (ROW(A5)-1)*4)</f>
        <v>4.4039999999999999</v>
      </c>
      <c r="E9" s="64" cm="1">
        <f t="array" aca="1" ref="E9" ca="1">INDIRECT("'Python Impact of Technique'!S" &amp; 3 + (ROW(A5)-1)*4)*100</f>
        <v>-26.856003986048833</v>
      </c>
      <c r="F9" s="64">
        <v>2.8719490663203402E-11</v>
      </c>
      <c r="G9" s="67" t="s">
        <v>180</v>
      </c>
      <c r="H9" s="64" cm="1">
        <f t="array" aca="1" ref="H9" ca="1">INDIRECT("'Python Impact of Technique'!R" &amp; 3 + (ROW(A5)-1)*4)</f>
        <v>431.28422999999998</v>
      </c>
      <c r="I9" s="64" cm="1">
        <f t="array" aca="1" ref="I9" ca="1">INDIRECT("'Python Impact of Technique'!R" &amp; 4 + (ROW(A5)-1)*4)</f>
        <v>288.50603999999998</v>
      </c>
      <c r="J9" s="64" cm="1">
        <f t="array" aca="1" ref="J9" ca="1">INDIRECT("'Python Impact of Technique'!V" &amp; 3 + (ROW(A5)-1)*4)*100</f>
        <v>-33.105358385118791</v>
      </c>
      <c r="K9" s="64">
        <v>2.8719490663203402E-11</v>
      </c>
      <c r="L9" s="64" t="s">
        <v>180</v>
      </c>
      <c r="M9" s="68" t="s">
        <v>153</v>
      </c>
      <c r="N9" s="64" cm="1">
        <f t="array" aca="1" ref="N9" ca="1">INDIRECT("'Python Impact of Technique'!F" &amp; 5 + (ROW(A5)-1)*4)</f>
        <v>3.0720000000000001</v>
      </c>
      <c r="O9" s="64" cm="1">
        <f t="array" aca="1" ref="O9" ca="1">INDIRECT("'Python Impact of Technique'!F" &amp; 6 + (ROW(A5)-1)*4)</f>
        <v>2.278</v>
      </c>
      <c r="P9" s="64" cm="1">
        <f t="array" aca="1" ref="P9" ca="1">INDIRECT("'Python Impact of Technique'!S" &amp; 5 + (ROW(A5)-1)*4)*100</f>
        <v>-25.846354166666668</v>
      </c>
      <c r="Q9" s="64">
        <v>9.6734615325743062E-9</v>
      </c>
      <c r="R9" s="64" t="s">
        <v>180</v>
      </c>
      <c r="S9" s="64" cm="1">
        <f t="array" aca="1" ref="S9" ca="1">INDIRECT("'Python Impact of Technique'!R" &amp; 5 + (ROW(A5)-1)*4)</f>
        <v>200.84736000000001</v>
      </c>
      <c r="T9" s="64" cm="1">
        <f t="array" aca="1" ref="T9" ca="1">INDIRECT("'Python Impact of Technique'!R" &amp; 6 + (ROW(A5)-1)*4)</f>
        <v>144.06072</v>
      </c>
      <c r="U9" s="64" cm="1">
        <f t="array" aca="1" ref="U9" ca="1">INDIRECT("'Python Impact of Technique'!V" &amp; 5 + (ROW(A5)-1)*4)*100</f>
        <v>-28.273530705108595</v>
      </c>
      <c r="V9" s="64">
        <v>2.8719490663203402E-11</v>
      </c>
      <c r="W9" s="64" t="s">
        <v>180</v>
      </c>
      <c r="X9" s="64">
        <f t="shared" ca="1" si="0"/>
        <v>-30.689444545113695</v>
      </c>
      <c r="Z9" s="46" t="s">
        <v>157</v>
      </c>
      <c r="AA9" s="24" t="str" cm="1">
        <f t="array" aca="1" ref="AA9" ca="1">_xlfn.TEXTJOIN(", ", TRUE, IF((J5:J30 &gt; -3) * (J5:J30 &lt; 3), B5:B30, ""))</f>
        <v>T16, T33, T44, T49</v>
      </c>
      <c r="AC9" s="46" t="s">
        <v>157</v>
      </c>
      <c r="AD9" s="24" t="str" cm="1">
        <f t="array" aca="1" ref="AD9" ca="1">_xlfn.TEXTJOIN(", ", TRUE, IF((U5:U30 &gt; -3) * (U5:U30 &lt; 3), M5:M30, ""))</f>
        <v>T13, T33, T40</v>
      </c>
    </row>
    <row r="10" spans="2:30" x14ac:dyDescent="0.25">
      <c r="B10" s="66" t="s">
        <v>19</v>
      </c>
      <c r="C10" s="64" cm="1">
        <f t="array" aca="1" ref="C10" ca="1">INDIRECT("'Python Impact of Technique'!F" &amp; 3 + (ROW(A6)-1)*4)</f>
        <v>24.738</v>
      </c>
      <c r="D10" s="64" cm="1">
        <f t="array" aca="1" ref="D10" ca="1">INDIRECT("'Python Impact of Technique'!F" &amp; 4 + (ROW(A6)-1)*4)</f>
        <v>12.741</v>
      </c>
      <c r="E10" s="64" cm="1">
        <f t="array" aca="1" ref="E10" ca="1">INDIRECT("'Python Impact of Technique'!S" &amp; 3 + (ROW(A6)-1)*4)*100</f>
        <v>-48.496240601503757</v>
      </c>
      <c r="F10" s="64">
        <v>2.8719490663203402E-11</v>
      </c>
      <c r="G10" s="67" t="s">
        <v>180</v>
      </c>
      <c r="H10" s="64" cm="1">
        <f t="array" aca="1" ref="H10" ca="1">INDIRECT("'Python Impact of Technique'!R" &amp; 3 + (ROW(A6)-1)*4)</f>
        <v>1697.2741799999999</v>
      </c>
      <c r="I10" s="64" cm="1">
        <f t="array" aca="1" ref="I10" ca="1">INDIRECT("'Python Impact of Technique'!R" &amp; 4 + (ROW(A6)-1)*4)</f>
        <v>851.86325999999997</v>
      </c>
      <c r="J10" s="64" cm="1">
        <f t="array" aca="1" ref="J10" ca="1">INDIRECT("'Python Impact of Technique'!V" &amp; 3 + (ROW(A6)-1)*4)*100</f>
        <v>-49.809920516200862</v>
      </c>
      <c r="K10" s="64">
        <v>2.8719490663203402E-11</v>
      </c>
      <c r="L10" s="64" t="s">
        <v>180</v>
      </c>
      <c r="M10" s="68" t="s">
        <v>19</v>
      </c>
      <c r="N10" s="64" cm="1">
        <f t="array" aca="1" ref="N10" ca="1">INDIRECT("'Python Impact of Technique'!F" &amp; 5 + (ROW(A6)-1)*4)</f>
        <v>13.598000000000001</v>
      </c>
      <c r="O10" s="64" cm="1">
        <f t="array" aca="1" ref="O10" ca="1">INDIRECT("'Python Impact of Technique'!F" &amp; 6 + (ROW(A6)-1)*4)</f>
        <v>4.75</v>
      </c>
      <c r="P10" s="64" cm="1">
        <f t="array" aca="1" ref="P10" ca="1">INDIRECT("'Python Impact of Technique'!S" &amp; 5 + (ROW(A6)-1)*4)*100</f>
        <v>-65.068392410648627</v>
      </c>
      <c r="Q10" s="64">
        <v>2.8719490663203402E-11</v>
      </c>
      <c r="R10" s="64" t="s">
        <v>180</v>
      </c>
      <c r="S10" s="64" cm="1">
        <f t="array" aca="1" ref="S10" ca="1">INDIRECT("'Python Impact of Technique'!R" &amp; 5 + (ROW(A6)-1)*4)</f>
        <v>920.85656000000006</v>
      </c>
      <c r="T10" s="64" cm="1">
        <f t="array" aca="1" ref="T10" ca="1">INDIRECT("'Python Impact of Technique'!R" &amp; 6 + (ROW(A6)-1)*4)</f>
        <v>288.04000000000002</v>
      </c>
      <c r="U10" s="64" cm="1">
        <f t="array" aca="1" ref="U10" ca="1">INDIRECT("'Python Impact of Technique'!V" &amp; 5 + (ROW(A6)-1)*4)*100</f>
        <v>-68.720426990279577</v>
      </c>
      <c r="V10" s="64">
        <v>2.8719490663203402E-11</v>
      </c>
      <c r="W10" s="64" t="s">
        <v>180</v>
      </c>
      <c r="X10" s="64">
        <f t="shared" ca="1" si="0"/>
        <v>-59.265173753240219</v>
      </c>
      <c r="Z10" s="47" t="s">
        <v>158</v>
      </c>
      <c r="AA10" s="24" t="str" cm="1">
        <f t="array" aca="1" ref="AA10" ca="1">_xlfn.TEXTJOIN(", ", TRUE, IF((J5:J30 &gt;= 3) * (J5:J30 &lt; 25), B5:B30, ""))</f>
        <v>T17, T19, T28, T29, T32</v>
      </c>
      <c r="AC10" s="47" t="s">
        <v>158</v>
      </c>
      <c r="AD10" s="24" t="str" cm="1">
        <f t="array" aca="1" ref="AD10" ca="1">_xlfn.TEXTJOIN(", ", TRUE, IF((U5:U30 &gt;= 3) * (U5:U30 &lt; 25), M5:M30, ""))</f>
        <v>T16, T17, T19, T20, T28, T29, T31, T49</v>
      </c>
    </row>
    <row r="11" spans="2:30" x14ac:dyDescent="0.25">
      <c r="B11" s="66" t="s">
        <v>21</v>
      </c>
      <c r="C11" s="64" cm="1">
        <f t="array" aca="1" ref="C11" ca="1">INDIRECT("'Python Impact of Technique'!F" &amp; 3 + (ROW(A7)-1)*4)</f>
        <v>37.828000000000003</v>
      </c>
      <c r="D11" s="64" cm="1">
        <f t="array" aca="1" ref="D11" ca="1">INDIRECT("'Python Impact of Technique'!F" &amp; 4 + (ROW(A7)-1)*4)</f>
        <v>28.798999999999999</v>
      </c>
      <c r="E11" s="64" cm="1">
        <f t="array" aca="1" ref="E11" ca="1">INDIRECT("'Python Impact of Technique'!S" &amp; 3 + (ROW(A7)-1)*4)*100</f>
        <v>-23.868562969229149</v>
      </c>
      <c r="F11" s="64">
        <v>2.8719490663203402E-11</v>
      </c>
      <c r="G11" s="67" t="s">
        <v>180</v>
      </c>
      <c r="H11" s="64" cm="1">
        <f t="array" aca="1" ref="H11" ca="1">INDIRECT("'Python Impact of Technique'!R" &amp; 3 + (ROW(A7)-1)*4)</f>
        <v>2551.12032</v>
      </c>
      <c r="I11" s="64" cm="1">
        <f t="array" aca="1" ref="I11" ca="1">INDIRECT("'Python Impact of Technique'!R" &amp; 4 + (ROW(A7)-1)*4)</f>
        <v>1931.2609399999999</v>
      </c>
      <c r="J11" s="64" cm="1">
        <f t="array" aca="1" ref="J11" ca="1">INDIRECT("'Python Impact of Technique'!V" &amp; 3 + (ROW(A7)-1)*4)*100</f>
        <v>-24.297536072308816</v>
      </c>
      <c r="K11" s="64">
        <v>2.8719490663203402E-11</v>
      </c>
      <c r="L11" s="64" t="s">
        <v>180</v>
      </c>
      <c r="M11" s="68" t="s">
        <v>21</v>
      </c>
      <c r="N11" s="64" cm="1">
        <f t="array" aca="1" ref="N11" ca="1">INDIRECT("'Python Impact of Technique'!F" &amp; 5 + (ROW(A7)-1)*4)</f>
        <v>34.125</v>
      </c>
      <c r="O11" s="64" cm="1">
        <f t="array" aca="1" ref="O11" ca="1">INDIRECT("'Python Impact of Technique'!F" &amp; 6 + (ROW(A7)-1)*4)</f>
        <v>27.361999999999998</v>
      </c>
      <c r="P11" s="64" cm="1">
        <f t="array" aca="1" ref="P11" ca="1">INDIRECT("'Python Impact of Technique'!S" &amp; 5 + (ROW(A7)-1)*4)*100</f>
        <v>-19.818315018315023</v>
      </c>
      <c r="Q11" s="64">
        <v>2.8719490663203402E-11</v>
      </c>
      <c r="R11" s="64" t="s">
        <v>180</v>
      </c>
      <c r="S11" s="64" cm="1">
        <f t="array" aca="1" ref="S11" ca="1">INDIRECT("'Python Impact of Technique'!R" &amp; 5 + (ROW(A7)-1)*4)</f>
        <v>2263.8525</v>
      </c>
      <c r="T11" s="64" cm="1">
        <f t="array" aca="1" ref="T11" ca="1">INDIRECT("'Python Impact of Technique'!R" &amp; 6 + (ROW(A7)-1)*4)</f>
        <v>1785.9177400000001</v>
      </c>
      <c r="U11" s="64" cm="1">
        <f t="array" aca="1" ref="U11" ca="1">INDIRECT("'Python Impact of Technique'!V" &amp; 5 + (ROW(A7)-1)*4)*100</f>
        <v>-21.111568001890575</v>
      </c>
      <c r="V11" s="64">
        <v>2.8719490663203402E-11</v>
      </c>
      <c r="W11" s="64" t="s">
        <v>180</v>
      </c>
      <c r="X11" s="64">
        <f t="shared" ca="1" si="0"/>
        <v>-22.704552037099695</v>
      </c>
      <c r="Z11" s="48" t="s">
        <v>159</v>
      </c>
      <c r="AA11" s="24" t="str" cm="1">
        <f t="array" aca="1" ref="AA11" ca="1">_xlfn.TEXTJOIN(", ", TRUE, IF((J5:J30 &gt;= 25) * (J5:J30 &lt; 75), B5:B30, ""))</f>
        <v/>
      </c>
      <c r="AC11" s="48" t="s">
        <v>159</v>
      </c>
      <c r="AD11" s="24" t="str" cm="1">
        <f t="array" aca="1" ref="AD11" ca="1">_xlfn.TEXTJOIN(", ", TRUE, IF((U5:U30 &gt;= 25) * (U5:U30 &lt; 75), M5:M30, ""))</f>
        <v>T32</v>
      </c>
    </row>
    <row r="12" spans="2:30" x14ac:dyDescent="0.25">
      <c r="B12" s="66" t="s">
        <v>23</v>
      </c>
      <c r="C12" s="64" cm="1">
        <f t="array" aca="1" ref="C12" ca="1">INDIRECT("'Python Impact of Technique'!F" &amp; 3 + (ROW(A8)-1)*4)</f>
        <v>9.7210000000000001</v>
      </c>
      <c r="D12" s="64" cm="1">
        <f t="array" aca="1" ref="D12" ca="1">INDIRECT("'Python Impact of Technique'!F" &amp; 4 + (ROW(A8)-1)*4)</f>
        <v>7.9390000000000001</v>
      </c>
      <c r="E12" s="64" cm="1">
        <f t="array" aca="1" ref="E12" ca="1">INDIRECT("'Python Impact of Technique'!S" &amp; 3 + (ROW(A8)-1)*4)*100</f>
        <v>-18.33144738195659</v>
      </c>
      <c r="F12" s="64">
        <v>2.8719490663203402E-11</v>
      </c>
      <c r="G12" s="67" t="s">
        <v>180</v>
      </c>
      <c r="H12" s="64" cm="1">
        <f t="array" aca="1" ref="H12" ca="1">INDIRECT("'Python Impact of Technique'!R" &amp; 3 + (ROW(A8)-1)*4)</f>
        <v>602.41036999999994</v>
      </c>
      <c r="I12" s="64" cm="1">
        <f t="array" aca="1" ref="I12" ca="1">INDIRECT("'Python Impact of Technique'!R" &amp; 4 + (ROW(A8)-1)*4)</f>
        <v>478.24536000000001</v>
      </c>
      <c r="J12" s="64" cm="1">
        <f t="array" aca="1" ref="J12" ca="1">INDIRECT("'Python Impact of Technique'!V" &amp; 3 + (ROW(A8)-1)*4)*100</f>
        <v>-20.611366633678625</v>
      </c>
      <c r="K12" s="64">
        <v>2.8719490663203402E-11</v>
      </c>
      <c r="L12" s="64" t="s">
        <v>180</v>
      </c>
      <c r="M12" s="68" t="s">
        <v>23</v>
      </c>
      <c r="N12" s="64" cm="1">
        <f t="array" aca="1" ref="N12" ca="1">INDIRECT("'Python Impact of Technique'!F" &amp; 5 + (ROW(A8)-1)*4)</f>
        <v>5.0270000000000001</v>
      </c>
      <c r="O12" s="64" cm="1">
        <f t="array" aca="1" ref="O12" ca="1">INDIRECT("'Python Impact of Technique'!F" &amp; 6 + (ROW(A8)-1)*4)</f>
        <v>4.1710000000000003</v>
      </c>
      <c r="P12" s="64" cm="1">
        <f t="array" aca="1" ref="P12" ca="1">INDIRECT("'Python Impact of Technique'!S" &amp; 5 + (ROW(A8)-1)*4)*100</f>
        <v>-17.028048537895362</v>
      </c>
      <c r="Q12" s="64">
        <v>1.2291147519974046E-9</v>
      </c>
      <c r="R12" s="64" t="s">
        <v>180</v>
      </c>
      <c r="S12" s="64" cm="1">
        <f t="array" aca="1" ref="S12" ca="1">INDIRECT("'Python Impact of Technique'!R" &amp; 5 + (ROW(A8)-1)*4)</f>
        <v>305.69186999999999</v>
      </c>
      <c r="T12" s="64" cm="1">
        <f t="array" aca="1" ref="T12" ca="1">INDIRECT("'Python Impact of Technique'!R" &amp; 6 + (ROW(A8)-1)*4)</f>
        <v>256.80847</v>
      </c>
      <c r="U12" s="64" cm="1">
        <f t="array" aca="1" ref="U12" ca="1">INDIRECT("'Python Impact of Technique'!V" &amp; 5 + (ROW(A8)-1)*4)*100</f>
        <v>-15.991069700348914</v>
      </c>
      <c r="V12" s="64">
        <v>2.0532682990164651E-10</v>
      </c>
      <c r="W12" s="64" t="s">
        <v>180</v>
      </c>
      <c r="X12" s="64">
        <f t="shared" ca="1" si="0"/>
        <v>-18.301218167013769</v>
      </c>
      <c r="Z12" s="49" t="s">
        <v>160</v>
      </c>
      <c r="AA12" s="27" t="str" cm="1">
        <f t="array" aca="1" ref="AA12" ca="1">_xlfn.TEXTJOIN(", ", TRUE, IF(J5:J30 &gt;= 75, B5:B30, ""))</f>
        <v>T31</v>
      </c>
      <c r="AC12" s="49" t="s">
        <v>160</v>
      </c>
      <c r="AD12" s="27" t="str" cm="1">
        <f t="array" aca="1" ref="AD12" ca="1">_xlfn.TEXTJOIN(", ", TRUE, IF(U5:U30 &gt;= 75, M5:M30, ""))</f>
        <v/>
      </c>
    </row>
    <row r="13" spans="2:30" x14ac:dyDescent="0.25">
      <c r="B13" s="66" t="s">
        <v>25</v>
      </c>
      <c r="C13" s="64" cm="1">
        <f t="array" aca="1" ref="C13" ca="1">INDIRECT("'Python Impact of Technique'!F" &amp; 3 + (ROW(A9)-1)*4)</f>
        <v>234.01599999999999</v>
      </c>
      <c r="D13" s="64" cm="1">
        <f t="array" aca="1" ref="D13" ca="1">INDIRECT("'Python Impact of Technique'!F" &amp; 4 + (ROW(A9)-1)*4)</f>
        <v>192.29300000000001</v>
      </c>
      <c r="E13" s="64" cm="1">
        <f t="array" aca="1" ref="E13" ca="1">INDIRECT("'Python Impact of Technique'!S" &amp; 3 + (ROW(A9)-1)*4)*100</f>
        <v>-17.829122795022556</v>
      </c>
      <c r="F13" s="64">
        <v>2.8719490663203402E-11</v>
      </c>
      <c r="G13" s="67" t="s">
        <v>180</v>
      </c>
      <c r="H13" s="64" cm="1">
        <f t="array" aca="1" ref="H13" ca="1">INDIRECT("'Python Impact of Technique'!R" &amp; 3 + (ROW(A9)-1)*4)</f>
        <v>16170.5056</v>
      </c>
      <c r="I13" s="64" cm="1">
        <f t="array" aca="1" ref="I13" ca="1">INDIRECT("'Python Impact of Technique'!R" &amp; 4 + (ROW(A9)-1)*4)</f>
        <v>13250.91063</v>
      </c>
      <c r="J13" s="64" cm="1">
        <f t="array" aca="1" ref="J13" ca="1">INDIRECT("'Python Impact of Technique'!V" &amp; 3 + (ROW(A9)-1)*4)*100</f>
        <v>-18.055062978364759</v>
      </c>
      <c r="K13" s="64">
        <v>2.8719490663203402E-11</v>
      </c>
      <c r="L13" s="64" t="s">
        <v>180</v>
      </c>
      <c r="M13" s="68" t="s">
        <v>25</v>
      </c>
      <c r="N13" s="64" cm="1">
        <f t="array" aca="1" ref="N13" ca="1">INDIRECT("'Python Impact of Technique'!F" &amp; 5 + (ROW(A9)-1)*4)</f>
        <v>103.762</v>
      </c>
      <c r="O13" s="64" cm="1">
        <f t="array" aca="1" ref="O13" ca="1">INDIRECT("'Python Impact of Technique'!F" &amp; 6 + (ROW(A9)-1)*4)</f>
        <v>100.312</v>
      </c>
      <c r="P13" s="64" cm="1">
        <f t="array" aca="1" ref="P13" ca="1">INDIRECT("'Python Impact of Technique'!S" &amp; 5 + (ROW(A9)-1)*4)*100</f>
        <v>-3.3249166361481106</v>
      </c>
      <c r="Q13" s="64">
        <v>4.4029951679875587E-10</v>
      </c>
      <c r="R13" s="64" t="s">
        <v>180</v>
      </c>
      <c r="S13" s="64" cm="1">
        <f t="array" aca="1" ref="S13" ca="1">INDIRECT("'Python Impact of Technique'!R" &amp; 5 + (ROW(A9)-1)*4)</f>
        <v>6794.3357600000008</v>
      </c>
      <c r="T13" s="64" cm="1">
        <f t="array" aca="1" ref="T13" ca="1">INDIRECT("'Python Impact of Technique'!R" &amp; 6 + (ROW(A9)-1)*4)</f>
        <v>6600.5295999999998</v>
      </c>
      <c r="U13" s="64" cm="1">
        <f t="array" aca="1" ref="U13" ca="1">INDIRECT("'Python Impact of Technique'!V" &amp; 5 + (ROW(A9)-1)*4)*100</f>
        <v>-2.8524666258177529</v>
      </c>
      <c r="V13" s="64">
        <v>1.1499274734848341E-6</v>
      </c>
      <c r="W13" s="64" t="s">
        <v>180</v>
      </c>
      <c r="X13" s="64">
        <f t="shared" ca="1" si="0"/>
        <v>-10.453764802091257</v>
      </c>
    </row>
    <row r="14" spans="2:30" x14ac:dyDescent="0.25">
      <c r="B14" s="66" t="s">
        <v>31</v>
      </c>
      <c r="C14" s="64" cm="1">
        <f t="array" aca="1" ref="C14" ca="1">INDIRECT("'Python Impact of Technique'!F" &amp; 3 + (ROW(A10)-1)*4)</f>
        <v>8.6389999999999993</v>
      </c>
      <c r="D14" s="64" cm="1">
        <f t="array" aca="1" ref="D14" ca="1">INDIRECT("'Python Impact of Technique'!F" &amp; 4 + (ROW(A10)-1)*4)</f>
        <v>8.4600000000000009</v>
      </c>
      <c r="E14" s="64" cm="1">
        <f t="array" aca="1" ref="E14" ca="1">INDIRECT("'Python Impact of Technique'!S" &amp; 3 + (ROW(A10)-1)*4)*100</f>
        <v>-2.071999073966877</v>
      </c>
      <c r="F14" s="64">
        <v>0.36322231255273874</v>
      </c>
      <c r="G14" s="67" t="s">
        <v>210</v>
      </c>
      <c r="H14" s="64" cm="1">
        <f t="array" aca="1" ref="H14" ca="1">INDIRECT("'Python Impact of Technique'!R" &amp; 3 + (ROW(A10)-1)*4)</f>
        <v>525.07841999999994</v>
      </c>
      <c r="I14" s="64" cm="1">
        <f t="array" aca="1" ref="I14" ca="1">INDIRECT("'Python Impact of Technique'!R" &amp; 4 + (ROW(A10)-1)*4)</f>
        <v>532.38780000000008</v>
      </c>
      <c r="J14" s="64" cm="1">
        <f t="array" aca="1" ref="J14" ca="1">INDIRECT("'Python Impact of Technique'!V" &amp; 3 + (ROW(A10)-1)*4)*100</f>
        <v>1.3920549239102509</v>
      </c>
      <c r="K14" s="64">
        <v>0.11366474781596325</v>
      </c>
      <c r="L14" s="64" t="s">
        <v>210</v>
      </c>
      <c r="M14" s="68" t="s">
        <v>31</v>
      </c>
      <c r="N14" s="64" cm="1">
        <f t="array" aca="1" ref="N14" ca="1">INDIRECT("'Python Impact of Technique'!F" &amp; 5 + (ROW(A10)-1)*4)</f>
        <v>4.3810000000000002</v>
      </c>
      <c r="O14" s="64" cm="1">
        <f t="array" aca="1" ref="O14" ca="1">INDIRECT("'Python Impact of Technique'!F" &amp; 6 + (ROW(A10)-1)*4)</f>
        <v>4.766</v>
      </c>
      <c r="P14" s="64" cm="1">
        <f t="array" aca="1" ref="P14" ca="1">INDIRECT("'Python Impact of Technique'!S" &amp; 5 + (ROW(A10)-1)*4)*100</f>
        <v>8.7879479570874182</v>
      </c>
      <c r="Q14" s="64">
        <v>2.8719490663203402E-11</v>
      </c>
      <c r="R14" s="64" t="s">
        <v>210</v>
      </c>
      <c r="S14" s="64" cm="1">
        <f t="array" aca="1" ref="S14" ca="1">INDIRECT("'Python Impact of Technique'!R" &amp; 5 + (ROW(A10)-1)*4)</f>
        <v>273.94393000000002</v>
      </c>
      <c r="T14" s="64" cm="1">
        <f t="array" aca="1" ref="T14" ca="1">INDIRECT("'Python Impact of Technique'!R" &amp; 6 + (ROW(A10)-1)*4)</f>
        <v>295.58731999999998</v>
      </c>
      <c r="U14" s="64" cm="1">
        <f t="array" aca="1" ref="U14" ca="1">INDIRECT("'Python Impact of Technique'!V" &amp; 5 + (ROW(A10)-1)*4)*100</f>
        <v>7.9006641979619525</v>
      </c>
      <c r="V14" s="64">
        <v>1.1512788615517461E-8</v>
      </c>
      <c r="W14" s="64" t="s">
        <v>210</v>
      </c>
      <c r="X14" s="64">
        <f t="shared" ca="1" si="0"/>
        <v>4.6463595609361015</v>
      </c>
    </row>
    <row r="15" spans="2:30" x14ac:dyDescent="0.25">
      <c r="B15" s="66" t="s">
        <v>33</v>
      </c>
      <c r="C15" s="64" cm="1">
        <f t="array" aca="1" ref="C15" ca="1">INDIRECT("'Python Impact of Technique'!F" &amp; 3 + (ROW(A11)-1)*4)</f>
        <v>8.1679999999999993</v>
      </c>
      <c r="D15" s="64" cm="1">
        <f t="array" aca="1" ref="D15" ca="1">INDIRECT("'Python Impact of Technique'!F" &amp; 4 + (ROW(A11)-1)*4)</f>
        <v>8.5630000000000006</v>
      </c>
      <c r="E15" s="64" cm="1">
        <f t="array" aca="1" ref="E15" ca="1">INDIRECT("'Python Impact of Technique'!S" &amp; 3 + (ROW(A11)-1)*4)*100</f>
        <v>4.8359451518119663</v>
      </c>
      <c r="F15" s="64">
        <v>1.5580751206267176E-8</v>
      </c>
      <c r="G15" s="67" t="s">
        <v>180</v>
      </c>
      <c r="H15" s="64" cm="1">
        <f t="array" aca="1" ref="H15" ca="1">INDIRECT("'Python Impact of Technique'!R" &amp; 3 + (ROW(A11)-1)*4)</f>
        <v>518.01455999999996</v>
      </c>
      <c r="I15" s="64" cm="1">
        <f t="array" aca="1" ref="I15" ca="1">INDIRECT("'Python Impact of Technique'!R" &amp; 4 + (ROW(A11)-1)*4)</f>
        <v>538.61270000000002</v>
      </c>
      <c r="J15" s="64" cm="1">
        <f t="array" aca="1" ref="J15" ca="1">INDIRECT("'Python Impact of Technique'!V" &amp; 3 + (ROW(A11)-1)*4)*100</f>
        <v>3.9763631354300268</v>
      </c>
      <c r="K15" s="64">
        <v>5.7154312412556994E-4</v>
      </c>
      <c r="L15" s="64" t="s">
        <v>209</v>
      </c>
      <c r="M15" s="68" t="s">
        <v>33</v>
      </c>
      <c r="N15" s="64" cm="1">
        <f t="array" aca="1" ref="N15" ca="1">INDIRECT("'Python Impact of Technique'!F" &amp; 5 + (ROW(A11)-1)*4)</f>
        <v>4.4329999999999998</v>
      </c>
      <c r="O15" s="64" cm="1">
        <f t="array" aca="1" ref="O15" ca="1">INDIRECT("'Python Impact of Technique'!F" &amp; 6 + (ROW(A11)-1)*4)</f>
        <v>4.9409999999999998</v>
      </c>
      <c r="P15" s="64" cm="1">
        <f t="array" aca="1" ref="P15" ca="1">INDIRECT("'Python Impact of Technique'!S" &amp; 5 + (ROW(A11)-1)*4)*100</f>
        <v>11.459508233701783</v>
      </c>
      <c r="Q15" s="64">
        <v>2.8719490663203402E-11</v>
      </c>
      <c r="R15" s="64" t="s">
        <v>180</v>
      </c>
      <c r="S15" s="64" cm="1">
        <f t="array" aca="1" ref="S15" ca="1">INDIRECT("'Python Impact of Technique'!R" &amp; 5 + (ROW(A11)-1)*4)</f>
        <v>280.20992999999999</v>
      </c>
      <c r="T15" s="64" cm="1">
        <f t="array" aca="1" ref="T15" ca="1">INDIRECT("'Python Impact of Technique'!R" &amp; 6 + (ROW(A11)-1)*4)</f>
        <v>318.79331999999999</v>
      </c>
      <c r="U15" s="64" cm="1">
        <f t="array" aca="1" ref="U15" ca="1">INDIRECT("'Python Impact of Technique'!V" &amp; 5 + (ROW(A11)-1)*4)*100</f>
        <v>13.769458491353253</v>
      </c>
      <c r="V15" s="64">
        <v>4.2855392840606714E-11</v>
      </c>
      <c r="W15" s="64" t="s">
        <v>180</v>
      </c>
      <c r="X15" s="64">
        <f t="shared" ca="1" si="0"/>
        <v>8.8729108133916395</v>
      </c>
    </row>
    <row r="16" spans="2:30" x14ac:dyDescent="0.25">
      <c r="B16" s="66" t="s">
        <v>37</v>
      </c>
      <c r="C16" s="64" cm="1">
        <f t="array" aca="1" ref="C16" ca="1">INDIRECT("'Python Impact of Technique'!F" &amp; 3 + (ROW(A12)-1)*4)</f>
        <v>128.31399999999999</v>
      </c>
      <c r="D16" s="64" cm="1">
        <f t="array" aca="1" ref="D16" ca="1">INDIRECT("'Python Impact of Technique'!F" &amp; 4 + (ROW(A12)-1)*4)</f>
        <v>132.50899999999999</v>
      </c>
      <c r="E16" s="64" cm="1">
        <f t="array" aca="1" ref="E16" ca="1">INDIRECT("'Python Impact of Technique'!S" &amp; 3 + (ROW(A12)-1)*4)*100</f>
        <v>3.2693236903221736</v>
      </c>
      <c r="F16" s="64">
        <v>4.2855392840606714E-11</v>
      </c>
      <c r="G16" s="67" t="s">
        <v>180</v>
      </c>
      <c r="H16" s="64" cm="1">
        <f t="array" aca="1" ref="H16" ca="1">INDIRECT("'Python Impact of Technique'!R" &amp; 3 + (ROW(A12)-1)*4)</f>
        <v>8475.1396999999997</v>
      </c>
      <c r="I16" s="64" cm="1">
        <f t="array" aca="1" ref="I16" ca="1">INDIRECT("'Python Impact of Technique'!R" &amp; 4 + (ROW(A12)-1)*4)</f>
        <v>8806.548139999999</v>
      </c>
      <c r="J16" s="64" cm="1">
        <f t="array" aca="1" ref="J16" ca="1">INDIRECT("'Python Impact of Technique'!V" &amp; 3 + (ROW(A12)-1)*4)*100</f>
        <v>3.9103596133052441</v>
      </c>
      <c r="K16" s="64">
        <v>3.4959262031405559E-8</v>
      </c>
      <c r="L16" s="64" t="s">
        <v>180</v>
      </c>
      <c r="M16" s="68" t="s">
        <v>37</v>
      </c>
      <c r="N16" s="64" cm="1">
        <f t="array" aca="1" ref="N16" ca="1">INDIRECT("'Python Impact of Technique'!F" &amp; 5 + (ROW(A12)-1)*4)</f>
        <v>122.685</v>
      </c>
      <c r="O16" s="64" cm="1">
        <f t="array" aca="1" ref="O16" ca="1">INDIRECT("'Python Impact of Technique'!F" &amp; 6 + (ROW(A12)-1)*4)</f>
        <v>127.303</v>
      </c>
      <c r="P16" s="64" cm="1">
        <f t="array" aca="1" ref="P16" ca="1">INDIRECT("'Python Impact of Technique'!S" &amp; 5 + (ROW(A12)-1)*4)*100</f>
        <v>3.7641113420548518</v>
      </c>
      <c r="Q16" s="64">
        <v>3.3436436615067244E-9</v>
      </c>
      <c r="R16" s="64" t="s">
        <v>180</v>
      </c>
      <c r="S16" s="64" cm="1">
        <f t="array" aca="1" ref="S16" ca="1">INDIRECT("'Python Impact of Technique'!R" &amp; 5 + (ROW(A12)-1)*4)</f>
        <v>8211.3070500000013</v>
      </c>
      <c r="T16" s="64" cm="1">
        <f t="array" aca="1" ref="T16" ca="1">INDIRECT("'Python Impact of Technique'!R" &amp; 6 + (ROW(A12)-1)*4)</f>
        <v>8655.3309699999991</v>
      </c>
      <c r="U16" s="64" cm="1">
        <f t="array" aca="1" ref="U16" ca="1">INDIRECT("'Python Impact of Technique'!V" &amp; 5 + (ROW(A12)-1)*4)*100</f>
        <v>5.407469447875509</v>
      </c>
      <c r="V16" s="64">
        <v>4.275281031924089E-7</v>
      </c>
      <c r="W16" s="64" t="s">
        <v>180</v>
      </c>
      <c r="X16" s="64">
        <f t="shared" ca="1" si="0"/>
        <v>4.6589145305903763</v>
      </c>
    </row>
    <row r="17" spans="2:24" x14ac:dyDescent="0.25">
      <c r="B17" s="66" t="s">
        <v>39</v>
      </c>
      <c r="C17" s="64" cm="1">
        <f t="array" aca="1" ref="C17" ca="1">INDIRECT("'Python Impact of Technique'!F" &amp; 3 + (ROW(A13)-1)*4)</f>
        <v>69.498999999999995</v>
      </c>
      <c r="D17" s="64" cm="1">
        <f t="array" aca="1" ref="D17" ca="1">INDIRECT("'Python Impact of Technique'!F" &amp; 4 + (ROW(A13)-1)*4)</f>
        <v>61.884</v>
      </c>
      <c r="E17" s="64" cm="1">
        <f t="array" aca="1" ref="E17" ca="1">INDIRECT("'Python Impact of Technique'!S" &amp; 3 + (ROW(A13)-1)*4)*100</f>
        <v>-10.956992186937935</v>
      </c>
      <c r="F17" s="64">
        <v>2.8719490663203402E-11</v>
      </c>
      <c r="G17" s="67" t="s">
        <v>180</v>
      </c>
      <c r="H17" s="64" cm="1">
        <f t="array" aca="1" ref="H17" ca="1">INDIRECT("'Python Impact of Technique'!R" &amp; 3 + (ROW(A13)-1)*4)</f>
        <v>4528.5548399999998</v>
      </c>
      <c r="I17" s="64" cm="1">
        <f t="array" aca="1" ref="I17" ca="1">INDIRECT("'Python Impact of Technique'!R" &amp; 4 + (ROW(A13)-1)*4)</f>
        <v>4141.8961200000003</v>
      </c>
      <c r="J17" s="64" cm="1">
        <f t="array" aca="1" ref="J17" ca="1">INDIRECT("'Python Impact of Technique'!V" &amp; 3 + (ROW(A13)-1)*4)*100</f>
        <v>-8.5382364498427812</v>
      </c>
      <c r="K17" s="64">
        <v>7.7617346896055191E-11</v>
      </c>
      <c r="L17" s="64" t="s">
        <v>180</v>
      </c>
      <c r="M17" s="68" t="s">
        <v>39</v>
      </c>
      <c r="N17" s="64" cm="1">
        <f t="array" aca="1" ref="N17" ca="1">INDIRECT("'Python Impact of Technique'!F" &amp; 5 + (ROW(A13)-1)*4)</f>
        <v>64.382999999999996</v>
      </c>
      <c r="O17" s="64" cm="1">
        <f t="array" aca="1" ref="O17" ca="1">INDIRECT("'Python Impact of Technique'!F" &amp; 6 + (ROW(A13)-1)*4)</f>
        <v>68.849999999999994</v>
      </c>
      <c r="P17" s="64" cm="1">
        <f t="array" aca="1" ref="P17" ca="1">INDIRECT("'Python Impact of Technique'!S" &amp; 5 + (ROW(A13)-1)*4)*100</f>
        <v>6.9381669074134455</v>
      </c>
      <c r="Q17" s="64">
        <v>3.6431710502669779E-10</v>
      </c>
      <c r="R17" s="64" t="s">
        <v>180</v>
      </c>
      <c r="S17" s="64" cm="1">
        <f t="array" aca="1" ref="S17" ca="1">INDIRECT("'Python Impact of Technique'!R" &amp; 5 + (ROW(A13)-1)*4)</f>
        <v>4197.1277699999991</v>
      </c>
      <c r="T17" s="64" cm="1">
        <f t="array" aca="1" ref="T17" ca="1">INDIRECT("'Python Impact of Technique'!R" &amp; 6 + (ROW(A13)-1)*4)</f>
        <v>4532.3954999999996</v>
      </c>
      <c r="U17" s="64" cm="1">
        <f t="array" aca="1" ref="U17" ca="1">INDIRECT("'Python Impact of Technique'!V" &amp; 5 + (ROW(A13)-1)*4)*100</f>
        <v>7.9880277268757185</v>
      </c>
      <c r="V17" s="64">
        <v>4.0055327817782509E-10</v>
      </c>
      <c r="W17" s="64" t="s">
        <v>180</v>
      </c>
      <c r="X17" s="64">
        <f t="shared" ca="1" si="0"/>
        <v>-0.27510436148353135</v>
      </c>
    </row>
    <row r="18" spans="2:24" x14ac:dyDescent="0.25">
      <c r="B18" s="66" t="s">
        <v>49</v>
      </c>
      <c r="C18" s="64" cm="1">
        <f t="array" aca="1" ref="C18" ca="1">INDIRECT("'Python Impact of Technique'!F" &amp; 3 + (ROW(A14)-1)*4)</f>
        <v>181.41900000000001</v>
      </c>
      <c r="D18" s="64" cm="1">
        <f t="array" aca="1" ref="D18" ca="1">INDIRECT("'Python Impact of Technique'!F" &amp; 4 + (ROW(A14)-1)*4)</f>
        <v>172.815</v>
      </c>
      <c r="E18" s="64" cm="1">
        <f t="array" aca="1" ref="E18" ca="1">INDIRECT("'Python Impact of Technique'!S" &amp; 3 + (ROW(A14)-1)*4)*100</f>
        <v>-4.7426124055363621</v>
      </c>
      <c r="F18" s="64">
        <v>6.3730341784513582E-11</v>
      </c>
      <c r="G18" s="67" t="s">
        <v>180</v>
      </c>
      <c r="H18" s="64" cm="1">
        <f t="array" aca="1" ref="H18" ca="1">INDIRECT("'Python Impact of Technique'!R" &amp; 3 + (ROW(A14)-1)*4)</f>
        <v>11808.56271</v>
      </c>
      <c r="I18" s="64" cm="1">
        <f t="array" aca="1" ref="I18" ca="1">INDIRECT("'Python Impact of Technique'!R" &amp; 4 + (ROW(A14)-1)*4)</f>
        <v>11414.43075</v>
      </c>
      <c r="J18" s="64" cm="1">
        <f t="array" aca="1" ref="J18" ca="1">INDIRECT("'Python Impact of Technique'!V" &amp; 3 + (ROW(A14)-1)*4)*100</f>
        <v>-3.3376793575922048</v>
      </c>
      <c r="K18" s="64">
        <v>1.1207914923462188E-9</v>
      </c>
      <c r="L18" s="64" t="s">
        <v>180</v>
      </c>
      <c r="M18" s="68" t="s">
        <v>49</v>
      </c>
      <c r="N18" s="64" cm="1">
        <f t="array" aca="1" ref="N18" ca="1">INDIRECT("'Python Impact of Technique'!F" &amp; 5 + (ROW(A14)-1)*4)</f>
        <v>158.535</v>
      </c>
      <c r="O18" s="64" cm="1">
        <f t="array" aca="1" ref="O18" ca="1">INDIRECT("'Python Impact of Technique'!F" &amp; 6 + (ROW(A14)-1)*4)</f>
        <v>148.429</v>
      </c>
      <c r="P18" s="64" cm="1">
        <f t="array" aca="1" ref="P18" ca="1">INDIRECT("'Python Impact of Technique'!S" &amp; 5 + (ROW(A14)-1)*4)*100</f>
        <v>-6.3746175923297663</v>
      </c>
      <c r="Q18" s="64">
        <v>2.8719490663203402E-11</v>
      </c>
      <c r="R18" s="64" t="s">
        <v>180</v>
      </c>
      <c r="S18" s="64" cm="1">
        <f t="array" aca="1" ref="S18" ca="1">INDIRECT("'Python Impact of Technique'!R" &amp; 5 + (ROW(A14)-1)*4)</f>
        <v>10605.9915</v>
      </c>
      <c r="T18" s="64" cm="1">
        <f t="array" aca="1" ref="T18" ca="1">INDIRECT("'Python Impact of Technique'!R" &amp; 6 + (ROW(A14)-1)*4)</f>
        <v>10036.768980000001</v>
      </c>
      <c r="U18" s="64" cm="1">
        <f t="array" aca="1" ref="U18" ca="1">INDIRECT("'Python Impact of Technique'!V" &amp; 5 + (ROW(A14)-1)*4)*100</f>
        <v>-5.3669901583458683</v>
      </c>
      <c r="V18" s="64">
        <v>1.2657957728370648E-10</v>
      </c>
      <c r="W18" s="64" t="s">
        <v>180</v>
      </c>
      <c r="X18" s="64">
        <f t="shared" ca="1" si="0"/>
        <v>-4.3523347579690368</v>
      </c>
    </row>
    <row r="19" spans="2:24" x14ac:dyDescent="0.25">
      <c r="B19" s="66" t="s">
        <v>51</v>
      </c>
      <c r="C19" s="64" cm="1">
        <f t="array" aca="1" ref="C19" ca="1">INDIRECT("'Python Impact of Technique'!F" &amp; 3 + (ROW(A15)-1)*4)</f>
        <v>173.517</v>
      </c>
      <c r="D19" s="64" cm="1">
        <f t="array" aca="1" ref="D19" ca="1">INDIRECT("'Python Impact of Technique'!F" &amp; 4 + (ROW(A15)-1)*4)</f>
        <v>127.854</v>
      </c>
      <c r="E19" s="64" cm="1">
        <f t="array" aca="1" ref="E19" ca="1">INDIRECT("'Python Impact of Technique'!S" &amp; 3 + (ROW(A15)-1)*4)*100</f>
        <v>-26.316153460467852</v>
      </c>
      <c r="F19" s="64">
        <v>2.8719490663203402E-11</v>
      </c>
      <c r="G19" s="67" t="s">
        <v>180</v>
      </c>
      <c r="H19" s="64" cm="1">
        <f t="array" aca="1" ref="H19" ca="1">INDIRECT("'Python Impact of Technique'!R" &amp; 3 + (ROW(A15)-1)*4)</f>
        <v>11367.098669999999</v>
      </c>
      <c r="I19" s="64" cm="1">
        <f t="array" aca="1" ref="I19" ca="1">INDIRECT("'Python Impact of Technique'!R" &amp; 4 + (ROW(A15)-1)*4)</f>
        <v>8502.2909999999993</v>
      </c>
      <c r="J19" s="64" cm="1">
        <f t="array" aca="1" ref="J19" ca="1">INDIRECT("'Python Impact of Technique'!V" &amp; 3 + (ROW(A15)-1)*4)*100</f>
        <v>-25.202628684492627</v>
      </c>
      <c r="K19" s="64">
        <v>2.8719490663203402E-11</v>
      </c>
      <c r="L19" s="64" t="s">
        <v>180</v>
      </c>
      <c r="M19" s="68" t="s">
        <v>51</v>
      </c>
      <c r="N19" s="64" cm="1">
        <f t="array" aca="1" ref="N19" ca="1">INDIRECT("'Python Impact of Technique'!F" &amp; 5 + (ROW(A15)-1)*4)</f>
        <v>150.857</v>
      </c>
      <c r="O19" s="64" cm="1">
        <f t="array" aca="1" ref="O19" ca="1">INDIRECT("'Python Impact of Technique'!F" &amp; 6 + (ROW(A15)-1)*4)</f>
        <v>130.31100000000001</v>
      </c>
      <c r="P19" s="64" cm="1">
        <f t="array" aca="1" ref="P19" ca="1">INDIRECT("'Python Impact of Technique'!S" &amp; 5 + (ROW(A15)-1)*4)*100</f>
        <v>-13.619520473030747</v>
      </c>
      <c r="Q19" s="64">
        <v>2.8719490663203402E-11</v>
      </c>
      <c r="R19" s="64" t="s">
        <v>180</v>
      </c>
      <c r="S19" s="64" cm="1">
        <f t="array" aca="1" ref="S19" ca="1">INDIRECT("'Python Impact of Technique'!R" &amp; 5 + (ROW(A15)-1)*4)</f>
        <v>9867.5563700000002</v>
      </c>
      <c r="T19" s="64" cm="1">
        <f t="array" aca="1" ref="T19" ca="1">INDIRECT("'Python Impact of Technique'!R" &amp; 6 + (ROW(A15)-1)*4)</f>
        <v>8222.6241000000009</v>
      </c>
      <c r="U19" s="64" cm="1">
        <f t="array" aca="1" ref="U19" ca="1">INDIRECT("'Python Impact of Technique'!V" &amp; 5 + (ROW(A15)-1)*4)*100</f>
        <v>-16.670107657059162</v>
      </c>
      <c r="V19" s="64">
        <v>2.8719490663203402E-11</v>
      </c>
      <c r="W19" s="64" t="s">
        <v>180</v>
      </c>
      <c r="X19" s="64">
        <f t="shared" ca="1" si="0"/>
        <v>-20.936368170775893</v>
      </c>
    </row>
    <row r="20" spans="2:24" x14ac:dyDescent="0.25">
      <c r="B20" s="66" t="s">
        <v>55</v>
      </c>
      <c r="C20" s="64" cm="1">
        <f t="array" aca="1" ref="C20" ca="1">INDIRECT("'Python Impact of Technique'!F" &amp; 3 + (ROW(A16)-1)*4)</f>
        <v>202.86500000000001</v>
      </c>
      <c r="D20" s="64" cm="1">
        <f t="array" aca="1" ref="D20" ca="1">INDIRECT("'Python Impact of Technique'!F" &amp; 4 + (ROW(A16)-1)*4)</f>
        <v>242.57599999999999</v>
      </c>
      <c r="E20" s="64" cm="1">
        <f t="array" aca="1" ref="E20" ca="1">INDIRECT("'Python Impact of Technique'!S" &amp; 3 + (ROW(A16)-1)*4)*100</f>
        <v>19.57508688043772</v>
      </c>
      <c r="F20" s="64">
        <v>2.8719490663203402E-11</v>
      </c>
      <c r="G20" s="67" t="s">
        <v>180</v>
      </c>
      <c r="H20" s="64" cm="1">
        <f t="array" aca="1" ref="H20" ca="1">INDIRECT("'Python Impact of Technique'!R" &amp; 3 + (ROW(A16)-1)*4)</f>
        <v>14007.82825</v>
      </c>
      <c r="I20" s="64" cm="1">
        <f t="array" aca="1" ref="I20" ca="1">INDIRECT("'Python Impact of Technique'!R" &amp; 4 + (ROW(A16)-1)*4)</f>
        <v>17312.649119999998</v>
      </c>
      <c r="J20" s="64" cm="1">
        <f t="array" aca="1" ref="J20" ca="1">INDIRECT("'Python Impact of Technique'!V" &amp; 3 + (ROW(A16)-1)*4)*100</f>
        <v>23.592671262227945</v>
      </c>
      <c r="K20" s="64">
        <v>2.8719490663203402E-11</v>
      </c>
      <c r="L20" s="64" t="s">
        <v>180</v>
      </c>
      <c r="M20" s="68" t="s">
        <v>55</v>
      </c>
      <c r="N20" s="64" cm="1">
        <f t="array" aca="1" ref="N20" ca="1">INDIRECT("'Python Impact of Technique'!F" &amp; 5 + (ROW(A16)-1)*4)</f>
        <v>190.95599999999999</v>
      </c>
      <c r="O20" s="64" cm="1">
        <f t="array" aca="1" ref="O20" ca="1">INDIRECT("'Python Impact of Technique'!F" &amp; 6 + (ROW(A16)-1)*4)</f>
        <v>226.89599999999999</v>
      </c>
      <c r="P20" s="64" cm="1">
        <f t="array" aca="1" ref="P20" ca="1">INDIRECT("'Python Impact of Technique'!S" &amp; 5 + (ROW(A16)-1)*4)*100</f>
        <v>18.8210896751084</v>
      </c>
      <c r="Q20" s="64">
        <v>2.8719490663203402E-11</v>
      </c>
      <c r="R20" s="64" t="s">
        <v>180</v>
      </c>
      <c r="S20" s="64" cm="1">
        <f t="array" aca="1" ref="S20" ca="1">INDIRECT("'Python Impact of Technique'!R" &amp; 5 + (ROW(A16)-1)*4)</f>
        <v>13620.89148</v>
      </c>
      <c r="T20" s="64" cm="1">
        <f t="array" aca="1" ref="T20" ca="1">INDIRECT("'Python Impact of Technique'!R" &amp; 6 + (ROW(A16)-1)*4)</f>
        <v>16606.518240000001</v>
      </c>
      <c r="U20" s="64" cm="1">
        <f t="array" aca="1" ref="U20" ca="1">INDIRECT("'Python Impact of Technique'!V" &amp; 5 + (ROW(A16)-1)*4)*100</f>
        <v>21.919466610418961</v>
      </c>
      <c r="V20" s="64">
        <v>2.8719490663203402E-11</v>
      </c>
      <c r="W20" s="64" t="s">
        <v>180</v>
      </c>
      <c r="X20" s="64">
        <f t="shared" ca="1" si="0"/>
        <v>22.756068936323452</v>
      </c>
    </row>
    <row r="21" spans="2:24" x14ac:dyDescent="0.25">
      <c r="B21" s="66" t="s">
        <v>57</v>
      </c>
      <c r="C21" s="64" cm="1">
        <f t="array" aca="1" ref="C21" ca="1">INDIRECT("'Python Impact of Technique'!F" &amp; 3 + (ROW(A17)-1)*4)</f>
        <v>5.6539999999999999</v>
      </c>
      <c r="D21" s="64" cm="1">
        <f t="array" aca="1" ref="D21" ca="1">INDIRECT("'Python Impact of Technique'!F" &amp; 4 + (ROW(A17)-1)*4)</f>
        <v>5.8730000000000002</v>
      </c>
      <c r="E21" s="64" cm="1">
        <f t="array" aca="1" ref="E21" ca="1">INDIRECT("'Python Impact of Technique'!S" &amp; 3 + (ROW(A17)-1)*4)*100</f>
        <v>3.873363990095513</v>
      </c>
      <c r="F21" s="64">
        <v>2.1540341425888336E-6</v>
      </c>
      <c r="G21" s="67" t="s">
        <v>180</v>
      </c>
      <c r="H21" s="64" cm="1">
        <f t="array" aca="1" ref="H21" ca="1">INDIRECT("'Python Impact of Technique'!R" &amp; 3 + (ROW(A17)-1)*4)</f>
        <v>345.57247999999998</v>
      </c>
      <c r="I21" s="64" cm="1">
        <f t="array" aca="1" ref="I21" ca="1">INDIRECT("'Python Impact of Technique'!R" &amp; 4 + (ROW(A17)-1)*4)</f>
        <v>366.71012000000002</v>
      </c>
      <c r="J21" s="64" cm="1">
        <f t="array" aca="1" ref="J21" ca="1">INDIRECT("'Python Impact of Technique'!V" &amp; 3 + (ROW(A17)-1)*4)*100</f>
        <v>6.1167023485203549</v>
      </c>
      <c r="K21" s="64">
        <v>3.011893711871355E-10</v>
      </c>
      <c r="L21" s="64" t="s">
        <v>180</v>
      </c>
      <c r="M21" s="68" t="s">
        <v>57</v>
      </c>
      <c r="N21" s="64" cm="1">
        <f t="array" aca="1" ref="N21" ca="1">INDIRECT("'Python Impact of Technique'!F" &amp; 5 + (ROW(A17)-1)*4)</f>
        <v>2.9849999999999999</v>
      </c>
      <c r="O21" s="64" cm="1">
        <f t="array" aca="1" ref="O21" ca="1">INDIRECT("'Python Impact of Technique'!F" &amp; 6 + (ROW(A17)-1)*4)</f>
        <v>3.4169999999999998</v>
      </c>
      <c r="P21" s="64" cm="1">
        <f t="array" aca="1" ref="P21" ca="1">INDIRECT("'Python Impact of Technique'!S" &amp; 5 + (ROW(A17)-1)*4)*100</f>
        <v>14.472361809045225</v>
      </c>
      <c r="Q21" s="64">
        <v>2.8719490663203402E-11</v>
      </c>
      <c r="R21" s="64" t="s">
        <v>180</v>
      </c>
      <c r="S21" s="64" cm="1">
        <f t="array" aca="1" ref="S21" ca="1">INDIRECT("'Python Impact of Technique'!R" &amp; 5 + (ROW(A17)-1)*4)</f>
        <v>180.44325000000001</v>
      </c>
      <c r="T21" s="64" cm="1">
        <f t="array" aca="1" ref="T21" ca="1">INDIRECT("'Python Impact of Technique'!R" &amp; 6 + (ROW(A17)-1)*4)</f>
        <v>212.60574</v>
      </c>
      <c r="U21" s="64" cm="1">
        <f t="array" aca="1" ref="U21" ca="1">INDIRECT("'Python Impact of Technique'!V" &amp; 5 + (ROW(A17)-1)*4)*100</f>
        <v>17.824158010898159</v>
      </c>
      <c r="V21" s="64">
        <v>3.1752172486680018E-11</v>
      </c>
      <c r="W21" s="64" t="s">
        <v>180</v>
      </c>
      <c r="X21" s="64">
        <f t="shared" ca="1" si="0"/>
        <v>11.970430179709258</v>
      </c>
    </row>
    <row r="22" spans="2:24" x14ac:dyDescent="0.25">
      <c r="B22" s="66" t="s">
        <v>61</v>
      </c>
      <c r="C22" s="64" cm="1">
        <f t="array" aca="1" ref="C22" ca="1">INDIRECT("'Python Impact of Technique'!F" &amp; 3 + (ROW(A18)-1)*4)</f>
        <v>154.828</v>
      </c>
      <c r="D22" s="64" cm="1">
        <f t="array" aca="1" ref="D22" ca="1">INDIRECT("'Python Impact of Technique'!F" &amp; 4 + (ROW(A18)-1)*4)</f>
        <v>309.08199999999999</v>
      </c>
      <c r="E22" s="64" cm="1">
        <f t="array" aca="1" ref="E22" ca="1">INDIRECT("'Python Impact of Technique'!S" &amp; 3 + (ROW(A18)-1)*4)*100</f>
        <v>99.629266024233331</v>
      </c>
      <c r="F22" s="64">
        <v>2.8719490663203402E-11</v>
      </c>
      <c r="G22" s="67" t="s">
        <v>180</v>
      </c>
      <c r="H22" s="64" cm="1">
        <f t="array" aca="1" ref="H22" ca="1">INDIRECT("'Python Impact of Technique'!R" &amp; 3 + (ROW(A18)-1)*4)</f>
        <v>10282.127479999999</v>
      </c>
      <c r="I22" s="64" cm="1">
        <f t="array" aca="1" ref="I22" ca="1">INDIRECT("'Python Impact of Technique'!R" &amp; 4 + (ROW(A18)-1)*4)</f>
        <v>22337.35614</v>
      </c>
      <c r="J22" s="64" cm="1">
        <f t="array" aca="1" ref="J22" ca="1">INDIRECT("'Python Impact of Technique'!V" &amp; 3 + (ROW(A18)-1)*4)*100</f>
        <v>117.24449714758838</v>
      </c>
      <c r="K22" s="64">
        <v>2.8719490663203402E-11</v>
      </c>
      <c r="L22" s="64" t="s">
        <v>180</v>
      </c>
      <c r="M22" s="68" t="s">
        <v>61</v>
      </c>
      <c r="N22" s="64" cm="1">
        <f t="array" aca="1" ref="N22" ca="1">INDIRECT("'Python Impact of Technique'!F" &amp; 5 + (ROW(A18)-1)*4)</f>
        <v>396.13</v>
      </c>
      <c r="O22" s="64" cm="1">
        <f t="array" aca="1" ref="O22" ca="1">INDIRECT("'Python Impact of Technique'!F" &amp; 6 + (ROW(A18)-1)*4)</f>
        <v>425.53</v>
      </c>
      <c r="P22" s="64" cm="1">
        <f t="array" aca="1" ref="P22" ca="1">INDIRECT("'Python Impact of Technique'!S" &amp; 5 + (ROW(A18)-1)*4)*100</f>
        <v>7.4218059727867063</v>
      </c>
      <c r="Q22" s="64">
        <v>2.8719490663203402E-11</v>
      </c>
      <c r="R22" s="64" t="s">
        <v>180</v>
      </c>
      <c r="S22" s="64" cm="1">
        <f t="array" aca="1" ref="S22" ca="1">INDIRECT("'Python Impact of Technique'!R" &amp; 5 + (ROW(A18)-1)*4)</f>
        <v>28564.934300000001</v>
      </c>
      <c r="T22" s="64" cm="1">
        <f t="array" aca="1" ref="T22" ca="1">INDIRECT("'Python Impact of Technique'!R" &amp; 6 + (ROW(A18)-1)*4)</f>
        <v>30884.967400000001</v>
      </c>
      <c r="U22" s="64" cm="1">
        <f t="array" aca="1" ref="U22" ca="1">INDIRECT("'Python Impact of Technique'!V" &amp; 5 + (ROW(A18)-1)*4)*100</f>
        <v>8.1219619678943236</v>
      </c>
      <c r="V22" s="64">
        <v>2.8719490663203402E-11</v>
      </c>
      <c r="W22" s="64" t="s">
        <v>180</v>
      </c>
      <c r="X22" s="64">
        <f t="shared" ca="1" si="0"/>
        <v>62.683229557741349</v>
      </c>
    </row>
    <row r="23" spans="2:24" ht="14.25" customHeight="1" x14ac:dyDescent="0.25">
      <c r="B23" s="66" t="s">
        <v>63</v>
      </c>
      <c r="C23" s="64" cm="1">
        <f t="array" aca="1" ref="C23" ca="1">INDIRECT("'Python Impact of Technique'!F" &amp; 3 + (ROW(A19)-1)*4)</f>
        <v>11.939</v>
      </c>
      <c r="D23" s="64" cm="1">
        <f t="array" aca="1" ref="D23" ca="1">INDIRECT("'Python Impact of Technique'!F" &amp; 4 + (ROW(A19)-1)*4)</f>
        <v>13.581</v>
      </c>
      <c r="E23" s="64" cm="1">
        <f t="array" aca="1" ref="E23" ca="1">INDIRECT("'Python Impact of Technique'!S" &amp; 3 + (ROW(A19)-1)*4)*100</f>
        <v>13.753245665466116</v>
      </c>
      <c r="F23" s="64">
        <v>2.8719490663203402E-11</v>
      </c>
      <c r="G23" s="67" t="s">
        <v>180</v>
      </c>
      <c r="H23" s="64" cm="1">
        <f t="array" aca="1" ref="H23" ca="1">INDIRECT("'Python Impact of Technique'!R" &amp; 3 + (ROW(A19)-1)*4)</f>
        <v>722.66767000000004</v>
      </c>
      <c r="I23" s="64" cm="1">
        <f t="array" aca="1" ref="I23" ca="1">INDIRECT("'Python Impact of Technique'!R" &amp; 4 + (ROW(A19)-1)*4)</f>
        <v>843.51590999999996</v>
      </c>
      <c r="J23" s="64" cm="1">
        <f t="array" aca="1" ref="J23" ca="1">INDIRECT("'Python Impact of Technique'!V" &amp; 3 + (ROW(A19)-1)*4)*100</f>
        <v>16.722519218273582</v>
      </c>
      <c r="K23" s="64">
        <v>5.7729863008733963E-11</v>
      </c>
      <c r="L23" s="64" t="s">
        <v>180</v>
      </c>
      <c r="M23" s="68" t="s">
        <v>63</v>
      </c>
      <c r="N23" s="64" cm="1">
        <f t="array" aca="1" ref="N23" ca="1">INDIRECT("'Python Impact of Technique'!F" &amp; 5 + (ROW(A19)-1)*4)</f>
        <v>9.9870000000000001</v>
      </c>
      <c r="O23" s="64" cm="1">
        <f t="array" aca="1" ref="O23" ca="1">INDIRECT("'Python Impact of Technique'!F" &amp; 6 + (ROW(A19)-1)*4)</f>
        <v>12.513</v>
      </c>
      <c r="P23" s="64" cm="1">
        <f t="array" aca="1" ref="P23" ca="1">INDIRECT("'Python Impact of Technique'!S" &amp; 5 + (ROW(A19)-1)*4)*100</f>
        <v>25.292880744968453</v>
      </c>
      <c r="Q23" s="64">
        <v>2.8719490663203402E-11</v>
      </c>
      <c r="R23" s="64" t="s">
        <v>180</v>
      </c>
      <c r="S23" s="64" cm="1">
        <f t="array" aca="1" ref="S23" ca="1">INDIRECT("'Python Impact of Technique'!R" &amp; 5 + (ROW(A19)-1)*4)</f>
        <v>631.37814000000003</v>
      </c>
      <c r="T23" s="64" cm="1">
        <f t="array" aca="1" ref="T23" ca="1">INDIRECT("'Python Impact of Technique'!R" &amp; 6 + (ROW(A19)-1)*4)</f>
        <v>807.33875999999998</v>
      </c>
      <c r="U23" s="64" cm="1">
        <f t="array" aca="1" ref="U23" ca="1">INDIRECT("'Python Impact of Technique'!V" &amp; 5 + (ROW(A19)-1)*4)*100</f>
        <v>27.869292402172803</v>
      </c>
      <c r="V23" s="64">
        <v>2.8719490663203402E-11</v>
      </c>
      <c r="W23" s="64" t="s">
        <v>180</v>
      </c>
      <c r="X23" s="64">
        <f t="shared" ca="1" si="0"/>
        <v>22.295905810223193</v>
      </c>
    </row>
    <row r="24" spans="2:24" x14ac:dyDescent="0.25">
      <c r="B24" s="66" t="s">
        <v>65</v>
      </c>
      <c r="C24" s="64" cm="1">
        <f t="array" aca="1" ref="C24" ca="1">INDIRECT("'Python Impact of Technique'!F" &amp; 3 + (ROW(A20)-1)*4)</f>
        <v>10.699</v>
      </c>
      <c r="D24" s="64" cm="1">
        <f t="array" aca="1" ref="D24" ca="1">INDIRECT("'Python Impact of Technique'!F" &amp; 4 + (ROW(A20)-1)*4)</f>
        <v>10.252000000000001</v>
      </c>
      <c r="E24" s="64" cm="1">
        <f t="array" aca="1" ref="E24" ca="1">INDIRECT("'Python Impact of Technique'!S" &amp; 3 + (ROW(A20)-1)*4)*100</f>
        <v>-4.1779605570614002</v>
      </c>
      <c r="F24" s="64">
        <v>1.6616878967820659E-2</v>
      </c>
      <c r="G24" s="67" t="s">
        <v>209</v>
      </c>
      <c r="H24" s="64" cm="1">
        <f t="array" aca="1" ref="H24" ca="1">INDIRECT("'Python Impact of Technique'!R" &amp; 3 + (ROW(A20)-1)*4)</f>
        <v>699.92858000000001</v>
      </c>
      <c r="I24" s="64" cm="1">
        <f t="array" aca="1" ref="I24" ca="1">INDIRECT("'Python Impact of Technique'!R" &amp; 4 + (ROW(A20)-1)*4)</f>
        <v>683.70587999999998</v>
      </c>
      <c r="J24" s="64" cm="1">
        <f t="array" aca="1" ref="J24" ca="1">INDIRECT("'Python Impact of Technique'!V" &amp; 3 + (ROW(A20)-1)*4)*100</f>
        <v>-2.3177650496855025</v>
      </c>
      <c r="K24" s="64">
        <v>8.4976919261348354E-3</v>
      </c>
      <c r="L24" s="64" t="s">
        <v>209</v>
      </c>
      <c r="M24" s="68" t="s">
        <v>65</v>
      </c>
      <c r="N24" s="64" cm="1">
        <f t="array" aca="1" ref="N24" ca="1">INDIRECT("'Python Impact of Technique'!F" &amp; 5 + (ROW(A20)-1)*4)</f>
        <v>5.7809999999999997</v>
      </c>
      <c r="O24" s="64" cm="1">
        <f t="array" aca="1" ref="O24" ca="1">INDIRECT("'Python Impact of Technique'!F" &amp; 6 + (ROW(A20)-1)*4)</f>
        <v>5.8170000000000002</v>
      </c>
      <c r="P24" s="64" cm="1">
        <f t="array" aca="1" ref="P24" ca="1">INDIRECT("'Python Impact of Technique'!S" &amp; 5 + (ROW(A20)-1)*4)*100</f>
        <v>0.62272963155164296</v>
      </c>
      <c r="Q24" s="64">
        <v>1.3057305617737233E-7</v>
      </c>
      <c r="R24" s="64" t="s">
        <v>180</v>
      </c>
      <c r="S24" s="64" cm="1">
        <f t="array" aca="1" ref="S24" ca="1">INDIRECT("'Python Impact of Technique'!R" &amp; 5 + (ROW(A20)-1)*4)</f>
        <v>366.5154</v>
      </c>
      <c r="T24" s="64" cm="1">
        <f t="array" aca="1" ref="T24" ca="1">INDIRECT("'Python Impact of Technique'!R" &amp; 6 + (ROW(A20)-1)*4)</f>
        <v>357.28014000000002</v>
      </c>
      <c r="U24" s="64" cm="1">
        <f t="array" aca="1" ref="U24" ca="1">INDIRECT("'Python Impact of Technique'!V" &amp; 5 + (ROW(A20)-1)*4)*100</f>
        <v>-2.5197467828091216</v>
      </c>
      <c r="V24" s="64">
        <v>9.8453100033373194E-6</v>
      </c>
      <c r="W24" s="64" t="s">
        <v>180</v>
      </c>
      <c r="X24" s="64">
        <f t="shared" ca="1" si="0"/>
        <v>-2.4187559162473118</v>
      </c>
    </row>
    <row r="25" spans="2:24" x14ac:dyDescent="0.25">
      <c r="B25" s="66" t="s">
        <v>71</v>
      </c>
      <c r="C25" s="64" cm="1">
        <f t="array" aca="1" ref="C25" ca="1">INDIRECT("'Python Impact of Technique'!F" &amp; 3 + (ROW(A21)-1)*4)</f>
        <v>70.037999999999997</v>
      </c>
      <c r="D25" s="64" cm="1">
        <f t="array" aca="1" ref="D25" ca="1">INDIRECT("'Python Impact of Technique'!F" &amp; 4 + (ROW(A21)-1)*4)</f>
        <v>61.616999999999997</v>
      </c>
      <c r="E25" s="64" cm="1">
        <f t="array" aca="1" ref="E25" ca="1">INDIRECT("'Python Impact of Technique'!S" &amp; 3 + (ROW(A21)-1)*4)*100</f>
        <v>-12.0234729718153</v>
      </c>
      <c r="F25" s="64">
        <v>2.8719490663203402E-11</v>
      </c>
      <c r="G25" s="67" t="s">
        <v>180</v>
      </c>
      <c r="H25" s="64" cm="1">
        <f t="array" aca="1" ref="H25" ca="1">INDIRECT("'Python Impact of Technique'!R" &amp; 3 + (ROW(A21)-1)*4)</f>
        <v>4483.13238</v>
      </c>
      <c r="I25" s="64" cm="1">
        <f t="array" aca="1" ref="I25" ca="1">INDIRECT("'Python Impact of Technique'!R" &amp; 4 + (ROW(A21)-1)*4)</f>
        <v>3935.477789999999</v>
      </c>
      <c r="J25" s="64" cm="1">
        <f t="array" aca="1" ref="J25" ca="1">INDIRECT("'Python Impact of Technique'!V" &amp; 3 + (ROW(A21)-1)*4)*100</f>
        <v>-12.215891559285184</v>
      </c>
      <c r="K25" s="64">
        <v>2.8719490663203402E-11</v>
      </c>
      <c r="L25" s="64" t="s">
        <v>180</v>
      </c>
      <c r="M25" s="68" t="s">
        <v>71</v>
      </c>
      <c r="N25" s="64" cm="1">
        <f t="array" aca="1" ref="N25" ca="1">INDIRECT("'Python Impact of Technique'!F" &amp; 5 + (ROW(A21)-1)*4)</f>
        <v>50.41</v>
      </c>
      <c r="O25" s="64" cm="1">
        <f t="array" aca="1" ref="O25" ca="1">INDIRECT("'Python Impact of Technique'!F" &amp; 6 + (ROW(A21)-1)*4)</f>
        <v>47.228999999999999</v>
      </c>
      <c r="P25" s="64" cm="1">
        <f t="array" aca="1" ref="P25" ca="1">INDIRECT("'Python Impact of Technique'!S" &amp; 5 + (ROW(A21)-1)*4)*100</f>
        <v>-6.3102559016068192</v>
      </c>
      <c r="Q25" s="64">
        <v>9.9186286189480851E-11</v>
      </c>
      <c r="R25" s="64" t="s">
        <v>180</v>
      </c>
      <c r="S25" s="64" cm="1">
        <f t="array" aca="1" ref="S25" ca="1">INDIRECT("'Python Impact of Technique'!R" &amp; 5 + (ROW(A21)-1)*4)</f>
        <v>3243.883499999999</v>
      </c>
      <c r="T25" s="64" cm="1">
        <f t="array" aca="1" ref="T25" ca="1">INDIRECT("'Python Impact of Technique'!R" &amp; 6 + (ROW(A21)-1)*4)</f>
        <v>2955.5908199999999</v>
      </c>
      <c r="U25" s="64" cm="1">
        <f t="array" aca="1" ref="U25" ca="1">INDIRECT("'Python Impact of Technique'!V" &amp; 5 + (ROW(A21)-1)*4)*100</f>
        <v>-8.8872698418423219</v>
      </c>
      <c r="V25" s="64">
        <v>2.8719490663203402E-11</v>
      </c>
      <c r="W25" s="64" t="s">
        <v>180</v>
      </c>
      <c r="X25" s="64">
        <f t="shared" ca="1" si="0"/>
        <v>-10.551580700563754</v>
      </c>
    </row>
    <row r="26" spans="2:24" x14ac:dyDescent="0.25">
      <c r="B26" s="66" t="s">
        <v>79</v>
      </c>
      <c r="C26" s="64" cm="1">
        <f t="array" aca="1" ref="C26" ca="1">INDIRECT("'Python Impact of Technique'!F" &amp; 3 + (ROW(A22)-1)*4)</f>
        <v>204.48599999999999</v>
      </c>
      <c r="D26" s="64" cm="1">
        <f t="array" aca="1" ref="D26" ca="1">INDIRECT("'Python Impact of Technique'!F" &amp; 4 + (ROW(A22)-1)*4)</f>
        <v>130.517</v>
      </c>
      <c r="E26" s="64" cm="1">
        <f t="array" aca="1" ref="E26" ca="1">INDIRECT("'Python Impact of Technique'!S" &amp; 3 + (ROW(A22)-1)*4)*100</f>
        <v>-36.173136547245285</v>
      </c>
      <c r="F26" s="64">
        <v>2.8719490663203402E-11</v>
      </c>
      <c r="G26" s="67" t="s">
        <v>180</v>
      </c>
      <c r="H26" s="64" cm="1">
        <f t="array" aca="1" ref="H26" ca="1">INDIRECT("'Python Impact of Technique'!R" &amp; 3 + (ROW(A22)-1)*4)</f>
        <v>14013.425579999999</v>
      </c>
      <c r="I26" s="64" cm="1">
        <f t="array" aca="1" ref="I26" ca="1">INDIRECT("'Python Impact of Technique'!R" &amp; 4 + (ROW(A22)-1)*4)</f>
        <v>8970.4334099999996</v>
      </c>
      <c r="J26" s="64" cm="1">
        <f t="array" aca="1" ref="J26" ca="1">INDIRECT("'Python Impact of Technique'!V" &amp; 3 + (ROW(A22)-1)*4)*100</f>
        <v>-35.986862321496702</v>
      </c>
      <c r="K26" s="64">
        <v>2.8719490663203402E-11</v>
      </c>
      <c r="L26" s="64" t="s">
        <v>180</v>
      </c>
      <c r="M26" s="68" t="s">
        <v>79</v>
      </c>
      <c r="N26" s="64" cm="1">
        <f t="array" aca="1" ref="N26" ca="1">INDIRECT("'Python Impact of Technique'!F" &amp; 5 + (ROW(A22)-1)*4)</f>
        <v>156.761</v>
      </c>
      <c r="O26" s="64" cm="1">
        <f t="array" aca="1" ref="O26" ca="1">INDIRECT("'Python Impact of Technique'!F" &amp; 6 + (ROW(A22)-1)*4)</f>
        <v>153.39099999999999</v>
      </c>
      <c r="P26" s="64" cm="1">
        <f t="array" aca="1" ref="P26" ca="1">INDIRECT("'Python Impact of Technique'!S" &amp; 5 + (ROW(A22)-1)*4)*100</f>
        <v>-2.1497693941732985</v>
      </c>
      <c r="Q26" s="64">
        <v>1.053652525865327E-2</v>
      </c>
      <c r="R26" s="64" t="s">
        <v>209</v>
      </c>
      <c r="S26" s="64" cm="1">
        <f t="array" aca="1" ref="S26" ca="1">INDIRECT("'Python Impact of Technique'!R" &amp; 5 + (ROW(A22)-1)*4)</f>
        <v>10796.130069999999</v>
      </c>
      <c r="T26" s="64" cm="1">
        <f t="array" aca="1" ref="T26" ca="1">INDIRECT("'Python Impact of Technique'!R" &amp; 6 + (ROW(A22)-1)*4)</f>
        <v>10688.284879999999</v>
      </c>
      <c r="U26" s="64" cm="1">
        <f t="array" aca="1" ref="U26" ca="1">INDIRECT("'Python Impact of Technique'!V" &amp; 5 + (ROW(A22)-1)*4)*100</f>
        <v>-0.99892451555096906</v>
      </c>
      <c r="V26" s="64">
        <v>0.3007110471483132</v>
      </c>
      <c r="W26" s="64" t="s">
        <v>179</v>
      </c>
      <c r="X26" s="64">
        <f t="shared" ca="1" si="0"/>
        <v>-18.492893418523835</v>
      </c>
    </row>
    <row r="27" spans="2:24" x14ac:dyDescent="0.25">
      <c r="B27" s="66" t="s">
        <v>87</v>
      </c>
      <c r="C27" s="64" cm="1">
        <f t="array" aca="1" ref="C27" ca="1">INDIRECT("'Python Impact of Technique'!F" &amp; 3 + (ROW(A23)-1)*4)</f>
        <v>6.2480000000000002</v>
      </c>
      <c r="D27" s="64" cm="1">
        <f t="array" aca="1" ref="D27" ca="1">INDIRECT("'Python Impact of Technique'!F" &amp; 4 + (ROW(A23)-1)*4)</f>
        <v>5.9779999999999998</v>
      </c>
      <c r="E27" s="64" cm="1">
        <f t="array" aca="1" ref="E27" ca="1">INDIRECT("'Python Impact of Technique'!S" &amp; 3 + (ROW(A23)-1)*4)*100</f>
        <v>-4.3213828425096104</v>
      </c>
      <c r="F27" s="64">
        <v>9.6738506509202911E-3</v>
      </c>
      <c r="G27" s="67" t="s">
        <v>209</v>
      </c>
      <c r="H27" s="64" cm="1">
        <f t="array" aca="1" ref="H27" ca="1">INDIRECT("'Python Impact of Technique'!R" &amp; 3 + (ROW(A23)-1)*4)</f>
        <v>407.43207999999998</v>
      </c>
      <c r="I27" s="64" cm="1">
        <f t="array" aca="1" ref="I27" ca="1">INDIRECT("'Python Impact of Technique'!R" &amp; 4 + (ROW(A23)-1)*4)</f>
        <v>402.85741999999999</v>
      </c>
      <c r="J27" s="64" cm="1">
        <f t="array" aca="1" ref="J27" ca="1">INDIRECT("'Python Impact of Technique'!V" &amp; 3 + (ROW(A23)-1)*4)*100</f>
        <v>-1.1228030939537197</v>
      </c>
      <c r="K27" s="64">
        <v>0.13537778532322642</v>
      </c>
      <c r="L27" s="64" t="s">
        <v>210</v>
      </c>
      <c r="M27" s="68" t="s">
        <v>87</v>
      </c>
      <c r="N27" s="64" cm="1">
        <f t="array" aca="1" ref="N27" ca="1">INDIRECT("'Python Impact of Technique'!F" &amp; 5 + (ROW(A23)-1)*4)</f>
        <v>2.4609999999999999</v>
      </c>
      <c r="O27" s="64" cm="1">
        <f t="array" aca="1" ref="O27" ca="1">INDIRECT("'Python Impact of Technique'!F" &amp; 6 + (ROW(A23)-1)*4)</f>
        <v>2.383</v>
      </c>
      <c r="P27" s="64" cm="1">
        <f t="array" aca="1" ref="P27" ca="1">INDIRECT("'Python Impact of Technique'!S" &amp; 5 + (ROW(A23)-1)*4)*100</f>
        <v>-3.1694433157253088</v>
      </c>
      <c r="Q27" s="64">
        <v>2.108994640787645E-2</v>
      </c>
      <c r="R27" s="64" t="s">
        <v>179</v>
      </c>
      <c r="S27" s="64" cm="1">
        <f t="array" aca="1" ref="S27" ca="1">INDIRECT("'Python Impact of Technique'!R" &amp; 5 + (ROW(A23)-1)*4)</f>
        <v>149.13659999999999</v>
      </c>
      <c r="T27" s="64" cm="1">
        <f t="array" aca="1" ref="T27" ca="1">INDIRECT("'Python Impact of Technique'!R" &amp; 6 + (ROW(A23)-1)*4)</f>
        <v>144.17150000000001</v>
      </c>
      <c r="U27" s="64" cm="1">
        <f t="array" aca="1" ref="U27" ca="1">INDIRECT("'Python Impact of Technique'!V" &amp; 5 + (ROW(A23)-1)*4)*100</f>
        <v>-3.3292297128940711</v>
      </c>
      <c r="V27" s="64">
        <v>8.3669986917124795E-2</v>
      </c>
      <c r="W27" s="64" t="s">
        <v>210</v>
      </c>
      <c r="X27" s="64">
        <f t="shared" ca="1" si="0"/>
        <v>-2.2260164034238956</v>
      </c>
    </row>
    <row r="28" spans="2:24" x14ac:dyDescent="0.25">
      <c r="B28" s="66" t="s">
        <v>91</v>
      </c>
      <c r="C28" s="64" cm="1">
        <f t="array" aca="1" ref="C28" ca="1">INDIRECT("'Python Impact of Technique'!F" &amp; 3 + (ROW(A24)-1)*4)</f>
        <v>55.194000000000003</v>
      </c>
      <c r="D28" s="64" cm="1">
        <f t="array" aca="1" ref="D28" ca="1">INDIRECT("'Python Impact of Technique'!F" &amp; 4 + (ROW(A24)-1)*4)</f>
        <v>54.970999999999997</v>
      </c>
      <c r="E28" s="64" cm="1">
        <f t="array" aca="1" ref="E28" ca="1">INDIRECT("'Python Impact of Technique'!S" &amp; 3 + (ROW(A24)-1)*4)*100</f>
        <v>-0.4040294234880713</v>
      </c>
      <c r="F28" s="64">
        <v>0.82449575165477107</v>
      </c>
      <c r="G28" s="67" t="s">
        <v>210</v>
      </c>
      <c r="H28" s="64" cm="1">
        <f t="array" aca="1" ref="H28" ca="1">INDIRECT("'Python Impact of Technique'!R" &amp; 3 + (ROW(A24)-1)*4)</f>
        <v>3524.6888399999998</v>
      </c>
      <c r="I28" s="64" cm="1">
        <f t="array" aca="1" ref="I28" ca="1">INDIRECT("'Python Impact of Technique'!R" &amp; 4 + (ROW(A24)-1)*4)</f>
        <v>3487.36024</v>
      </c>
      <c r="J28" s="64" cm="1">
        <f t="array" aca="1" ref="J28" ca="1">INDIRECT("'Python Impact of Technique'!V" &amp; 3 + (ROW(A24)-1)*4)*100</f>
        <v>-1.0590608616674324</v>
      </c>
      <c r="K28" s="64">
        <v>1.5958584261266201E-2</v>
      </c>
      <c r="L28" s="64" t="s">
        <v>209</v>
      </c>
      <c r="M28" s="68" t="s">
        <v>91</v>
      </c>
      <c r="N28" s="64" cm="1">
        <f t="array" aca="1" ref="N28" ca="1">INDIRECT("'Python Impact of Technique'!F" &amp; 5 + (ROW(A24)-1)*4)</f>
        <v>47.99</v>
      </c>
      <c r="O28" s="64" cm="1">
        <f t="array" aca="1" ref="O28" ca="1">INDIRECT("'Python Impact of Technique'!F" &amp; 6 + (ROW(A24)-1)*4)</f>
        <v>52.593000000000004</v>
      </c>
      <c r="P28" s="64" cm="1">
        <f t="array" aca="1" ref="P28" ca="1">INDIRECT("'Python Impact of Technique'!S" &amp; 5 + (ROW(A24)-1)*4)*100</f>
        <v>9.5915815794957311</v>
      </c>
      <c r="Q28" s="64">
        <v>2.8719490663203402E-11</v>
      </c>
      <c r="R28" s="64" t="s">
        <v>210</v>
      </c>
      <c r="S28" s="64" cm="1">
        <f t="array" aca="1" ref="S28" ca="1">INDIRECT("'Python Impact of Technique'!R" &amp; 5 + (ROW(A24)-1)*4)</f>
        <v>3141.4254000000001</v>
      </c>
      <c r="T28" s="64" cm="1">
        <f t="array" aca="1" ref="T28" ca="1">INDIRECT("'Python Impact of Technique'!R" &amp; 6 + (ROW(A24)-1)*4)</f>
        <v>3678.3544200000001</v>
      </c>
      <c r="U28" s="64" cm="1">
        <f t="array" aca="1" ref="U28" ca="1">INDIRECT("'Python Impact of Technique'!V" &amp; 5 + (ROW(A24)-1)*4)*100</f>
        <v>17.09189147066806</v>
      </c>
      <c r="V28" s="64">
        <v>2.8719490663203402E-11</v>
      </c>
      <c r="W28" s="64" t="s">
        <v>180</v>
      </c>
      <c r="X28" s="64">
        <f t="shared" ca="1" si="0"/>
        <v>8.0164153045003133</v>
      </c>
    </row>
    <row r="29" spans="2:24" x14ac:dyDescent="0.25">
      <c r="B29" s="66" t="s">
        <v>93</v>
      </c>
      <c r="C29" s="64" cm="1">
        <f t="array" aca="1" ref="C29" ca="1">INDIRECT("'Python Impact of Technique'!F" &amp; 3 + (ROW(A25)-1)*4)</f>
        <v>7.383</v>
      </c>
      <c r="D29" s="64" cm="1">
        <f t="array" aca="1" ref="D29" ca="1">INDIRECT("'Python Impact of Technique'!F" &amp; 4 + (ROW(A25)-1)*4)</f>
        <v>5.798</v>
      </c>
      <c r="E29" s="64" cm="1">
        <f t="array" aca="1" ref="E29" ca="1">INDIRECT("'Python Impact of Technique'!S" &amp; 3 + (ROW(A25)-1)*4)*100</f>
        <v>-21.468237843694972</v>
      </c>
      <c r="F29" s="64">
        <v>2.8719490663203402E-11</v>
      </c>
      <c r="G29" s="67" t="s">
        <v>180</v>
      </c>
      <c r="H29" s="64" cm="1">
        <f t="array" aca="1" ref="H29" ca="1">INDIRECT("'Python Impact of Technique'!R" &amp; 3 + (ROW(A25)-1)*4)</f>
        <v>502265.49</v>
      </c>
      <c r="I29" s="64" cm="1">
        <f t="array" aca="1" ref="I29" ca="1">INDIRECT("'Python Impact of Technique'!R" &amp; 4 + (ROW(A25)-1)*4)</f>
        <v>388118.12</v>
      </c>
      <c r="J29" s="64" cm="1">
        <f t="array" aca="1" ref="J29" ca="1">INDIRECT("'Python Impact of Technique'!V" &amp; 3 + (ROW(A25)-1)*4)*100</f>
        <v>-22.726500679949162</v>
      </c>
      <c r="K29" s="64">
        <v>2.8719490663203402E-11</v>
      </c>
      <c r="L29" s="64" t="s">
        <v>180</v>
      </c>
      <c r="M29" s="68" t="s">
        <v>93</v>
      </c>
      <c r="N29" s="64" cm="1">
        <f t="array" aca="1" ref="N29" ca="1">INDIRECT("'Python Impact of Technique'!F" &amp; 5 + (ROW(A25)-1)*4)</f>
        <v>6.2130000000000001</v>
      </c>
      <c r="O29" s="64" cm="1">
        <f t="array" aca="1" ref="O29" ca="1">INDIRECT("'Python Impact of Technique'!F" &amp; 6 + (ROW(A25)-1)*4)</f>
        <v>4.5209999999999999</v>
      </c>
      <c r="P29" s="64" cm="1">
        <f t="array" aca="1" ref="P29" ca="1">INDIRECT("'Python Impact of Technique'!S" &amp; 5 + (ROW(A25)-1)*4)*100</f>
        <v>-27.233220666344764</v>
      </c>
      <c r="Q29" s="64">
        <v>2.8719490663203402E-11</v>
      </c>
      <c r="R29" s="64" t="s">
        <v>180</v>
      </c>
      <c r="S29" s="64" cm="1">
        <f t="array" aca="1" ref="S29" ca="1">INDIRECT("'Python Impact of Technique'!R" &amp; 5 + (ROW(A25)-1)*4)</f>
        <v>428634.87</v>
      </c>
      <c r="T29" s="64" cm="1">
        <f t="array" aca="1" ref="T29" ca="1">INDIRECT("'Python Impact of Technique'!R" &amp; 6 + (ROW(A25)-1)*4)</f>
        <v>308286.99</v>
      </c>
      <c r="U29" s="64" cm="1">
        <f t="array" aca="1" ref="U29" ca="1">INDIRECT("'Python Impact of Technique'!V" &amp; 5 + (ROW(A25)-1)*4)*100</f>
        <v>-28.077015759357142</v>
      </c>
      <c r="V29" s="64">
        <v>2.8719490663203402E-11</v>
      </c>
      <c r="W29" s="64" t="s">
        <v>180</v>
      </c>
      <c r="X29" s="64">
        <f t="shared" ca="1" si="0"/>
        <v>-25.401758219653154</v>
      </c>
    </row>
    <row r="30" spans="2:24" x14ac:dyDescent="0.25">
      <c r="B30" s="23" t="s">
        <v>95</v>
      </c>
      <c r="C30" s="64" cm="1">
        <f t="array" aca="1" ref="C30" ca="1">INDIRECT("'Python Impact of Technique'!F" &amp; 3 + (ROW(A26)-1)*4)</f>
        <v>1.972</v>
      </c>
      <c r="D30" s="64" cm="1">
        <f t="array" aca="1" ref="D30" ca="1">INDIRECT("'Python Impact of Technique'!F" &amp; 4 + (ROW(A26)-1)*4)</f>
        <v>1.204</v>
      </c>
      <c r="E30" s="64" cm="1">
        <f t="array" aca="1" ref="E30" ca="1">INDIRECT("'Python Impact of Technique'!S" &amp; 3 + (ROW(A26)-1)*4)*100</f>
        <v>-38.945233265720077</v>
      </c>
      <c r="F30" s="64">
        <v>5.5726532484542831E-10</v>
      </c>
      <c r="G30" s="67" t="s">
        <v>180</v>
      </c>
      <c r="H30" s="64" cm="1">
        <f t="array" aca="1" ref="H30" ca="1">INDIRECT("'Python Impact of Technique'!R" &amp; 3 + (ROW(A26)-1)*4)</f>
        <v>122264</v>
      </c>
      <c r="I30" s="64" cm="1">
        <f t="array" aca="1" ref="I30" ca="1">INDIRECT("'Python Impact of Technique'!R" &amp; 4 + (ROW(A26)-1)*4)</f>
        <v>71048.039999999994</v>
      </c>
      <c r="J30" s="64" cm="1">
        <f t="array" aca="1" ref="J30" ca="1">INDIRECT("'Python Impact of Technique'!V" &amp; 3 + (ROW(A26)-1)*4)*100</f>
        <v>-41.88964862919584</v>
      </c>
      <c r="K30" s="64">
        <v>3.8787144759013784E-11</v>
      </c>
      <c r="L30" s="64" t="s">
        <v>180</v>
      </c>
      <c r="M30" s="69" t="s">
        <v>95</v>
      </c>
      <c r="N30" s="64" cm="1">
        <f t="array" aca="1" ref="N30" ca="1">INDIRECT("'Python Impact of Technique'!F" &amp; 5 + (ROW(A26)-1)*4)</f>
        <v>2.4780000000000002</v>
      </c>
      <c r="O30" s="64" cm="1">
        <f t="array" aca="1" ref="O30" ca="1">INDIRECT("'Python Impact of Technique'!F" &amp; 6 + (ROW(A26)-1)*4)</f>
        <v>1.571</v>
      </c>
      <c r="P30" s="64" cm="1">
        <f t="array" aca="1" ref="P30" ca="1">INDIRECT("'Python Impact of Technique'!S" &amp; 5 + (ROW(A26)-1)*4)*100</f>
        <v>-36.602098466505254</v>
      </c>
      <c r="Q30" s="64">
        <v>9.7555011345763696E-10</v>
      </c>
      <c r="R30" s="64" t="s">
        <v>180</v>
      </c>
      <c r="S30" s="64" cm="1">
        <f t="array" aca="1" ref="S30" ca="1">INDIRECT("'Python Impact of Technique'!R" &amp; 5 + (ROW(A26)-1)*4)</f>
        <v>165208.26</v>
      </c>
      <c r="T30" s="64" cm="1">
        <f t="array" aca="1" ref="T30" ca="1">INDIRECT("'Python Impact of Technique'!R" &amp; 6 + (ROW(A26)-1)*4)</f>
        <v>100041.28</v>
      </c>
      <c r="U30" s="64" cm="1">
        <f t="array" aca="1" ref="U30" ca="1">INDIRECT("'Python Impact of Technique'!V" &amp; 5 + (ROW(A26)-1)*4)*100</f>
        <v>-39.445352187596434</v>
      </c>
      <c r="V30" s="64">
        <v>7.7617346896055191E-11</v>
      </c>
      <c r="W30" s="64" t="s">
        <v>180</v>
      </c>
      <c r="X30" s="64">
        <f t="shared" ca="1" si="0"/>
        <v>-40.667500408396137</v>
      </c>
    </row>
    <row r="32" spans="2:24" ht="18.75" x14ac:dyDescent="0.3">
      <c r="B32" s="108" t="s">
        <v>149</v>
      </c>
      <c r="C32" s="109"/>
      <c r="D32" s="109"/>
      <c r="E32" s="109"/>
      <c r="F32" s="109"/>
      <c r="G32" s="109"/>
      <c r="H32" s="109"/>
      <c r="I32" s="109"/>
      <c r="J32" s="109"/>
      <c r="K32" s="109"/>
      <c r="L32" s="109"/>
      <c r="M32" s="109"/>
      <c r="N32" s="109"/>
      <c r="O32" s="110"/>
    </row>
    <row r="33" spans="2:19" ht="15.75" x14ac:dyDescent="0.25">
      <c r="B33" s="105" t="s">
        <v>205</v>
      </c>
      <c r="C33" s="106"/>
      <c r="D33" s="106"/>
      <c r="E33" s="107"/>
      <c r="F33" s="70"/>
      <c r="G33" s="105" t="s">
        <v>205</v>
      </c>
      <c r="H33" s="106"/>
      <c r="I33" s="106"/>
      <c r="J33" s="107"/>
      <c r="K33" s="70"/>
      <c r="L33" s="105" t="s">
        <v>205</v>
      </c>
      <c r="M33" s="106"/>
      <c r="N33" s="106"/>
      <c r="O33" s="107"/>
    </row>
    <row r="34" spans="2:19" x14ac:dyDescent="0.25">
      <c r="B34" s="82" t="s">
        <v>187</v>
      </c>
      <c r="C34" s="83"/>
      <c r="D34" s="83"/>
      <c r="E34" s="84"/>
      <c r="F34" s="71"/>
      <c r="G34" s="82" t="s">
        <v>118</v>
      </c>
      <c r="H34" s="83"/>
      <c r="I34" s="83"/>
      <c r="J34" s="84"/>
      <c r="K34" s="71"/>
      <c r="L34" s="82" t="s">
        <v>226</v>
      </c>
      <c r="M34" s="83"/>
      <c r="N34" s="83"/>
      <c r="O34" s="84"/>
      <c r="R34" s="1"/>
    </row>
    <row r="35" spans="2:19" x14ac:dyDescent="0.25">
      <c r="B35" s="39" t="s">
        <v>149</v>
      </c>
      <c r="C35" s="40" t="s">
        <v>173</v>
      </c>
      <c r="D35" s="40" t="s">
        <v>174</v>
      </c>
      <c r="E35" s="41" t="s">
        <v>175</v>
      </c>
      <c r="F35" s="71"/>
      <c r="G35" s="39" t="s">
        <v>149</v>
      </c>
      <c r="H35" s="40" t="s">
        <v>173</v>
      </c>
      <c r="I35" s="40" t="s">
        <v>174</v>
      </c>
      <c r="J35" s="41" t="s">
        <v>175</v>
      </c>
      <c r="K35" s="71"/>
      <c r="L35" s="39" t="s">
        <v>149</v>
      </c>
      <c r="M35" s="40" t="s">
        <v>173</v>
      </c>
      <c r="N35" s="40" t="s">
        <v>174</v>
      </c>
      <c r="O35" s="41" t="s">
        <v>175</v>
      </c>
    </row>
    <row r="36" spans="2:19" x14ac:dyDescent="0.25">
      <c r="B36" s="5" t="s">
        <v>176</v>
      </c>
      <c r="C36" s="28" cm="1">
        <f t="array" aca="1" ref="C36" ca="1">AVERAGE(_xlfn._xlws.FILTER($J$5:$J$30, ISNUMBER(MATCH($B$5:$B$30, _xlfn.TEXTSPLIT(_xlfn.TEXTJOIN(", ", TRUE, AA6:AA8), ", "), 0))))</f>
        <v>-27.987319771765208</v>
      </c>
      <c r="D36" s="28" cm="1">
        <f t="array" aca="1" ref="D36" ca="1">MIN(_xlfn._xlws.FILTER($J$5:$J$30, ISNUMBER(MATCH($B$5:$B$30, _xlfn.TEXTSPLIT(_xlfn.TEXTJOIN(", ", TRUE, AA6:AA8), ", "), 0))))</f>
        <v>-70.376581617575056</v>
      </c>
      <c r="E36" s="28" cm="1">
        <f t="array" aca="1" ref="E36" ca="1">MAX(_xlfn._xlws.FILTER($J$5:$J$30, ISNUMBER(MATCH($B$5:$B$30, _xlfn.TEXTSPLIT(_xlfn.TEXTJOIN(", ", TRUE, AA6:AA8), ", "), 0))))</f>
        <v>-3.3376793575922048</v>
      </c>
      <c r="F36" s="71"/>
      <c r="G36" s="5" t="s">
        <v>176</v>
      </c>
      <c r="H36" s="28" cm="1">
        <f t="array" aca="1" ref="H36" ca="1">AVERAGE(_xlfn._xlws.FILTER($U$5:$U$30, ISNUMBER(MATCH($M$5:$M$30, _xlfn.TEXTSPLIT(_xlfn.TEXTJOIN(", ", TRUE, AD6:AD8), ", "), 0))))</f>
        <v>-29.068853651550217</v>
      </c>
      <c r="I36" s="28" cm="1">
        <f t="array" aca="1" ref="I36" ca="1">MIN(_xlfn._xlws.FILTER($U$5:$U$30, ISNUMBER(MATCH($M$5:$M$30, _xlfn.TEXTSPLIT(_xlfn.TEXTJOIN(", ", TRUE, AD6:AD8), ", "), 0))))</f>
        <v>-68.758184691688669</v>
      </c>
      <c r="J36" s="28" cm="1">
        <f t="array" aca="1" ref="J36" ca="1">MAX(_xlfn._xlws.FILTER($U$5:$U$30, ISNUMBER(MATCH($M$5:$M$30, _xlfn.TEXTSPLIT(_xlfn.TEXTJOIN(", ", TRUE, AD6:AD8), ", "), 0))))</f>
        <v>-3.3292297128940711</v>
      </c>
      <c r="K36" s="71"/>
      <c r="L36" s="5" t="s">
        <v>176</v>
      </c>
      <c r="M36" s="28">
        <f ca="1">AVERAGE(C36,H36)</f>
        <v>-28.528086711657714</v>
      </c>
      <c r="N36" s="28">
        <f ca="1">MIN(D36,I36)</f>
        <v>-70.376581617575056</v>
      </c>
      <c r="O36" s="28">
        <f ca="1">MAX(E36,J36)</f>
        <v>-3.3292297128940711</v>
      </c>
    </row>
    <row r="37" spans="2:19" x14ac:dyDescent="0.25">
      <c r="B37" s="5" t="s">
        <v>177</v>
      </c>
      <c r="C37" s="28" cm="1">
        <f t="array" aca="1" ref="C37" ca="1">AVERAGE(_xlfn._xlws.FILTER($J$5:$J$30, ISNUMBER(MATCH($B$5:$B$30, _xlfn.TEXTSPLIT(_xlfn.TEXTJOIN(", ", TRUE, AA9), ", "), 0))))</f>
        <v>-0.77689352034910097</v>
      </c>
      <c r="D37" s="28" cm="1">
        <f t="array" aca="1" ref="D37" ca="1">MIN(_xlfn._xlws.FILTER($J$5:$J$30, ISNUMBER(MATCH($B$5:$B$30, _xlfn.TEXTSPLIT(_xlfn.TEXTJOIN(", ", TRUE, AA9), ", "), 0))))</f>
        <v>-2.3177650496855025</v>
      </c>
      <c r="E37" s="28" cm="1">
        <f t="array" aca="1" ref="E37" ca="1">MAX(_xlfn._xlws.FILTER($J$5:$J$30, ISNUMBER(MATCH($B$5:$B$30, _xlfn.TEXTSPLIT(_xlfn.TEXTJOIN(", ", TRUE, AA9), ", "), 0))))</f>
        <v>1.3920549239102509</v>
      </c>
      <c r="F37" s="71"/>
      <c r="G37" s="5" t="s">
        <v>177</v>
      </c>
      <c r="H37" s="28" cm="1">
        <f t="array" aca="1" ref="H37" ca="1">AVERAGE(_xlfn._xlws.FILTER($U$5:$U$30, ISNUMBER(MATCH($M$5:$M$30, _xlfn.TEXTSPLIT(_xlfn.TEXTJOIN(", ", TRUE, AD9), ", "), 0))))</f>
        <v>-2.1237126413926144</v>
      </c>
      <c r="I37" s="28" cm="1">
        <f t="array" aca="1" ref="I37" ca="1">MIN(_xlfn._xlws.FILTER($U$5:$U$30, ISNUMBER(MATCH($M$5:$M$30, _xlfn.TEXTSPLIT(_xlfn.TEXTJOIN(", ", TRUE, AD9), ", "), 0))))</f>
        <v>-2.8524666258177529</v>
      </c>
      <c r="J37" s="28" cm="1">
        <f t="array" aca="1" ref="J37" ca="1">MAX(_xlfn._xlws.FILTER($U$5:$U$30, ISNUMBER(MATCH($M$5:$M$30, _xlfn.TEXTSPLIT(_xlfn.TEXTJOIN(", ", TRUE, AD9), ", "), 0))))</f>
        <v>-0.99892451555096906</v>
      </c>
      <c r="K37" s="71"/>
      <c r="L37" s="5" t="s">
        <v>177</v>
      </c>
      <c r="M37" s="28">
        <f ca="1">AVERAGE(C37,H37)</f>
        <v>-1.4503030808708577</v>
      </c>
      <c r="N37" s="28">
        <f ca="1">MIN(D37,I37)</f>
        <v>-2.8524666258177529</v>
      </c>
      <c r="O37" s="28">
        <f ca="1">MAX(E37,J37)</f>
        <v>1.3920549239102509</v>
      </c>
    </row>
    <row r="38" spans="2:19" x14ac:dyDescent="0.25">
      <c r="B38" s="5" t="s">
        <v>178</v>
      </c>
      <c r="C38" s="28" cm="1">
        <f t="array" aca="1" ref="C38" ca="1">AVERAGE(_xlfn._xlws.FILTER($J$5:$J$30, ISNUMBER(MATCH($B$5:$B$30, _xlfn.TEXTSPLIT(_xlfn.TEXTJOIN(", ", TRUE, AA10:AA12), ", "), 0))))</f>
        <v>28.593852120890926</v>
      </c>
      <c r="D38" s="28" cm="1">
        <f t="array" aca="1" ref="D38" ca="1">MIN(_xlfn._xlws.FILTER($J$5:$J$30, ISNUMBER(MATCH($B$5:$B$30, _xlfn.TEXTSPLIT(_xlfn.TEXTJOIN(", ", TRUE, AA10:AA12), ", "), 0))))</f>
        <v>3.9103596133052441</v>
      </c>
      <c r="E38" s="28" cm="1">
        <f t="array" aca="1" ref="E38" ca="1">MAX(_xlfn._xlws.FILTER($J$5:$J$30, ISNUMBER(MATCH($B$5:$B$30, _xlfn.TEXTSPLIT(_xlfn.TEXTJOIN(", ", TRUE, AA10:AA12), ", "), 0))))</f>
        <v>117.24449714758838</v>
      </c>
      <c r="F38" s="71"/>
      <c r="G38" s="5" t="s">
        <v>178</v>
      </c>
      <c r="H38" s="28" cm="1">
        <f t="array" aca="1" ref="H38" ca="1">AVERAGE(_xlfn._xlws.FILTER($U$5:$U$30, ISNUMBER(MATCH($M$5:$M$30, _xlfn.TEXTSPLIT(_xlfn.TEXTJOIN(", ", TRUE, AD10:AD12), ", "), 0))))</f>
        <v>14.210265591790971</v>
      </c>
      <c r="I38" s="28" cm="1">
        <f t="array" aca="1" ref="I38" ca="1">MIN(_xlfn._xlws.FILTER($U$5:$U$30, ISNUMBER(MATCH($M$5:$M$30, _xlfn.TEXTSPLIT(_xlfn.TEXTJOIN(", ", TRUE, AD10:AD12), ", "), 0))))</f>
        <v>5.407469447875509</v>
      </c>
      <c r="J38" s="28" cm="1">
        <f t="array" aca="1" ref="J38" ca="1">MAX(_xlfn._xlws.FILTER($U$5:$U$30, ISNUMBER(MATCH($M$5:$M$30, _xlfn.TEXTSPLIT(_xlfn.TEXTJOIN(", ", TRUE, AD10:AD12), ", "), 0))))</f>
        <v>27.869292402172803</v>
      </c>
      <c r="K38" s="71"/>
      <c r="L38" s="5" t="s">
        <v>178</v>
      </c>
      <c r="M38" s="28">
        <f ca="1">AVERAGE(C38,H38)</f>
        <v>21.40205885634095</v>
      </c>
      <c r="N38" s="28">
        <f ca="1">MIN(D38,I38)</f>
        <v>3.9103596133052441</v>
      </c>
      <c r="O38" s="28">
        <f ca="1">MAX(E38,J38)</f>
        <v>117.24449714758838</v>
      </c>
      <c r="S38" s="1"/>
    </row>
    <row r="39" spans="2:19" x14ac:dyDescent="0.25">
      <c r="B39" s="5" t="s">
        <v>121</v>
      </c>
      <c r="C39" s="28" cm="1">
        <f t="array" aca="1" ref="C39" ca="1">AVERAGE(_xlfn._xlws.FILTER($J$5:$J$30, ISNUMBER(MATCH($B$5:$B$30, _xlfn.TEXTSPLIT(_xlfn.TEXTJOIN(", ", TRUE, AA6:AA12), ", "), 0))))</f>
        <v>-10.74390683478055</v>
      </c>
      <c r="D39" s="28" cm="1">
        <f t="array" aca="1" ref="D39" ca="1">MIN(_xlfn._xlws.FILTER($J$5:$J$30, ISNUMBER(MATCH($B$5:$B$30, _xlfn.TEXTSPLIT(_xlfn.TEXTJOIN(", ", TRUE, AA6:AA12), ", "), 0))))</f>
        <v>-70.376581617575056</v>
      </c>
      <c r="E39" s="28" cm="1">
        <f t="array" aca="1" ref="E39" ca="1">MAX(_xlfn._xlws.FILTER($J$5:$J$30, ISNUMBER(MATCH($B$5:$B$30, _xlfn.TEXTSPLIT(_xlfn.TEXTJOIN(", ", TRUE, AA6:AA12), ", "), 0))))</f>
        <v>117.24449714758838</v>
      </c>
      <c r="F39" s="72"/>
      <c r="G39" s="5" t="s">
        <v>121</v>
      </c>
      <c r="H39" s="28" cm="1">
        <f t="array" aca="1" ref="H39" ca="1">AVERAGE(_xlfn._xlws.FILTER($U$5:$U$30, ISNUMBER(MATCH($M$5:$M$30, _xlfn.TEXTSPLIT(_xlfn.TEXTJOIN(", ", TRUE, AD6:AD12), ", "), 0))))</f>
        <v>-10.978565335375468</v>
      </c>
      <c r="I39" s="28" cm="1">
        <f t="array" aca="1" ref="I39" ca="1">MIN(_xlfn._xlws.FILTER($U$5:$U$30, ISNUMBER(MATCH($M$5:$M$30, _xlfn.TEXTSPLIT(_xlfn.TEXTJOIN(", ", TRUE, AD6:AD12), ", "), 0))))</f>
        <v>-68.758184691688669</v>
      </c>
      <c r="J39" s="28" cm="1">
        <f t="array" aca="1" ref="J39" ca="1">MAX(_xlfn._xlws.FILTER($U$5:$U$30, ISNUMBER(MATCH($M$5:$M$30, _xlfn.TEXTSPLIT(_xlfn.TEXTJOIN(", ", TRUE, AD6:AD12), ", "), 0))))</f>
        <v>27.869292402172803</v>
      </c>
      <c r="K39" s="72"/>
      <c r="L39" s="5" t="s">
        <v>121</v>
      </c>
      <c r="M39" s="28">
        <f ca="1">AVERAGE(C39,H39)</f>
        <v>-10.861236085078009</v>
      </c>
      <c r="N39" s="28">
        <f ca="1">MIN(D39,I39)</f>
        <v>-70.376581617575056</v>
      </c>
      <c r="O39" s="28">
        <f ca="1">MAX(E39,J39)</f>
        <v>117.24449714758838</v>
      </c>
      <c r="S39" s="1"/>
    </row>
    <row r="41" spans="2:19" ht="21" x14ac:dyDescent="0.35">
      <c r="B41" s="102" t="s">
        <v>148</v>
      </c>
      <c r="C41" s="103"/>
      <c r="D41" s="103"/>
      <c r="E41" s="103"/>
      <c r="F41" s="103"/>
      <c r="G41" s="103"/>
      <c r="H41" s="103"/>
      <c r="I41" s="103"/>
      <c r="J41" s="103"/>
      <c r="K41" s="103"/>
      <c r="L41" s="103"/>
      <c r="M41" s="103"/>
      <c r="N41" s="103"/>
      <c r="O41" s="104"/>
    </row>
    <row r="42" spans="2:19" ht="15.75" x14ac:dyDescent="0.25">
      <c r="B42" s="105" t="s">
        <v>205</v>
      </c>
      <c r="C42" s="106"/>
      <c r="D42" s="106"/>
      <c r="E42" s="107"/>
      <c r="F42" s="70"/>
      <c r="G42" s="105" t="s">
        <v>205</v>
      </c>
      <c r="H42" s="106"/>
      <c r="I42" s="106"/>
      <c r="J42" s="107"/>
      <c r="K42" s="70"/>
      <c r="L42" s="105" t="s">
        <v>205</v>
      </c>
      <c r="M42" s="106"/>
      <c r="N42" s="106"/>
      <c r="O42" s="107"/>
    </row>
    <row r="43" spans="2:19" x14ac:dyDescent="0.25">
      <c r="B43" s="82" t="s">
        <v>187</v>
      </c>
      <c r="C43" s="83"/>
      <c r="D43" s="83"/>
      <c r="E43" s="84"/>
      <c r="F43" s="71"/>
      <c r="G43" s="82" t="s">
        <v>118</v>
      </c>
      <c r="H43" s="83"/>
      <c r="I43" s="83"/>
      <c r="J43" s="84"/>
      <c r="K43" s="71"/>
      <c r="L43" s="82" t="s">
        <v>226</v>
      </c>
      <c r="M43" s="83"/>
      <c r="N43" s="83"/>
      <c r="O43" s="84"/>
    </row>
    <row r="44" spans="2:19" x14ac:dyDescent="0.25">
      <c r="B44" s="39" t="s">
        <v>149</v>
      </c>
      <c r="C44" s="82" t="s">
        <v>214</v>
      </c>
      <c r="D44" s="83"/>
      <c r="E44" s="15" t="s">
        <v>213</v>
      </c>
      <c r="F44" s="73"/>
      <c r="G44" s="39" t="s">
        <v>149</v>
      </c>
      <c r="H44" s="82" t="s">
        <v>214</v>
      </c>
      <c r="I44" s="83"/>
      <c r="J44" s="15" t="s">
        <v>213</v>
      </c>
      <c r="K44" s="71"/>
      <c r="L44" s="39" t="s">
        <v>149</v>
      </c>
      <c r="M44" s="82" t="s">
        <v>214</v>
      </c>
      <c r="N44" s="83"/>
      <c r="O44" s="15" t="s">
        <v>213</v>
      </c>
    </row>
    <row r="45" spans="2:19" x14ac:dyDescent="0.25">
      <c r="B45" s="5" t="s">
        <v>176</v>
      </c>
      <c r="C45" s="100" cm="1">
        <f t="array" aca="1" ref="C45" ca="1">COUNT(_xlfn._xlws.FILTER($J$5:$J$30, ISNUMBER(MATCH($B$5:$B$30, _xlfn.TEXTSPLIT(_xlfn.TEXTJOIN(", ", TRUE, AA6:AA8), ", "), 0))))</f>
        <v>16</v>
      </c>
      <c r="D45" s="101"/>
      <c r="E45" s="56">
        <f ca="1">C45/C$48</f>
        <v>0.61538461538461542</v>
      </c>
      <c r="F45" s="71"/>
      <c r="G45" s="5" t="s">
        <v>176</v>
      </c>
      <c r="H45" s="100" cm="1">
        <f t="array" aca="1" ref="H45" ca="1">COUNT(_xlfn._xlws.FILTER($U$5:$U$30, ISNUMBER(MATCH($M$5:$M$30, _xlfn.TEXTSPLIT(_xlfn.TEXTJOIN(", ", TRUE, AD6:AD8), ", "), 0))))</f>
        <v>14</v>
      </c>
      <c r="I45" s="101"/>
      <c r="J45" s="56">
        <f ca="1">H45/H$48</f>
        <v>0.53846153846153844</v>
      </c>
      <c r="K45" s="71"/>
      <c r="L45" s="5" t="s">
        <v>176</v>
      </c>
      <c r="M45" s="100">
        <f ca="1">SUM(C45,H45)</f>
        <v>30</v>
      </c>
      <c r="N45" s="101"/>
      <c r="O45" s="56">
        <f ca="1">M45/M$48</f>
        <v>0.57692307692307687</v>
      </c>
    </row>
    <row r="46" spans="2:19" x14ac:dyDescent="0.25">
      <c r="B46" s="5" t="s">
        <v>177</v>
      </c>
      <c r="C46" s="100" cm="1">
        <f t="array" aca="1" ref="C46" ca="1">COUNT(_xlfn._xlws.FILTER($J$5:$J$30, ISNUMBER(MATCH($B$5:$B$30, _xlfn.TEXTSPLIT(_xlfn.TEXTJOIN(", ", TRUE, AA9), ", "), 0))))</f>
        <v>4</v>
      </c>
      <c r="D46" s="101"/>
      <c r="E46" s="56">
        <f ca="1">C46/C$48</f>
        <v>0.15384615384615385</v>
      </c>
      <c r="F46" s="71"/>
      <c r="G46" s="5" t="s">
        <v>177</v>
      </c>
      <c r="H46" s="100" cm="1">
        <f t="array" aca="1" ref="H46" ca="1">COUNT(_xlfn._xlws.FILTER($U$5:$U$30, ISNUMBER(MATCH($M$5:$M$30, _xlfn.TEXTSPLIT(_xlfn.TEXTJOIN(", ", TRUE, AD9), ", "), 0))))</f>
        <v>3</v>
      </c>
      <c r="I46" s="101"/>
      <c r="J46" s="56">
        <f ca="1">H46/H$48</f>
        <v>0.11538461538461539</v>
      </c>
      <c r="K46" s="71"/>
      <c r="L46" s="5" t="s">
        <v>177</v>
      </c>
      <c r="M46" s="100">
        <f ca="1">SUM(C46,H46)</f>
        <v>7</v>
      </c>
      <c r="N46" s="101"/>
      <c r="O46" s="56">
        <f ca="1">M46/M$48</f>
        <v>0.13461538461538461</v>
      </c>
    </row>
    <row r="47" spans="2:19" x14ac:dyDescent="0.25">
      <c r="B47" s="5" t="s">
        <v>178</v>
      </c>
      <c r="C47" s="100" cm="1">
        <f t="array" aca="1" ref="C47" ca="1">COUNT(_xlfn._xlws.FILTER($J$5:$J$30, ISNUMBER(MATCH($B$5:$B$30, _xlfn.TEXTSPLIT(_xlfn.TEXTJOIN(", ", TRUE, AA10:AA12), ", "), 0))))</f>
        <v>6</v>
      </c>
      <c r="D47" s="101"/>
      <c r="E47" s="56">
        <f ca="1">C47/C$48</f>
        <v>0.23076923076923078</v>
      </c>
      <c r="F47" s="71"/>
      <c r="G47" s="5" t="s">
        <v>178</v>
      </c>
      <c r="H47" s="100" cm="1">
        <f t="array" aca="1" ref="H47" ca="1">COUNT(_xlfn._xlws.FILTER($U$5:$U$30, ISNUMBER(MATCH($M$5:$M$30, _xlfn.TEXTSPLIT(_xlfn.TEXTJOIN(", ", TRUE, AD10:AD12), ", "), 0))))</f>
        <v>9</v>
      </c>
      <c r="I47" s="101"/>
      <c r="J47" s="56">
        <f ca="1">H47/H$48</f>
        <v>0.34615384615384615</v>
      </c>
      <c r="K47" s="71"/>
      <c r="L47" s="5" t="s">
        <v>178</v>
      </c>
      <c r="M47" s="100">
        <f ca="1">SUM(C47,H47)</f>
        <v>15</v>
      </c>
      <c r="N47" s="101"/>
      <c r="O47" s="56">
        <f ca="1">M47/M$48</f>
        <v>0.28846153846153844</v>
      </c>
    </row>
    <row r="48" spans="2:19" x14ac:dyDescent="0.25">
      <c r="B48" s="5" t="s">
        <v>121</v>
      </c>
      <c r="C48" s="100">
        <f ca="1">SUM(C45:D47)</f>
        <v>26</v>
      </c>
      <c r="D48" s="101"/>
      <c r="E48" s="56">
        <f ca="1">C48/C$48</f>
        <v>1</v>
      </c>
      <c r="F48" s="72"/>
      <c r="G48" s="5" t="s">
        <v>121</v>
      </c>
      <c r="H48" s="100">
        <f ca="1">SUM(H45:I47)</f>
        <v>26</v>
      </c>
      <c r="I48" s="101"/>
      <c r="J48" s="56">
        <f ca="1">H48/H$48</f>
        <v>1</v>
      </c>
      <c r="K48" s="72"/>
      <c r="L48" s="5" t="s">
        <v>121</v>
      </c>
      <c r="M48" s="100">
        <f ca="1">SUM(M45:N47)</f>
        <v>52</v>
      </c>
      <c r="N48" s="101"/>
      <c r="O48" s="56">
        <f ca="1">M48/M$48</f>
        <v>1</v>
      </c>
    </row>
  </sheetData>
  <mergeCells count="39">
    <mergeCell ref="B33:E33"/>
    <mergeCell ref="G33:J33"/>
    <mergeCell ref="L33:O33"/>
    <mergeCell ref="C2:L2"/>
    <mergeCell ref="N2:W2"/>
    <mergeCell ref="C3:G3"/>
    <mergeCell ref="H3:L3"/>
    <mergeCell ref="N3:R3"/>
    <mergeCell ref="S3:U3"/>
    <mergeCell ref="Z3:AA3"/>
    <mergeCell ref="AC3:AD3"/>
    <mergeCell ref="Z4:AA4"/>
    <mergeCell ref="AC4:AD4"/>
    <mergeCell ref="B32:O32"/>
    <mergeCell ref="B34:E34"/>
    <mergeCell ref="G34:J34"/>
    <mergeCell ref="L34:O34"/>
    <mergeCell ref="B41:O41"/>
    <mergeCell ref="B42:E42"/>
    <mergeCell ref="G42:J42"/>
    <mergeCell ref="L42:O42"/>
    <mergeCell ref="B43:E43"/>
    <mergeCell ref="G43:J43"/>
    <mergeCell ref="L43:O43"/>
    <mergeCell ref="C44:D44"/>
    <mergeCell ref="H44:I44"/>
    <mergeCell ref="M44:N44"/>
    <mergeCell ref="C45:D45"/>
    <mergeCell ref="H45:I45"/>
    <mergeCell ref="M45:N45"/>
    <mergeCell ref="C46:D46"/>
    <mergeCell ref="H46:I46"/>
    <mergeCell ref="M46:N46"/>
    <mergeCell ref="C47:D47"/>
    <mergeCell ref="H47:I47"/>
    <mergeCell ref="M47:N47"/>
    <mergeCell ref="C48:D48"/>
    <mergeCell ref="H48:I48"/>
    <mergeCell ref="M48:N48"/>
  </mergeCells>
  <conditionalFormatting sqref="E5:E30">
    <cfRule type="expression" dxfId="160" priority="15">
      <formula>AND(E5 &gt; -3, E5 &lt; 3)</formula>
    </cfRule>
    <cfRule type="expression" dxfId="159" priority="16">
      <formula>AND(E5 &gt; -25, E5 &lt;= -3)</formula>
    </cfRule>
    <cfRule type="expression" dxfId="158" priority="17">
      <formula>AND(E5 &gt; -75, E5 &lt;= -25)</formula>
    </cfRule>
    <cfRule type="expression" dxfId="157" priority="18">
      <formula>E5 &lt;= -75</formula>
    </cfRule>
    <cfRule type="expression" dxfId="156" priority="19">
      <formula>AND(E5 &lt; 25, E5 &gt;= 3)</formula>
    </cfRule>
    <cfRule type="expression" dxfId="155" priority="20">
      <formula>AND(E5 &lt; 75, E5 &gt;= 25)</formula>
    </cfRule>
    <cfRule type="expression" dxfId="154" priority="21">
      <formula>E5 &gt;= 75</formula>
    </cfRule>
  </conditionalFormatting>
  <conditionalFormatting sqref="J5:J30">
    <cfRule type="expression" dxfId="153" priority="29">
      <formula>AND(J5 &gt; -3, J5 &lt; 3)</formula>
    </cfRule>
    <cfRule type="expression" dxfId="152" priority="30">
      <formula>AND(J5 &gt; -25, J5 &lt;= -3)</formula>
    </cfRule>
    <cfRule type="expression" dxfId="151" priority="31">
      <formula>AND(J5 &gt; -75, J5 &lt;= -25)</formula>
    </cfRule>
    <cfRule type="expression" dxfId="150" priority="32">
      <formula>J5 &lt;= -75</formula>
    </cfRule>
    <cfRule type="expression" dxfId="149" priority="33">
      <formula>AND(J5 &lt; 25, J5 &gt;= 3)</formula>
    </cfRule>
    <cfRule type="expression" dxfId="148" priority="34">
      <formula>AND(J5 &lt; 75, J5 &gt;= 25)</formula>
    </cfRule>
    <cfRule type="expression" dxfId="147" priority="35">
      <formula>J5 &gt;= 75</formula>
    </cfRule>
  </conditionalFormatting>
  <conditionalFormatting sqref="P5:P30">
    <cfRule type="expression" dxfId="146" priority="8">
      <formula>AND(P5 &gt; -3, P5 &lt; 3)</formula>
    </cfRule>
    <cfRule type="expression" dxfId="145" priority="9">
      <formula>AND(P5 &gt; -25, P5 &lt;= -3)</formula>
    </cfRule>
    <cfRule type="expression" dxfId="144" priority="10">
      <formula>AND(P5 &gt; -75, P5 &lt;= -25)</formula>
    </cfRule>
    <cfRule type="expression" dxfId="143" priority="11">
      <formula>P5 &lt;= -75</formula>
    </cfRule>
    <cfRule type="expression" dxfId="142" priority="12">
      <formula>AND(P5 &lt; 25, P5 &gt;= 3)</formula>
    </cfRule>
    <cfRule type="expression" dxfId="141" priority="13">
      <formula>AND(P5 &lt; 75, P5 &gt;= 25)</formula>
    </cfRule>
    <cfRule type="expression" dxfId="140" priority="14">
      <formula>P5 &gt;= 75</formula>
    </cfRule>
  </conditionalFormatting>
  <conditionalFormatting sqref="U5:U30">
    <cfRule type="expression" dxfId="139" priority="22">
      <formula>AND(U5 &gt; -3, U5 &lt; 3)</formula>
    </cfRule>
    <cfRule type="expression" dxfId="138" priority="23">
      <formula>AND(U5 &gt; -25, U5 &lt;= -3)</formula>
    </cfRule>
    <cfRule type="expression" dxfId="137" priority="24">
      <formula>AND(U5 &gt; -75, U5 &lt;= -25)</formula>
    </cfRule>
    <cfRule type="expression" dxfId="136" priority="25">
      <formula>U5 &lt;= -75</formula>
    </cfRule>
    <cfRule type="expression" dxfId="135" priority="26">
      <formula>AND(U5 &lt; 25, U5 &gt;= 3)</formula>
    </cfRule>
    <cfRule type="expression" dxfId="134" priority="27">
      <formula>AND(U5 &lt; 75, U5 &gt;= 25)</formula>
    </cfRule>
    <cfRule type="expression" dxfId="133" priority="28">
      <formula>U5 &gt;= 75</formula>
    </cfRule>
  </conditionalFormatting>
  <conditionalFormatting sqref="X5:X30">
    <cfRule type="expression" dxfId="132" priority="1">
      <formula>AND(X5 &gt; -3, X5 &lt; 3)</formula>
    </cfRule>
    <cfRule type="expression" dxfId="131" priority="2">
      <formula>AND(X5 &gt; -25, X5 &lt;= -3)</formula>
    </cfRule>
    <cfRule type="expression" dxfId="130" priority="3">
      <formula>AND(X5 &gt; -75, X5 &lt;= -25)</formula>
    </cfRule>
    <cfRule type="expression" dxfId="129" priority="4">
      <formula>X5 &lt;= -75</formula>
    </cfRule>
    <cfRule type="expression" dxfId="128" priority="5">
      <formula>AND(X5 &lt; 25, X5 &gt;= 3)</formula>
    </cfRule>
    <cfRule type="expression" dxfId="127" priority="6">
      <formula>AND(X5 &lt; 75, X5 &gt;= 25)</formula>
    </cfRule>
    <cfRule type="expression" dxfId="126" priority="7">
      <formula>X5 &gt;= 75</formula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FF1DE-C7BE-4116-9B5E-5CD406519A00}">
  <dimension ref="B2:AD48"/>
  <sheetViews>
    <sheetView topLeftCell="L1" zoomScale="55" zoomScaleNormal="55" workbookViewId="0">
      <selection activeCell="V5" sqref="V5:W30"/>
    </sheetView>
  </sheetViews>
  <sheetFormatPr baseColWidth="10" defaultRowHeight="15" x14ac:dyDescent="0.25"/>
  <cols>
    <col min="3" max="4" width="20.42578125" bestFit="1" customWidth="1"/>
    <col min="6" max="6" width="7.7109375" bestFit="1" customWidth="1"/>
    <col min="7" max="7" width="33.5703125" bestFit="1" customWidth="1"/>
    <col min="8" max="9" width="20.42578125" bestFit="1" customWidth="1"/>
    <col min="12" max="12" width="33.5703125" bestFit="1" customWidth="1"/>
    <col min="14" max="15" width="20.42578125" bestFit="1" customWidth="1"/>
    <col min="17" max="17" width="7.7109375" bestFit="1" customWidth="1"/>
    <col min="18" max="18" width="33.5703125" bestFit="1" customWidth="1"/>
    <col min="19" max="20" width="20.42578125" bestFit="1" customWidth="1"/>
    <col min="22" max="22" width="7.7109375" bestFit="1" customWidth="1"/>
    <col min="23" max="23" width="33.5703125" bestFit="1" customWidth="1"/>
    <col min="24" max="24" width="18.28515625" bestFit="1" customWidth="1"/>
    <col min="26" max="26" width="12.5703125" bestFit="1" customWidth="1"/>
    <col min="27" max="27" width="44.5703125" bestFit="1" customWidth="1"/>
    <col min="29" max="29" width="12.5703125" bestFit="1" customWidth="1"/>
    <col min="30" max="30" width="41.28515625" bestFit="1" customWidth="1"/>
  </cols>
  <sheetData>
    <row r="2" spans="2:30" x14ac:dyDescent="0.25">
      <c r="B2" s="38"/>
      <c r="C2" s="88" t="s">
        <v>111</v>
      </c>
      <c r="D2" s="88"/>
      <c r="E2" s="88"/>
      <c r="F2" s="88"/>
      <c r="G2" s="88"/>
      <c r="H2" s="88"/>
      <c r="I2" s="88"/>
      <c r="J2" s="88"/>
      <c r="K2" s="88"/>
      <c r="L2" s="88"/>
      <c r="N2" s="82" t="s">
        <v>114</v>
      </c>
      <c r="O2" s="83"/>
      <c r="P2" s="83"/>
      <c r="Q2" s="83"/>
      <c r="R2" s="83"/>
      <c r="S2" s="83"/>
      <c r="T2" s="83"/>
      <c r="U2" s="83"/>
      <c r="V2" s="83"/>
      <c r="W2" s="84"/>
    </row>
    <row r="3" spans="2:30" ht="15.75" x14ac:dyDescent="0.25">
      <c r="B3" s="38"/>
      <c r="C3" s="82" t="s">
        <v>100</v>
      </c>
      <c r="D3" s="83"/>
      <c r="E3" s="83"/>
      <c r="F3" s="83"/>
      <c r="G3" s="84"/>
      <c r="H3" s="88" t="s">
        <v>205</v>
      </c>
      <c r="I3" s="88"/>
      <c r="J3" s="88"/>
      <c r="K3" s="88"/>
      <c r="L3" s="88"/>
      <c r="N3" s="82" t="s">
        <v>100</v>
      </c>
      <c r="O3" s="83"/>
      <c r="P3" s="83"/>
      <c r="Q3" s="83"/>
      <c r="R3" s="83"/>
      <c r="S3" s="83" t="s">
        <v>205</v>
      </c>
      <c r="T3" s="83"/>
      <c r="U3" s="83"/>
      <c r="V3" s="40"/>
      <c r="W3" s="41"/>
      <c r="Z3" s="85" t="s">
        <v>205</v>
      </c>
      <c r="AA3" s="86"/>
      <c r="AC3" s="85" t="s">
        <v>205</v>
      </c>
      <c r="AD3" s="86"/>
    </row>
    <row r="4" spans="2:30" x14ac:dyDescent="0.25">
      <c r="B4" s="39" t="s">
        <v>97</v>
      </c>
      <c r="C4" s="29" t="s">
        <v>217</v>
      </c>
      <c r="D4" s="29" t="s">
        <v>118</v>
      </c>
      <c r="E4" s="29" t="s">
        <v>147</v>
      </c>
      <c r="F4" s="15" t="s">
        <v>208</v>
      </c>
      <c r="G4" s="15" t="s">
        <v>171</v>
      </c>
      <c r="H4" s="29" t="s">
        <v>217</v>
      </c>
      <c r="I4" s="29" t="s">
        <v>118</v>
      </c>
      <c r="J4" s="29" t="s">
        <v>147</v>
      </c>
      <c r="K4" s="29" t="s">
        <v>208</v>
      </c>
      <c r="L4" s="29" t="s">
        <v>171</v>
      </c>
      <c r="M4" s="39" t="s">
        <v>97</v>
      </c>
      <c r="N4" s="29" t="s">
        <v>217</v>
      </c>
      <c r="O4" s="29" t="s">
        <v>118</v>
      </c>
      <c r="P4" s="29" t="s">
        <v>147</v>
      </c>
      <c r="Q4" s="15" t="s">
        <v>208</v>
      </c>
      <c r="R4" s="29" t="s">
        <v>171</v>
      </c>
      <c r="S4" s="29" t="s">
        <v>217</v>
      </c>
      <c r="T4" s="29" t="s">
        <v>118</v>
      </c>
      <c r="U4" s="29" t="s">
        <v>147</v>
      </c>
      <c r="V4" s="15" t="s">
        <v>208</v>
      </c>
      <c r="W4" s="29" t="s">
        <v>171</v>
      </c>
      <c r="X4" s="63" t="s">
        <v>172</v>
      </c>
      <c r="Z4" s="82" t="s">
        <v>111</v>
      </c>
      <c r="AA4" s="84"/>
      <c r="AB4" s="42"/>
      <c r="AC4" s="82" t="s">
        <v>114</v>
      </c>
      <c r="AD4" s="84"/>
    </row>
    <row r="5" spans="2:30" x14ac:dyDescent="0.25">
      <c r="B5" s="66" t="s">
        <v>150</v>
      </c>
      <c r="C5" s="64" cm="1">
        <f t="array" aca="1" ref="C5" ca="1">INDIRECT("'Python Impact of Optimization'!F" &amp; 3 + (ROW(A1)-1)*4)</f>
        <v>85.152000000000001</v>
      </c>
      <c r="D5" s="64" cm="1">
        <f t="array" aca="1" ref="D5" ca="1">INDIRECT("'Python Impact of Optimization'!F" &amp; 4 + (ROW(A1)-1)*4)</f>
        <v>136.29400000000001</v>
      </c>
      <c r="E5" s="64" cm="1">
        <f t="array" aca="1" ref="E5" ca="1">INDIRECT("'Python Impact of Optimization'!S" &amp; 3 + (ROW(A1)-1)*4)*100</f>
        <v>60.059658023299519</v>
      </c>
      <c r="F5" s="67">
        <v>2.8719490663203402E-11</v>
      </c>
      <c r="G5" s="4" t="s">
        <v>180</v>
      </c>
      <c r="H5" s="64" cm="1">
        <f t="array" aca="1" ref="H5" ca="1">INDIRECT("'Python Impact of Optimization'!R" &amp; 3 + (ROW(A1)-1)*4)</f>
        <v>5897.6275200000009</v>
      </c>
      <c r="I5" s="64" cm="1">
        <f t="array" aca="1" ref="I5" ca="1">INDIRECT("'Python Impact of Optimization'!R" &amp; 4 + (ROW(A1)-1)*4)</f>
        <v>9396.1083600000002</v>
      </c>
      <c r="J5" s="64" cm="1">
        <f t="array" aca="1" ref="J5" ca="1">INDIRECT("'Python Impact of Optimization'!V" &amp; 3 + (ROW(A1)-1)*4)*100</f>
        <v>59.320138956486666</v>
      </c>
      <c r="K5" s="64">
        <v>2.8719490663203402E-11</v>
      </c>
      <c r="L5" s="64" t="s">
        <v>180</v>
      </c>
      <c r="M5" s="68" t="s">
        <v>150</v>
      </c>
      <c r="N5" s="64" cm="1">
        <f t="array" aca="1" ref="N5" ca="1">INDIRECT("'Python Impact of Optimization'!F" &amp; 5 + (ROW(A1)-1)*4)</f>
        <v>47.722000000000001</v>
      </c>
      <c r="O5" s="64" cm="1">
        <f t="array" aca="1" ref="O5" ca="1">INDIRECT("'Python Impact of Optimization'!F" &amp; 6 + (ROW(A1)-1)*4)</f>
        <v>42.798000000000002</v>
      </c>
      <c r="P5" s="64" cm="1">
        <f t="array" aca="1" ref="P5" ca="1">INDIRECT("'Python Impact of Optimization'!S" &amp; 5 + (ROW(A1)-1)*4)*100</f>
        <v>-10.318092284480951</v>
      </c>
      <c r="Q5" s="64">
        <v>2.8719490663203402E-11</v>
      </c>
      <c r="R5" s="64" t="s">
        <v>180</v>
      </c>
      <c r="S5" s="64" cm="1">
        <f t="array" aca="1" ref="S5" ca="1">INDIRECT("'Python Impact of Optimization'!R" &amp; 5 + (ROW(A1)-1)*4)</f>
        <v>3317.1562199999998</v>
      </c>
      <c r="T5" s="64" cm="1">
        <f t="array" aca="1" ref="T5" ca="1">INDIRECT("'Python Impact of Optimization'!R" &amp; 6 + (ROW(A1)-1)*4)</f>
        <v>2935.5148199999999</v>
      </c>
      <c r="U5" s="64" cm="1">
        <f t="array" aca="1" ref="U5" ca="1">INDIRECT("'Python Impact of Optimization'!V" &amp; 5 + (ROW(A1)-1)*4)*100</f>
        <v>-11.505077683679305</v>
      </c>
      <c r="V5" s="64">
        <v>2.8719490663203402E-11</v>
      </c>
      <c r="W5" s="64" t="s">
        <v>180</v>
      </c>
      <c r="X5" s="64">
        <f ca="1">AVERAGE(J5,U5)</f>
        <v>23.907530636403681</v>
      </c>
      <c r="Z5" s="15" t="s">
        <v>149</v>
      </c>
      <c r="AA5" s="15" t="s">
        <v>148</v>
      </c>
      <c r="AB5" s="42"/>
      <c r="AC5" s="15" t="s">
        <v>149</v>
      </c>
      <c r="AD5" s="15" t="s">
        <v>148</v>
      </c>
    </row>
    <row r="6" spans="2:30" x14ac:dyDescent="0.25">
      <c r="B6" s="66" t="s">
        <v>151</v>
      </c>
      <c r="C6" s="64" cm="1">
        <f t="array" aca="1" ref="C6" ca="1">INDIRECT("'Python Impact of Optimization'!F" &amp; 3 + (ROW(A2)-1)*4)</f>
        <v>5.6189999999999998</v>
      </c>
      <c r="D6" s="64" cm="1">
        <f t="array" aca="1" ref="D6" ca="1">INDIRECT("'Python Impact of Optimization'!F" &amp; 4 + (ROW(A2)-1)*4)</f>
        <v>6.266</v>
      </c>
      <c r="E6" s="64" cm="1">
        <f t="array" aca="1" ref="E6" ca="1">INDIRECT("'Python Impact of Optimization'!S" &amp; 3 + (ROW(A2)-1)*4)*100</f>
        <v>11.514504360206447</v>
      </c>
      <c r="F6" s="67">
        <v>3.8787144759013784E-11</v>
      </c>
      <c r="G6" s="4" t="s">
        <v>180</v>
      </c>
      <c r="H6" s="64" cm="1">
        <f t="array" aca="1" ref="H6" ca="1">INDIRECT("'Python Impact of Optimization'!R" &amp; 3 + (ROW(A2)-1)*4)</f>
        <v>347366.58</v>
      </c>
      <c r="I6" s="64" cm="1">
        <f t="array" aca="1" ref="I6" ca="1">INDIRECT("'Python Impact of Optimization'!R" &amp; 4 + (ROW(A2)-1)*4)</f>
        <v>421952.44</v>
      </c>
      <c r="J6" s="64" cm="1">
        <f t="array" aca="1" ref="J6" ca="1">INDIRECT("'Python Impact of Optimization'!V" &amp; 3 + (ROW(A2)-1)*4)*100</f>
        <v>21.47180077024105</v>
      </c>
      <c r="K6" s="64">
        <v>2.8719490663203402E-11</v>
      </c>
      <c r="L6" s="64" t="s">
        <v>180</v>
      </c>
      <c r="M6" s="68" t="s">
        <v>151</v>
      </c>
      <c r="N6" s="64" cm="1">
        <f t="array" aca="1" ref="N6" ca="1">INDIRECT("'Python Impact of Optimization'!F" &amp; 5 + (ROW(A2)-1)*4)</f>
        <v>5.2670000000000003</v>
      </c>
      <c r="O6" s="64" cm="1">
        <f t="array" aca="1" ref="O6" ca="1">INDIRECT("'Python Impact of Optimization'!F" &amp; 6 + (ROW(A2)-1)*4)</f>
        <v>5.9580000000000002</v>
      </c>
      <c r="P6" s="64" cm="1">
        <f t="array" aca="1" ref="P6" ca="1">INDIRECT("'Python Impact of Optimization'!S" &amp; 5 + (ROW(A2)-1)*4)*100</f>
        <v>13.119422821340418</v>
      </c>
      <c r="Q6" s="64">
        <v>2.8719490663203402E-11</v>
      </c>
      <c r="R6" s="64" t="s">
        <v>180</v>
      </c>
      <c r="S6" s="64" cm="1">
        <f t="array" aca="1" ref="S6" ca="1">INDIRECT("'Python Impact of Optimization'!R" &amp; 5 + (ROW(A2)-1)*4)</f>
        <v>322129.72000000003</v>
      </c>
      <c r="T6" s="64" cm="1">
        <f t="array" aca="1" ref="T6" ca="1">INDIRECT("'Python Impact of Optimization'!R" &amp; 6 + (ROW(A2)-1)*4)</f>
        <v>387806.22000000009</v>
      </c>
      <c r="U6" s="64" cm="1">
        <f t="array" aca="1" ref="U6" ca="1">INDIRECT("'Python Impact of Optimization'!V" &amp; 5 + (ROW(A2)-1)*4)*100</f>
        <v>20.388215033372287</v>
      </c>
      <c r="V6" s="64">
        <v>2.8719490663203402E-11</v>
      </c>
      <c r="W6" s="64" t="s">
        <v>180</v>
      </c>
      <c r="X6" s="64">
        <f t="shared" ref="X6:X30" ca="1" si="0">AVERAGE(J6,U6)</f>
        <v>20.930007901806668</v>
      </c>
      <c r="Z6" s="43" t="s">
        <v>155</v>
      </c>
      <c r="AA6" s="24" t="str" cm="1">
        <f t="array" aca="1" ref="AA6" ca="1">_xlfn.TEXTJOIN(", ", TRUE, IF(J5:J30 &lt;= -75, B5:B30, ""))</f>
        <v/>
      </c>
      <c r="AC6" s="43" t="s">
        <v>155</v>
      </c>
      <c r="AD6" s="24" t="str" cm="1">
        <f t="array" aca="1" ref="AD6" ca="1">_xlfn.TEXTJOIN(", ", TRUE, IF(U5:U30 &lt;= -75, M5:M30, ""))</f>
        <v/>
      </c>
    </row>
    <row r="7" spans="2:30" x14ac:dyDescent="0.25">
      <c r="B7" s="66" t="s">
        <v>152</v>
      </c>
      <c r="C7" s="64" cm="1">
        <f t="array" aca="1" ref="C7" ca="1">INDIRECT("'Python Impact of Optimization'!F" &amp; 3 + (ROW(A3)-1)*4)</f>
        <v>21.376000000000001</v>
      </c>
      <c r="D7" s="64" cm="1">
        <f t="array" aca="1" ref="D7" ca="1">INDIRECT("'Python Impact of Optimization'!F" &amp; 4 + (ROW(A3)-1)*4)</f>
        <v>19.172000000000001</v>
      </c>
      <c r="E7" s="64" cm="1">
        <f t="array" aca="1" ref="E7" ca="1">INDIRECT("'Python Impact of Optimization'!S" &amp; 3 + (ROW(A3)-1)*4)*100</f>
        <v>-10.310628742514973</v>
      </c>
      <c r="F7" s="67">
        <v>5.7729863008733963E-11</v>
      </c>
      <c r="G7" s="4" t="s">
        <v>180</v>
      </c>
      <c r="H7" s="64" cm="1">
        <f t="array" aca="1" ref="H7" ca="1">INDIRECT("'Python Impact of Optimization'!R" &amp; 3 + (ROW(A3)-1)*4)</f>
        <v>1516.1996799999999</v>
      </c>
      <c r="I7" s="64" cm="1">
        <f t="array" aca="1" ref="I7" ca="1">INDIRECT("'Python Impact of Optimization'!R" &amp; 4 + (ROW(A3)-1)*4)</f>
        <v>1283.94884</v>
      </c>
      <c r="J7" s="64" cm="1">
        <f t="array" aca="1" ref="J7" ca="1">INDIRECT("'Python Impact of Optimization'!V" &amp; 3 + (ROW(A3)-1)*4)*100</f>
        <v>-15.317958647768606</v>
      </c>
      <c r="K7" s="64">
        <v>2.8719490663203402E-11</v>
      </c>
      <c r="L7" s="64" t="s">
        <v>180</v>
      </c>
      <c r="M7" s="68" t="s">
        <v>152</v>
      </c>
      <c r="N7" s="64" cm="1">
        <f t="array" aca="1" ref="N7" ca="1">INDIRECT("'Python Impact of Optimization'!F" &amp; 5 + (ROW(A3)-1)*4)</f>
        <v>15.071999999999999</v>
      </c>
      <c r="O7" s="64" cm="1">
        <f t="array" aca="1" ref="O7" ca="1">INDIRECT("'Python Impact of Optimization'!F" &amp; 6 + (ROW(A3)-1)*4)</f>
        <v>11.672000000000001</v>
      </c>
      <c r="P7" s="64" cm="1">
        <f t="array" aca="1" ref="P7" ca="1">INDIRECT("'Python Impact of Optimization'!S" &amp; 5 + (ROW(A3)-1)*4)*100</f>
        <v>-22.55838641188959</v>
      </c>
      <c r="Q7" s="64">
        <v>2.8719490663203402E-11</v>
      </c>
      <c r="R7" s="64" t="s">
        <v>180</v>
      </c>
      <c r="S7" s="64" cm="1">
        <f t="array" aca="1" ref="S7" ca="1">INDIRECT("'Python Impact of Optimization'!R" &amp; 5 + (ROW(A3)-1)*4)</f>
        <v>1051.8748800000001</v>
      </c>
      <c r="T7" s="64" cm="1">
        <f t="array" aca="1" ref="T7" ca="1">INDIRECT("'Python Impact of Optimization'!R" &amp; 6 + (ROW(A3)-1)*4)</f>
        <v>755.64527999999996</v>
      </c>
      <c r="U7" s="64" cm="1">
        <f t="array" aca="1" ref="U7" ca="1">INDIRECT("'Python Impact of Optimization'!V" &amp; 5 + (ROW(A3)-1)*4)*100</f>
        <v>-28.162056688719488</v>
      </c>
      <c r="V7" s="64">
        <v>2.8719490663203402E-11</v>
      </c>
      <c r="W7" s="64" t="s">
        <v>180</v>
      </c>
      <c r="X7" s="64">
        <f t="shared" ca="1" si="0"/>
        <v>-21.740007668244047</v>
      </c>
      <c r="Z7" s="44" t="s">
        <v>156</v>
      </c>
      <c r="AA7" s="24" t="str" cm="1">
        <f t="array" aca="1" ref="AA7" ca="1">_xlfn.TEXTJOIN(", ", TRUE, IF((J5:J30 &gt; -75) * (J5:J30 &lt;= -25), B5:B30, ""))</f>
        <v>T8, T9, T10, T12, T13, T16, T17, T29, T33, T36, T44</v>
      </c>
      <c r="AC7" s="44" t="s">
        <v>156</v>
      </c>
      <c r="AD7" s="24" t="str" cm="1">
        <f t="array" aca="1" ref="AD7" ca="1">_xlfn.TEXTJOIN(", ", TRUE, IF((U5:U30 &gt; -75) * (U5:U30 &lt;= -25), M5:M30, ""))</f>
        <v>T7, T9, T10, T12, T13, T16, T17, T29, T33, T44</v>
      </c>
    </row>
    <row r="8" spans="2:30" x14ac:dyDescent="0.25">
      <c r="B8" s="66" t="s">
        <v>154</v>
      </c>
      <c r="C8" s="64" cm="1">
        <f t="array" aca="1" ref="C8" ca="1">INDIRECT("'Python Impact of Optimization'!F" &amp; 3 + (ROW(A4)-1)*4)</f>
        <v>24.300999999999998</v>
      </c>
      <c r="D8" s="64" cm="1">
        <f t="array" aca="1" ref="D8" ca="1">INDIRECT("'Python Impact of Optimization'!F" &amp; 4 + (ROW(A4)-1)*4)</f>
        <v>18</v>
      </c>
      <c r="E8" s="64" cm="1">
        <f t="array" aca="1" ref="E8" ca="1">INDIRECT("'Python Impact of Optimization'!S" &amp; 3 + (ROW(A4)-1)*4)*100</f>
        <v>-25.928974116291503</v>
      </c>
      <c r="F8" s="67">
        <v>2.8719490663203402E-11</v>
      </c>
      <c r="G8" s="4" t="s">
        <v>180</v>
      </c>
      <c r="H8" s="64" cm="1">
        <f t="array" aca="1" ref="H8" ca="1">INDIRECT("'Python Impact of Optimization'!R" &amp; 3 + (ROW(A4)-1)*4)</f>
        <v>1506.4189899999999</v>
      </c>
      <c r="I8" s="64" cm="1">
        <f t="array" aca="1" ref="I8" ca="1">INDIRECT("'Python Impact of Optimization'!R" &amp; 4 + (ROW(A4)-1)*4)</f>
        <v>1121.22</v>
      </c>
      <c r="J8" s="64" cm="1">
        <f t="array" aca="1" ref="J8" ca="1">INDIRECT("'Python Impact of Optimization'!V" &amp; 3 + (ROW(A4)-1)*4)*100</f>
        <v>-25.570508109433742</v>
      </c>
      <c r="K8" s="64">
        <v>2.8719490663203402E-11</v>
      </c>
      <c r="L8" s="64" t="s">
        <v>180</v>
      </c>
      <c r="M8" s="68" t="s">
        <v>154</v>
      </c>
      <c r="N8" s="64" cm="1">
        <f t="array" aca="1" ref="N8" ca="1">INDIRECT("'Python Impact of Optimization'!F" &amp; 5 + (ROW(A4)-1)*4)</f>
        <v>7.1150000000000002</v>
      </c>
      <c r="O8" s="64" cm="1">
        <f t="array" aca="1" ref="O8" ca="1">INDIRECT("'Python Impact of Optimization'!F" &amp; 6 + (ROW(A4)-1)*4)</f>
        <v>8.15</v>
      </c>
      <c r="P8" s="64" cm="1">
        <f t="array" aca="1" ref="P8" ca="1">INDIRECT("'Python Impact of Optimization'!S" &amp; 5 + (ROW(A4)-1)*4)*100</f>
        <v>14.546732255797611</v>
      </c>
      <c r="Q8" s="64">
        <v>1.2657957728370648E-10</v>
      </c>
      <c r="R8" s="64" t="s">
        <v>180</v>
      </c>
      <c r="S8" s="64" cm="1">
        <f t="array" aca="1" ref="S8" ca="1">INDIRECT("'Python Impact of Optimization'!R" &amp; 5 + (ROW(A4)-1)*4)</f>
        <v>446.25279999999998</v>
      </c>
      <c r="T8" s="64" cm="1">
        <f t="array" aca="1" ref="T8" ca="1">INDIRECT("'Python Impact of Optimization'!R" &amp; 6 + (ROW(A4)-1)*4)</f>
        <v>525.91950000000008</v>
      </c>
      <c r="U8" s="64" cm="1">
        <f t="array" aca="1" ref="U8" ca="1">INDIRECT("'Python Impact of Optimization'!V" &amp; 5 + (ROW(A4)-1)*4)*100</f>
        <v>17.852369777847919</v>
      </c>
      <c r="V8" s="64">
        <v>2.8719490663203402E-11</v>
      </c>
      <c r="W8" s="64" t="s">
        <v>180</v>
      </c>
      <c r="X8" s="64">
        <f t="shared" ca="1" si="0"/>
        <v>-3.8590691657929117</v>
      </c>
      <c r="Z8" s="45" t="s">
        <v>161</v>
      </c>
      <c r="AA8" s="24" t="str" cm="1">
        <f t="array" aca="1" ref="AA8" ca="1">_xlfn.TEXTJOIN(", ", TRUE, IF((J5:J30 &gt; -25) * (J5:J30 &lt;= -3), B5:B30, ""))</f>
        <v>T7, T11, T19, T20, T25, T26, T32, T40, T49, T50</v>
      </c>
      <c r="AC8" s="45" t="s">
        <v>161</v>
      </c>
      <c r="AD8" s="24" t="str" cm="1">
        <f t="array" aca="1" ref="AD8" ca="1">_xlfn.TEXTJOIN(", ", TRUE, IF((U5:U30 &gt; -25) * (U5:U30 &lt;= -3), M5:M30, ""))</f>
        <v>T4, T11, T25, T26, T28, T32, T36, T50</v>
      </c>
    </row>
    <row r="9" spans="2:30" x14ac:dyDescent="0.25">
      <c r="B9" s="66" t="s">
        <v>153</v>
      </c>
      <c r="C9" s="64" cm="1">
        <f t="array" aca="1" ref="C9" ca="1">INDIRECT("'Python Impact of Optimization'!F" &amp; 3 + (ROW(A5)-1)*4)</f>
        <v>6.0209999999999999</v>
      </c>
      <c r="D9" s="64" cm="1">
        <f t="array" aca="1" ref="D9" ca="1">INDIRECT("'Python Impact of Optimization'!F" &amp; 4 + (ROW(A5)-1)*4)</f>
        <v>3.0720000000000001</v>
      </c>
      <c r="E9" s="64" cm="1">
        <f t="array" aca="1" ref="E9" ca="1">INDIRECT("'Python Impact of Optimization'!S" &amp; 3 + (ROW(A5)-1)*4)*100</f>
        <v>-48.978574987543595</v>
      </c>
      <c r="F9" s="67">
        <v>2.8719490663203402E-11</v>
      </c>
      <c r="G9" s="4" t="s">
        <v>180</v>
      </c>
      <c r="H9" s="64" cm="1">
        <f t="array" aca="1" ref="H9" ca="1">INDIRECT("'Python Impact of Optimization'!R" &amp; 3 + (ROW(A5)-1)*4)</f>
        <v>431.28422999999998</v>
      </c>
      <c r="I9" s="64" cm="1">
        <f t="array" aca="1" ref="I9" ca="1">INDIRECT("'Python Impact of Optimization'!R" &amp; 4 + (ROW(A5)-1)*4)</f>
        <v>200.84736000000001</v>
      </c>
      <c r="J9" s="64" cm="1">
        <f t="array" aca="1" ref="J9" ca="1">INDIRECT("'Python Impact of Optimization'!V" &amp; 3 + (ROW(A5)-1)*4)*100</f>
        <v>-53.430395542169485</v>
      </c>
      <c r="K9" s="64">
        <v>2.8719490663203402E-11</v>
      </c>
      <c r="L9" s="64" t="s">
        <v>180</v>
      </c>
      <c r="M9" s="68" t="s">
        <v>153</v>
      </c>
      <c r="N9" s="64" cm="1">
        <f t="array" aca="1" ref="N9" ca="1">INDIRECT("'Python Impact of Optimization'!F" &amp; 5 + (ROW(A5)-1)*4)</f>
        <v>4.4039999999999999</v>
      </c>
      <c r="O9" s="64" cm="1">
        <f t="array" aca="1" ref="O9" ca="1">INDIRECT("'Python Impact of Optimization'!F" &amp; 6 + (ROW(A5)-1)*4)</f>
        <v>2.278</v>
      </c>
      <c r="P9" s="64" cm="1">
        <f t="array" aca="1" ref="P9" ca="1">INDIRECT("'Python Impact of Optimization'!S" &amp; 5 + (ROW(A5)-1)*4)*100</f>
        <v>-48.274296094459579</v>
      </c>
      <c r="Q9" s="64">
        <v>2.8719490663203402E-11</v>
      </c>
      <c r="R9" s="64" t="s">
        <v>180</v>
      </c>
      <c r="S9" s="64" cm="1">
        <f t="array" aca="1" ref="S9" ca="1">INDIRECT("'Python Impact of Optimization'!R" &amp; 5 + (ROW(A5)-1)*4)</f>
        <v>288.50603999999998</v>
      </c>
      <c r="T9" s="64" cm="1">
        <f t="array" aca="1" ref="T9" ca="1">INDIRECT("'Python Impact of Optimization'!R" &amp; 6 + (ROW(A5)-1)*4)</f>
        <v>144.06072</v>
      </c>
      <c r="U9" s="64" cm="1">
        <f t="array" aca="1" ref="U9" ca="1">INDIRECT("'Python Impact of Optimization'!V" &amp; 5 + (ROW(A5)-1)*4)*100</f>
        <v>-50.066653717197738</v>
      </c>
      <c r="V9" s="64">
        <v>2.8719490663203402E-11</v>
      </c>
      <c r="W9" s="64" t="s">
        <v>180</v>
      </c>
      <c r="X9" s="64">
        <f t="shared" ca="1" si="0"/>
        <v>-51.748524629683615</v>
      </c>
      <c r="Z9" s="46" t="s">
        <v>157</v>
      </c>
      <c r="AA9" s="24" t="str" cm="1">
        <f t="array" aca="1" ref="AA9" ca="1">_xlfn.TEXTJOIN(", ", TRUE, IF((J5:J30 &gt; -3) * (J5:J30 &lt; 3), B5:B30, ""))</f>
        <v>T28</v>
      </c>
      <c r="AC9" s="46" t="s">
        <v>157</v>
      </c>
      <c r="AD9" s="24" t="str" cm="1">
        <f t="array" aca="1" ref="AD9" ca="1">_xlfn.TEXTJOIN(", ", TRUE, IF((U5:U30 &gt; -3) * (U5:U30 &lt; 3), M5:M30, ""))</f>
        <v>T19</v>
      </c>
    </row>
    <row r="10" spans="2:30" x14ac:dyDescent="0.25">
      <c r="B10" s="66" t="s">
        <v>19</v>
      </c>
      <c r="C10" s="64" cm="1">
        <f t="array" aca="1" ref="C10" ca="1">INDIRECT("'Python Impact of Optimization'!F" &amp; 3 + (ROW(A6)-1)*4)</f>
        <v>24.738</v>
      </c>
      <c r="D10" s="64" cm="1">
        <f t="array" aca="1" ref="D10" ca="1">INDIRECT("'Python Impact of Optimization'!F" &amp; 4 + (ROW(A6)-1)*4)</f>
        <v>13.598000000000001</v>
      </c>
      <c r="E10" s="64" cm="1">
        <f t="array" aca="1" ref="E10" ca="1">INDIRECT("'Python Impact of Optimization'!S" &amp; 3 + (ROW(A6)-1)*4)*100</f>
        <v>-45.031934675398169</v>
      </c>
      <c r="F10" s="67">
        <v>2.8719490663203402E-11</v>
      </c>
      <c r="G10" s="4" t="s">
        <v>180</v>
      </c>
      <c r="H10" s="64" cm="1">
        <f t="array" aca="1" ref="H10" ca="1">INDIRECT("'Python Impact of Optimization'!R" &amp; 3 + (ROW(A6)-1)*4)</f>
        <v>1697.2741799999999</v>
      </c>
      <c r="I10" s="64" cm="1">
        <f t="array" aca="1" ref="I10" ca="1">INDIRECT("'Python Impact of Optimization'!R" &amp; 4 + (ROW(A6)-1)*4)</f>
        <v>920.85656000000006</v>
      </c>
      <c r="J10" s="64" cm="1">
        <f t="array" aca="1" ref="J10" ca="1">INDIRECT("'Python Impact of Optimization'!V" &amp; 3 + (ROW(A6)-1)*4)*100</f>
        <v>-45.744973272379589</v>
      </c>
      <c r="K10" s="64">
        <v>2.8719490663203402E-11</v>
      </c>
      <c r="L10" s="64" t="s">
        <v>180</v>
      </c>
      <c r="M10" s="68" t="s">
        <v>19</v>
      </c>
      <c r="N10" s="64" cm="1">
        <f t="array" aca="1" ref="N10" ca="1">INDIRECT("'Python Impact of Optimization'!F" &amp; 5 + (ROW(A6)-1)*4)</f>
        <v>12.741</v>
      </c>
      <c r="O10" s="64" cm="1">
        <f t="array" aca="1" ref="O10" ca="1">INDIRECT("'Python Impact of Optimization'!F" &amp; 6 + (ROW(A6)-1)*4)</f>
        <v>4.75</v>
      </c>
      <c r="P10" s="64" cm="1">
        <f t="array" aca="1" ref="P10" ca="1">INDIRECT("'Python Impact of Optimization'!S" &amp; 5 + (ROW(A6)-1)*4)*100</f>
        <v>-62.718781885252341</v>
      </c>
      <c r="Q10" s="64">
        <v>2.8719490663203402E-11</v>
      </c>
      <c r="R10" s="64" t="s">
        <v>180</v>
      </c>
      <c r="S10" s="64" cm="1">
        <f t="array" aca="1" ref="S10" ca="1">INDIRECT("'Python Impact of Optimization'!R" &amp; 5 + (ROW(A6)-1)*4)</f>
        <v>851.86325999999997</v>
      </c>
      <c r="T10" s="64" cm="1">
        <f t="array" aca="1" ref="T10" ca="1">INDIRECT("'Python Impact of Optimization'!R" &amp; 6 + (ROW(A6)-1)*4)</f>
        <v>288.04000000000002</v>
      </c>
      <c r="U10" s="64" cm="1">
        <f t="array" aca="1" ref="U10" ca="1">INDIRECT("'Python Impact of Optimization'!V" &amp; 5 + (ROW(A6)-1)*4)*100</f>
        <v>-66.18706152440474</v>
      </c>
      <c r="V10" s="64">
        <v>2.8719490663203402E-11</v>
      </c>
      <c r="W10" s="64" t="s">
        <v>180</v>
      </c>
      <c r="X10" s="64">
        <f t="shared" ca="1" si="0"/>
        <v>-55.966017398392168</v>
      </c>
      <c r="Z10" s="47" t="s">
        <v>158</v>
      </c>
      <c r="AA10" s="24" t="str" cm="1">
        <f t="array" aca="1" ref="AA10" ca="1">_xlfn.TEXTJOIN(", ", TRUE, IF((J5:J30 &gt;= 3) * (J5:J30 &lt; 25), B5:B30, ""))</f>
        <v>T5</v>
      </c>
      <c r="AC10" s="47" t="s">
        <v>158</v>
      </c>
      <c r="AD10" s="24" t="str" cm="1">
        <f t="array" aca="1" ref="AD10" ca="1">_xlfn.TEXTJOIN(", ", TRUE, IF((U5:U30 &gt;= 3) * (U5:U30 &lt; 25), M5:M30, ""))</f>
        <v>T5, T8, T20, T40, T49</v>
      </c>
    </row>
    <row r="11" spans="2:30" x14ac:dyDescent="0.25">
      <c r="B11" s="66" t="s">
        <v>21</v>
      </c>
      <c r="C11" s="64" cm="1">
        <f t="array" aca="1" ref="C11" ca="1">INDIRECT("'Python Impact of Optimization'!F" &amp; 3 + (ROW(A7)-1)*4)</f>
        <v>37.828000000000003</v>
      </c>
      <c r="D11" s="64" cm="1">
        <f t="array" aca="1" ref="D11" ca="1">INDIRECT("'Python Impact of Optimization'!F" &amp; 4 + (ROW(A7)-1)*4)</f>
        <v>34.125</v>
      </c>
      <c r="E11" s="64" cm="1">
        <f t="array" aca="1" ref="E11" ca="1">INDIRECT("'Python Impact of Optimization'!S" &amp; 3 + (ROW(A7)-1)*4)*100</f>
        <v>-9.7890451517394581</v>
      </c>
      <c r="F11" s="67">
        <v>1.6931348391614612E-10</v>
      </c>
      <c r="G11" s="4" t="s">
        <v>180</v>
      </c>
      <c r="H11" s="64" cm="1">
        <f t="array" aca="1" ref="H11" ca="1">INDIRECT("'Python Impact of Optimization'!R" &amp; 3 + (ROW(A7)-1)*4)</f>
        <v>2551.12032</v>
      </c>
      <c r="I11" s="64" cm="1">
        <f t="array" aca="1" ref="I11" ca="1">INDIRECT("'Python Impact of Optimization'!R" &amp; 4 + (ROW(A7)-1)*4)</f>
        <v>2263.8525</v>
      </c>
      <c r="J11" s="64" cm="1">
        <f t="array" aca="1" ref="J11" ca="1">INDIRECT("'Python Impact of Optimization'!V" &amp; 3 + (ROW(A7)-1)*4)*100</f>
        <v>-11.260457523226503</v>
      </c>
      <c r="K11" s="64">
        <v>3.1752172486680018E-11</v>
      </c>
      <c r="L11" s="64" t="s">
        <v>180</v>
      </c>
      <c r="M11" s="68" t="s">
        <v>21</v>
      </c>
      <c r="N11" s="64" cm="1">
        <f t="array" aca="1" ref="N11" ca="1">INDIRECT("'Python Impact of Optimization'!F" &amp; 5 + (ROW(A7)-1)*4)</f>
        <v>28.798999999999999</v>
      </c>
      <c r="O11" s="64" cm="1">
        <f t="array" aca="1" ref="O11" ca="1">INDIRECT("'Python Impact of Optimization'!F" &amp; 6 + (ROW(A7)-1)*4)</f>
        <v>27.361999999999998</v>
      </c>
      <c r="P11" s="64" cm="1">
        <f t="array" aca="1" ref="P11" ca="1">INDIRECT("'Python Impact of Optimization'!S" &amp; 5 + (ROW(A7)-1)*4)*100</f>
        <v>-4.9897565887704474</v>
      </c>
      <c r="Q11" s="64">
        <v>3.5097576968084933E-11</v>
      </c>
      <c r="R11" s="64" t="s">
        <v>180</v>
      </c>
      <c r="S11" s="64" cm="1">
        <f t="array" aca="1" ref="S11" ca="1">INDIRECT("'Python Impact of Optimization'!R" &amp; 5 + (ROW(A7)-1)*4)</f>
        <v>1931.2609399999999</v>
      </c>
      <c r="T11" s="64" cm="1">
        <f t="array" aca="1" ref="T11" ca="1">INDIRECT("'Python Impact of Optimization'!R" &amp; 6 + (ROW(A7)-1)*4)</f>
        <v>1785.9177400000001</v>
      </c>
      <c r="U11" s="64" cm="1">
        <f t="array" aca="1" ref="U11" ca="1">INDIRECT("'Python Impact of Optimization'!V" &amp; 5 + (ROW(A7)-1)*4)*100</f>
        <v>-7.5258188569795132</v>
      </c>
      <c r="V11" s="64">
        <v>3.8787144759013784E-11</v>
      </c>
      <c r="W11" s="64" t="s">
        <v>180</v>
      </c>
      <c r="X11" s="64">
        <f t="shared" ca="1" si="0"/>
        <v>-9.3931381901030075</v>
      </c>
      <c r="Z11" s="48" t="s">
        <v>159</v>
      </c>
      <c r="AA11" s="24" t="str" cm="1">
        <f t="array" aca="1" ref="AA11" ca="1">_xlfn.TEXTJOIN(", ", TRUE, IF((J5:J30 &gt;= 25) * (J5:J30 &lt; 75), B5:B30, ""))</f>
        <v>T4, T51</v>
      </c>
      <c r="AC11" s="48" t="s">
        <v>159</v>
      </c>
      <c r="AD11" s="24" t="str" cm="1">
        <f t="array" aca="1" ref="AD11" ca="1">_xlfn.TEXTJOIN(", ", TRUE, IF((U5:U30 &gt;= 25) * (U5:U30 &lt; 75), M5:M30, ""))</f>
        <v>T31, T51</v>
      </c>
    </row>
    <row r="12" spans="2:30" x14ac:dyDescent="0.25">
      <c r="B12" s="66" t="s">
        <v>23</v>
      </c>
      <c r="C12" s="64" cm="1">
        <f t="array" aca="1" ref="C12" ca="1">INDIRECT("'Python Impact of Optimization'!F" &amp; 3 + (ROW(A8)-1)*4)</f>
        <v>9.7210000000000001</v>
      </c>
      <c r="D12" s="64" cm="1">
        <f t="array" aca="1" ref="D12" ca="1">INDIRECT("'Python Impact of Optimization'!F" &amp; 4 + (ROW(A8)-1)*4)</f>
        <v>5.0270000000000001</v>
      </c>
      <c r="E12" s="64" cm="1">
        <f t="array" aca="1" ref="E12" ca="1">INDIRECT("'Python Impact of Optimization'!S" &amp; 3 + (ROW(A8)-1)*4)*100</f>
        <v>-48.287213249665669</v>
      </c>
      <c r="F12" s="67">
        <v>2.8719490663203402E-11</v>
      </c>
      <c r="G12" s="4" t="s">
        <v>180</v>
      </c>
      <c r="H12" s="64" cm="1">
        <f t="array" aca="1" ref="H12" ca="1">INDIRECT("'Python Impact of Optimization'!R" &amp; 3 + (ROW(A8)-1)*4)</f>
        <v>602.41036999999994</v>
      </c>
      <c r="I12" s="64" cm="1">
        <f t="array" aca="1" ref="I12" ca="1">INDIRECT("'Python Impact of Optimization'!R" &amp; 4 + (ROW(A8)-1)*4)</f>
        <v>305.69186999999999</v>
      </c>
      <c r="J12" s="64" cm="1">
        <f t="array" aca="1" ref="J12" ca="1">INDIRECT("'Python Impact of Optimization'!V" &amp; 3 + (ROW(A8)-1)*4)*100</f>
        <v>-49.255211194322563</v>
      </c>
      <c r="K12" s="64">
        <v>2.8719490663203402E-11</v>
      </c>
      <c r="L12" s="64" t="s">
        <v>180</v>
      </c>
      <c r="M12" s="68" t="s">
        <v>23</v>
      </c>
      <c r="N12" s="64" cm="1">
        <f t="array" aca="1" ref="N12" ca="1">INDIRECT("'Python Impact of Optimization'!F" &amp; 5 + (ROW(A8)-1)*4)</f>
        <v>7.9390000000000001</v>
      </c>
      <c r="O12" s="64" cm="1">
        <f t="array" aca="1" ref="O12" ca="1">INDIRECT("'Python Impact of Optimization'!F" &amp; 6 + (ROW(A8)-1)*4)</f>
        <v>4.1710000000000003</v>
      </c>
      <c r="P12" s="64" cm="1">
        <f t="array" aca="1" ref="P12" ca="1">INDIRECT("'Python Impact of Optimization'!S" &amp; 5 + (ROW(A8)-1)*4)*100</f>
        <v>-47.461896964353187</v>
      </c>
      <c r="Q12" s="64">
        <v>2.8719490663203402E-11</v>
      </c>
      <c r="R12" s="64" t="s">
        <v>180</v>
      </c>
      <c r="S12" s="64" cm="1">
        <f t="array" aca="1" ref="S12" ca="1">INDIRECT("'Python Impact of Optimization'!R" &amp; 5 + (ROW(A8)-1)*4)</f>
        <v>478.24536000000001</v>
      </c>
      <c r="T12" s="64" cm="1">
        <f t="array" aca="1" ref="T12" ca="1">INDIRECT("'Python Impact of Optimization'!R" &amp; 6 + (ROW(A8)-1)*4)</f>
        <v>256.80847</v>
      </c>
      <c r="U12" s="64" cm="1">
        <f t="array" aca="1" ref="U12" ca="1">INDIRECT("'Python Impact of Optimization'!V" &amp; 5 + (ROW(A8)-1)*4)*100</f>
        <v>-46.301942166255415</v>
      </c>
      <c r="V12" s="64">
        <v>2.8719490663203402E-11</v>
      </c>
      <c r="W12" s="64" t="s">
        <v>180</v>
      </c>
      <c r="X12" s="64">
        <f t="shared" ca="1" si="0"/>
        <v>-47.778576680288992</v>
      </c>
      <c r="Z12" s="49" t="s">
        <v>160</v>
      </c>
      <c r="AA12" s="27" t="str" cm="1">
        <f t="array" aca="1" ref="AA12" ca="1">_xlfn.TEXTJOIN(", ", TRUE, IF(J5:J30 &gt;= 75, B5:B30, ""))</f>
        <v>T31</v>
      </c>
      <c r="AC12" s="49" t="s">
        <v>160</v>
      </c>
      <c r="AD12" s="27" t="str" cm="1">
        <f t="array" aca="1" ref="AD12" ca="1">_xlfn.TEXTJOIN(", ", TRUE, IF(U5:U30 &gt;= 75, M5:M30, ""))</f>
        <v/>
      </c>
    </row>
    <row r="13" spans="2:30" x14ac:dyDescent="0.25">
      <c r="B13" s="66" t="s">
        <v>25</v>
      </c>
      <c r="C13" s="64" cm="1">
        <f t="array" aca="1" ref="C13" ca="1">INDIRECT("'Python Impact of Optimization'!F" &amp; 3 + (ROW(A9)-1)*4)</f>
        <v>234.01599999999999</v>
      </c>
      <c r="D13" s="64" cm="1">
        <f t="array" aca="1" ref="D13" ca="1">INDIRECT("'Python Impact of Optimization'!F" &amp; 4 + (ROW(A9)-1)*4)</f>
        <v>103.762</v>
      </c>
      <c r="E13" s="64" cm="1">
        <f t="array" aca="1" ref="E13" ca="1">INDIRECT("'Python Impact of Optimization'!S" &amp; 3 + (ROW(A9)-1)*4)*100</f>
        <v>-55.660296731847389</v>
      </c>
      <c r="F13" s="67">
        <v>2.8719490663203402E-11</v>
      </c>
      <c r="G13" s="4" t="s">
        <v>180</v>
      </c>
      <c r="H13" s="64" cm="1">
        <f t="array" aca="1" ref="H13" ca="1">INDIRECT("'Python Impact of Optimization'!R" &amp; 3 + (ROW(A9)-1)*4)</f>
        <v>16170.5056</v>
      </c>
      <c r="I13" s="64" cm="1">
        <f t="array" aca="1" ref="I13" ca="1">INDIRECT("'Python Impact of Optimization'!R" &amp; 4 + (ROW(A9)-1)*4)</f>
        <v>6794.3357600000008</v>
      </c>
      <c r="J13" s="64" cm="1">
        <f t="array" aca="1" ref="J13" ca="1">INDIRECT("'Python Impact of Optimization'!V" &amp; 3 + (ROW(A9)-1)*4)*100</f>
        <v>-57.9831581765755</v>
      </c>
      <c r="K13" s="64">
        <v>2.8719490663203402E-11</v>
      </c>
      <c r="L13" s="64" t="s">
        <v>180</v>
      </c>
      <c r="M13" s="68" t="s">
        <v>25</v>
      </c>
      <c r="N13" s="64" cm="1">
        <f t="array" aca="1" ref="N13" ca="1">INDIRECT("'Python Impact of Optimization'!F" &amp; 5 + (ROW(A9)-1)*4)</f>
        <v>192.29300000000001</v>
      </c>
      <c r="O13" s="64" cm="1">
        <f t="array" aca="1" ref="O13" ca="1">INDIRECT("'Python Impact of Optimization'!F" &amp; 6 + (ROW(A9)-1)*4)</f>
        <v>100.312</v>
      </c>
      <c r="P13" s="64" cm="1">
        <f t="array" aca="1" ref="P13" ca="1">INDIRECT("'Python Impact of Optimization'!S" &amp; 5 + (ROW(A9)-1)*4)*100</f>
        <v>-47.833774500371831</v>
      </c>
      <c r="Q13" s="64">
        <v>2.8719490663203402E-11</v>
      </c>
      <c r="R13" s="64" t="s">
        <v>180</v>
      </c>
      <c r="S13" s="64" cm="1">
        <f t="array" aca="1" ref="S13" ca="1">INDIRECT("'Python Impact of Optimization'!R" &amp; 5 + (ROW(A9)-1)*4)</f>
        <v>13250.91063</v>
      </c>
      <c r="T13" s="64" cm="1">
        <f t="array" aca="1" ref="T13" ca="1">INDIRECT("'Python Impact of Optimization'!R" &amp; 6 + (ROW(A9)-1)*4)</f>
        <v>6600.5295999999998</v>
      </c>
      <c r="U13" s="64" cm="1">
        <f t="array" aca="1" ref="U13" ca="1">INDIRECT("'Python Impact of Optimization'!V" &amp; 5 + (ROW(A9)-1)*4)*100</f>
        <v>-50.188105675873842</v>
      </c>
      <c r="V13" s="64">
        <v>2.8719490663203402E-11</v>
      </c>
      <c r="W13" s="64" t="s">
        <v>180</v>
      </c>
      <c r="X13" s="64">
        <f t="shared" ca="1" si="0"/>
        <v>-54.085631926224671</v>
      </c>
    </row>
    <row r="14" spans="2:30" x14ac:dyDescent="0.25">
      <c r="B14" s="66" t="s">
        <v>31</v>
      </c>
      <c r="C14" s="64" cm="1">
        <f t="array" aca="1" ref="C14" ca="1">INDIRECT("'Python Impact of Optimization'!F" &amp; 3 + (ROW(A10)-1)*4)</f>
        <v>8.6389999999999993</v>
      </c>
      <c r="D14" s="64" cm="1">
        <f t="array" aca="1" ref="D14" ca="1">INDIRECT("'Python Impact of Optimization'!F" &amp; 4 + (ROW(A10)-1)*4)</f>
        <v>4.3810000000000002</v>
      </c>
      <c r="E14" s="64" cm="1">
        <f t="array" aca="1" ref="E14" ca="1">INDIRECT("'Python Impact of Optimization'!S" &amp; 3 + (ROW(A10)-1)*4)*100</f>
        <v>-49.288112050005786</v>
      </c>
      <c r="F14" s="67">
        <v>2.8719490663203402E-11</v>
      </c>
      <c r="G14" s="4" t="s">
        <v>180</v>
      </c>
      <c r="H14" s="64" cm="1">
        <f t="array" aca="1" ref="H14" ca="1">INDIRECT("'Python Impact of Optimization'!R" &amp; 3 + (ROW(A10)-1)*4)</f>
        <v>525.07841999999994</v>
      </c>
      <c r="I14" s="64" cm="1">
        <f t="array" aca="1" ref="I14" ca="1">INDIRECT("'Python Impact of Optimization'!R" &amp; 4 + (ROW(A10)-1)*4)</f>
        <v>273.94393000000002</v>
      </c>
      <c r="J14" s="64" cm="1">
        <f t="array" aca="1" ref="J14" ca="1">INDIRECT("'Python Impact of Optimization'!V" &amp; 3 + (ROW(A10)-1)*4)*100</f>
        <v>-47.827996816170796</v>
      </c>
      <c r="K14" s="64">
        <v>2.8719490663203402E-11</v>
      </c>
      <c r="L14" s="64" t="s">
        <v>180</v>
      </c>
      <c r="M14" s="68" t="s">
        <v>31</v>
      </c>
      <c r="N14" s="64" cm="1">
        <f t="array" aca="1" ref="N14" ca="1">INDIRECT("'Python Impact of Optimization'!F" &amp; 5 + (ROW(A10)-1)*4)</f>
        <v>8.4600000000000009</v>
      </c>
      <c r="O14" s="64" cm="1">
        <f t="array" aca="1" ref="O14" ca="1">INDIRECT("'Python Impact of Optimization'!F" &amp; 6 + (ROW(A10)-1)*4)</f>
        <v>4.766</v>
      </c>
      <c r="P14" s="64" cm="1">
        <f t="array" aca="1" ref="P14" ca="1">INDIRECT("'Python Impact of Optimization'!S" &amp; 5 + (ROW(A10)-1)*4)*100</f>
        <v>-43.664302600472823</v>
      </c>
      <c r="Q14" s="64">
        <v>2.8719490663203402E-11</v>
      </c>
      <c r="R14" s="64" t="s">
        <v>180</v>
      </c>
      <c r="S14" s="64" cm="1">
        <f t="array" aca="1" ref="S14" ca="1">INDIRECT("'Python Impact of Optimization'!R" &amp; 5 + (ROW(A10)-1)*4)</f>
        <v>532.38780000000008</v>
      </c>
      <c r="T14" s="64" cm="1">
        <f t="array" aca="1" ref="T14" ca="1">INDIRECT("'Python Impact of Optimization'!R" &amp; 6 + (ROW(A10)-1)*4)</f>
        <v>295.58731999999998</v>
      </c>
      <c r="U14" s="64" cm="1">
        <f t="array" aca="1" ref="U14" ca="1">INDIRECT("'Python Impact of Optimization'!V" &amp; 5 + (ROW(A10)-1)*4)*100</f>
        <v>-44.478945610699583</v>
      </c>
      <c r="V14" s="64">
        <v>2.8719490663203402E-11</v>
      </c>
      <c r="W14" s="64" t="s">
        <v>180</v>
      </c>
      <c r="X14" s="64">
        <f t="shared" ca="1" si="0"/>
        <v>-46.153471213435189</v>
      </c>
    </row>
    <row r="15" spans="2:30" x14ac:dyDescent="0.25">
      <c r="B15" s="66" t="s">
        <v>33</v>
      </c>
      <c r="C15" s="64" cm="1">
        <f t="array" aca="1" ref="C15" ca="1">INDIRECT("'Python Impact of Optimization'!F" &amp; 3 + (ROW(A11)-1)*4)</f>
        <v>8.1679999999999993</v>
      </c>
      <c r="D15" s="64" cm="1">
        <f t="array" aca="1" ref="D15" ca="1">INDIRECT("'Python Impact of Optimization'!F" &amp; 4 + (ROW(A11)-1)*4)</f>
        <v>4.4329999999999998</v>
      </c>
      <c r="E15" s="64" cm="1">
        <f t="array" aca="1" ref="E15" ca="1">INDIRECT("'Python Impact of Optimization'!S" &amp; 3 + (ROW(A11)-1)*4)*100</f>
        <v>-45.727228207639563</v>
      </c>
      <c r="F15" s="67">
        <v>2.8719490663203402E-11</v>
      </c>
      <c r="G15" s="4" t="s">
        <v>180</v>
      </c>
      <c r="H15" s="64" cm="1">
        <f t="array" aca="1" ref="H15" ca="1">INDIRECT("'Python Impact of Optimization'!R" &amp; 3 + (ROW(A11)-1)*4)</f>
        <v>518.01455999999996</v>
      </c>
      <c r="I15" s="64" cm="1">
        <f t="array" aca="1" ref="I15" ca="1">INDIRECT("'Python Impact of Optimization'!R" &amp; 4 + (ROW(A11)-1)*4)</f>
        <v>280.20992999999999</v>
      </c>
      <c r="J15" s="64" cm="1">
        <f t="array" aca="1" ref="J15" ca="1">INDIRECT("'Python Impact of Optimization'!V" &amp; 3 + (ROW(A11)-1)*4)*100</f>
        <v>-45.906939372514934</v>
      </c>
      <c r="K15" s="64">
        <v>2.8719490663203402E-11</v>
      </c>
      <c r="L15" s="64" t="s">
        <v>180</v>
      </c>
      <c r="M15" s="68" t="s">
        <v>33</v>
      </c>
      <c r="N15" s="64" cm="1">
        <f t="array" aca="1" ref="N15" ca="1">INDIRECT("'Python Impact of Optimization'!F" &amp; 5 + (ROW(A11)-1)*4)</f>
        <v>8.5630000000000006</v>
      </c>
      <c r="O15" s="64" cm="1">
        <f t="array" aca="1" ref="O15" ca="1">INDIRECT("'Python Impact of Optimization'!F" &amp; 6 + (ROW(A11)-1)*4)</f>
        <v>4.9409999999999998</v>
      </c>
      <c r="P15" s="64" cm="1">
        <f t="array" aca="1" ref="P15" ca="1">INDIRECT("'Python Impact of Optimization'!S" &amp; 5 + (ROW(A11)-1)*4)*100</f>
        <v>-42.298259955623038</v>
      </c>
      <c r="Q15" s="64">
        <v>2.8719490663203402E-11</v>
      </c>
      <c r="R15" s="64" t="s">
        <v>180</v>
      </c>
      <c r="S15" s="64" cm="1">
        <f t="array" aca="1" ref="S15" ca="1">INDIRECT("'Python Impact of Optimization'!R" &amp; 5 + (ROW(A11)-1)*4)</f>
        <v>538.61270000000002</v>
      </c>
      <c r="T15" s="64" cm="1">
        <f t="array" aca="1" ref="T15" ca="1">INDIRECT("'Python Impact of Optimization'!R" &amp; 6 + (ROW(A11)-1)*4)</f>
        <v>318.79331999999999</v>
      </c>
      <c r="U15" s="64" cm="1">
        <f t="array" aca="1" ref="U15" ca="1">INDIRECT("'Python Impact of Optimization'!V" &amp; 5 + (ROW(A11)-1)*4)*100</f>
        <v>-40.812142008534153</v>
      </c>
      <c r="V15" s="64">
        <v>2.8719490663203402E-11</v>
      </c>
      <c r="W15" s="64" t="s">
        <v>180</v>
      </c>
      <c r="X15" s="64">
        <f t="shared" ca="1" si="0"/>
        <v>-43.35954069052454</v>
      </c>
    </row>
    <row r="16" spans="2:30" x14ac:dyDescent="0.25">
      <c r="B16" s="66" t="s">
        <v>37</v>
      </c>
      <c r="C16" s="64" cm="1">
        <f t="array" aca="1" ref="C16" ca="1">INDIRECT("'Python Impact of Optimization'!F" &amp; 3 + (ROW(A12)-1)*4)</f>
        <v>128.31399999999999</v>
      </c>
      <c r="D16" s="64" cm="1">
        <f t="array" aca="1" ref="D16" ca="1">INDIRECT("'Python Impact of Optimization'!F" &amp; 4 + (ROW(A12)-1)*4)</f>
        <v>122.685</v>
      </c>
      <c r="E16" s="64" cm="1">
        <f t="array" aca="1" ref="E16" ca="1">INDIRECT("'Python Impact of Optimization'!S" &amp; 3 + (ROW(A12)-1)*4)*100</f>
        <v>-4.3868946490640077</v>
      </c>
      <c r="F16" s="67">
        <v>4.2855392840606714E-11</v>
      </c>
      <c r="G16" s="4" t="s">
        <v>180</v>
      </c>
      <c r="H16" s="64" cm="1">
        <f t="array" aca="1" ref="H16" ca="1">INDIRECT("'Python Impact of Optimization'!R" &amp; 3 + (ROW(A12)-1)*4)</f>
        <v>8475.1396999999997</v>
      </c>
      <c r="I16" s="64" cm="1">
        <f t="array" aca="1" ref="I16" ca="1">INDIRECT("'Python Impact of Optimization'!R" &amp; 4 + (ROW(A12)-1)*4)</f>
        <v>8211.3070500000013</v>
      </c>
      <c r="J16" s="64" cm="1">
        <f t="array" aca="1" ref="J16" ca="1">INDIRECT("'Python Impact of Optimization'!V" &amp; 3 + (ROW(A12)-1)*4)*100</f>
        <v>-3.1130183022233662</v>
      </c>
      <c r="K16" s="64">
        <v>1.7937766480903425E-6</v>
      </c>
      <c r="L16" s="64" t="s">
        <v>180</v>
      </c>
      <c r="M16" s="68" t="s">
        <v>37</v>
      </c>
      <c r="N16" s="64" cm="1">
        <f t="array" aca="1" ref="N16" ca="1">INDIRECT("'Python Impact of Optimization'!F" &amp; 5 + (ROW(A12)-1)*4)</f>
        <v>132.50899999999999</v>
      </c>
      <c r="O16" s="64" cm="1">
        <f t="array" aca="1" ref="O16" ca="1">INDIRECT("'Python Impact of Optimization'!F" &amp; 6 + (ROW(A12)-1)*4)</f>
        <v>127.303</v>
      </c>
      <c r="P16" s="64" cm="1">
        <f t="array" aca="1" ref="P16" ca="1">INDIRECT("'Python Impact of Optimization'!S" &amp; 5 + (ROW(A12)-1)*4)*100</f>
        <v>-3.9287897425835148</v>
      </c>
      <c r="Q16" s="64">
        <v>3.6599799289507135E-7</v>
      </c>
      <c r="R16" s="64" t="s">
        <v>180</v>
      </c>
      <c r="S16" s="64" cm="1">
        <f t="array" aca="1" ref="S16" ca="1">INDIRECT("'Python Impact of Optimization'!R" &amp; 5 + (ROW(A12)-1)*4)</f>
        <v>8806.548139999999</v>
      </c>
      <c r="T16" s="64" cm="1">
        <f t="array" aca="1" ref="T16" ca="1">INDIRECT("'Python Impact of Optimization'!R" &amp; 6 + (ROW(A12)-1)*4)</f>
        <v>8655.3309699999991</v>
      </c>
      <c r="U16" s="64" cm="1">
        <f t="array" aca="1" ref="U16" ca="1">INDIRECT("'Python Impact of Optimization'!V" &amp; 5 + (ROW(A12)-1)*4)*100</f>
        <v>-1.7170992265761909</v>
      </c>
      <c r="V16" s="64">
        <v>3.8469245087958688E-2</v>
      </c>
      <c r="W16" s="64" t="s">
        <v>179</v>
      </c>
      <c r="X16" s="64">
        <f t="shared" ca="1" si="0"/>
        <v>-2.4150587643997783</v>
      </c>
    </row>
    <row r="17" spans="2:24" x14ac:dyDescent="0.25">
      <c r="B17" s="66" t="s">
        <v>39</v>
      </c>
      <c r="C17" s="64" cm="1">
        <f t="array" aca="1" ref="C17" ca="1">INDIRECT("'Python Impact of Optimization'!F" &amp; 3 + (ROW(A13)-1)*4)</f>
        <v>69.498999999999995</v>
      </c>
      <c r="D17" s="64" cm="1">
        <f t="array" aca="1" ref="D17" ca="1">INDIRECT("'Python Impact of Optimization'!F" &amp; 4 + (ROW(A13)-1)*4)</f>
        <v>64.382999999999996</v>
      </c>
      <c r="E17" s="64" cm="1">
        <f t="array" aca="1" ref="E17" ca="1">INDIRECT("'Python Impact of Optimization'!S" &amp; 3 + (ROW(A13)-1)*4)*100</f>
        <v>-7.3612569965035473</v>
      </c>
      <c r="F17" s="67">
        <v>3.011893711871355E-10</v>
      </c>
      <c r="G17" s="4" t="s">
        <v>180</v>
      </c>
      <c r="H17" s="64" cm="1">
        <f t="array" aca="1" ref="H17" ca="1">INDIRECT("'Python Impact of Optimization'!R" &amp; 3 + (ROW(A13)-1)*4)</f>
        <v>4528.5548399999998</v>
      </c>
      <c r="I17" s="64" cm="1">
        <f t="array" aca="1" ref="I17" ca="1">INDIRECT("'Python Impact of Optimization'!R" &amp; 4 + (ROW(A13)-1)*4)</f>
        <v>4197.1277699999991</v>
      </c>
      <c r="J17" s="64" cm="1">
        <f t="array" aca="1" ref="J17" ca="1">INDIRECT("'Python Impact of Optimization'!V" &amp; 3 + (ROW(A13)-1)*4)*100</f>
        <v>-7.3186056415295759</v>
      </c>
      <c r="K17" s="64">
        <v>5.3167428036428199E-10</v>
      </c>
      <c r="L17" s="64" t="s">
        <v>180</v>
      </c>
      <c r="M17" s="68" t="s">
        <v>39</v>
      </c>
      <c r="N17" s="64" cm="1">
        <f t="array" aca="1" ref="N17" ca="1">INDIRECT("'Python Impact of Optimization'!F" &amp; 5 + (ROW(A13)-1)*4)</f>
        <v>61.884</v>
      </c>
      <c r="O17" s="64" cm="1">
        <f t="array" aca="1" ref="O17" ca="1">INDIRECT("'Python Impact of Optimization'!F" &amp; 6 + (ROW(A13)-1)*4)</f>
        <v>68.849999999999994</v>
      </c>
      <c r="P17" s="64" cm="1">
        <f t="array" aca="1" ref="P17" ca="1">INDIRECT("'Python Impact of Optimization'!S" &amp; 5 + (ROW(A13)-1)*4)*100</f>
        <v>11.256544502617791</v>
      </c>
      <c r="Q17" s="64">
        <v>2.8719490663203402E-11</v>
      </c>
      <c r="R17" s="64" t="s">
        <v>180</v>
      </c>
      <c r="S17" s="64" cm="1">
        <f t="array" aca="1" ref="S17" ca="1">INDIRECT("'Python Impact of Optimization'!R" &amp; 5 + (ROW(A13)-1)*4)</f>
        <v>4141.8961200000003</v>
      </c>
      <c r="T17" s="64" cm="1">
        <f t="array" aca="1" ref="T17" ca="1">INDIRECT("'Python Impact of Optimization'!R" &amp; 6 + (ROW(A13)-1)*4)</f>
        <v>4532.3954999999996</v>
      </c>
      <c r="U17" s="64" cm="1">
        <f t="array" aca="1" ref="U17" ca="1">INDIRECT("'Python Impact of Optimization'!V" &amp; 5 + (ROW(A13)-1)*4)*100</f>
        <v>9.4280341342795246</v>
      </c>
      <c r="V17" s="64">
        <v>8.5629939049008916E-11</v>
      </c>
      <c r="W17" s="64" t="s">
        <v>180</v>
      </c>
      <c r="X17" s="64">
        <f t="shared" ca="1" si="0"/>
        <v>1.0547142463749744</v>
      </c>
    </row>
    <row r="18" spans="2:24" x14ac:dyDescent="0.25">
      <c r="B18" s="66" t="s">
        <v>49</v>
      </c>
      <c r="C18" s="64" cm="1">
        <f t="array" aca="1" ref="C18" ca="1">INDIRECT("'Python Impact of Optimization'!F" &amp; 3 + (ROW(A14)-1)*4)</f>
        <v>181.41900000000001</v>
      </c>
      <c r="D18" s="64" cm="1">
        <f t="array" aca="1" ref="D18" ca="1">INDIRECT("'Python Impact of Optimization'!F" &amp; 4 + (ROW(A14)-1)*4)</f>
        <v>158.535</v>
      </c>
      <c r="E18" s="64" cm="1">
        <f t="array" aca="1" ref="E18" ca="1">INDIRECT("'Python Impact of Optimization'!S" &amp; 3 + (ROW(A14)-1)*4)*100</f>
        <v>-12.613893803846352</v>
      </c>
      <c r="F18" s="67">
        <v>2.8719490663203402E-11</v>
      </c>
      <c r="G18" s="4" t="s">
        <v>180</v>
      </c>
      <c r="H18" s="64" cm="1">
        <f t="array" aca="1" ref="H18" ca="1">INDIRECT("'Python Impact of Optimization'!R" &amp; 3 + (ROW(A14)-1)*4)</f>
        <v>11808.56271</v>
      </c>
      <c r="I18" s="64" cm="1">
        <f t="array" aca="1" ref="I18" ca="1">INDIRECT("'Python Impact of Optimization'!R" &amp; 4 + (ROW(A14)-1)*4)</f>
        <v>10605.9915</v>
      </c>
      <c r="J18" s="64" cm="1">
        <f t="array" aca="1" ref="J18" ca="1">INDIRECT("'Python Impact of Optimization'!V" &amp; 3 + (ROW(A14)-1)*4)*100</f>
        <v>-10.183891465314495</v>
      </c>
      <c r="K18" s="64">
        <v>2.8719490663203402E-11</v>
      </c>
      <c r="L18" s="64" t="s">
        <v>180</v>
      </c>
      <c r="M18" s="68" t="s">
        <v>49</v>
      </c>
      <c r="N18" s="64" cm="1">
        <f t="array" aca="1" ref="N18" ca="1">INDIRECT("'Python Impact of Optimization'!F" &amp; 5 + (ROW(A14)-1)*4)</f>
        <v>172.815</v>
      </c>
      <c r="O18" s="64" cm="1">
        <f t="array" aca="1" ref="O18" ca="1">INDIRECT("'Python Impact of Optimization'!F" &amp; 6 + (ROW(A14)-1)*4)</f>
        <v>148.429</v>
      </c>
      <c r="P18" s="64" cm="1">
        <f t="array" aca="1" ref="P18" ca="1">INDIRECT("'Python Impact of Optimization'!S" &amp; 5 + (ROW(A14)-1)*4)*100</f>
        <v>-14.111043601539217</v>
      </c>
      <c r="Q18" s="64">
        <v>2.8719490663203402E-11</v>
      </c>
      <c r="R18" s="64" t="s">
        <v>180</v>
      </c>
      <c r="S18" s="64" cm="1">
        <f t="array" aca="1" ref="S18" ca="1">INDIRECT("'Python Impact of Optimization'!R" &amp; 5 + (ROW(A14)-1)*4)</f>
        <v>11414.43075</v>
      </c>
      <c r="T18" s="64" cm="1">
        <f t="array" aca="1" ref="T18" ca="1">INDIRECT("'Python Impact of Optimization'!R" &amp; 6 + (ROW(A14)-1)*4)</f>
        <v>10036.768980000001</v>
      </c>
      <c r="U18" s="64" cm="1">
        <f t="array" aca="1" ref="U18" ca="1">INDIRECT("'Python Impact of Optimization'!V" &amp; 5 + (ROW(A14)-1)*4)*100</f>
        <v>-12.069474161030753</v>
      </c>
      <c r="V18" s="64">
        <v>2.8719490663203402E-11</v>
      </c>
      <c r="W18" s="64" t="s">
        <v>180</v>
      </c>
      <c r="X18" s="64">
        <f t="shared" ca="1" si="0"/>
        <v>-11.126682813172625</v>
      </c>
    </row>
    <row r="19" spans="2:24" x14ac:dyDescent="0.25">
      <c r="B19" s="66" t="s">
        <v>51</v>
      </c>
      <c r="C19" s="64" cm="1">
        <f t="array" aca="1" ref="C19" ca="1">INDIRECT("'Python Impact of Optimization'!F" &amp; 3 + (ROW(A15)-1)*4)</f>
        <v>173.517</v>
      </c>
      <c r="D19" s="64" cm="1">
        <f t="array" aca="1" ref="D19" ca="1">INDIRECT("'Python Impact of Optimization'!F" &amp; 4 + (ROW(A15)-1)*4)</f>
        <v>150.857</v>
      </c>
      <c r="E19" s="64" cm="1">
        <f t="array" aca="1" ref="E19" ca="1">INDIRECT("'Python Impact of Optimization'!S" &amp; 3 + (ROW(A15)-1)*4)*100</f>
        <v>-13.059239152359709</v>
      </c>
      <c r="F19" s="67">
        <v>2.8719490663203402E-11</v>
      </c>
      <c r="G19" s="4" t="s">
        <v>180</v>
      </c>
      <c r="H19" s="64" cm="1">
        <f t="array" aca="1" ref="H19" ca="1">INDIRECT("'Python Impact of Optimization'!R" &amp; 3 + (ROW(A15)-1)*4)</f>
        <v>11367.098669999999</v>
      </c>
      <c r="I19" s="64" cm="1">
        <f t="array" aca="1" ref="I19" ca="1">INDIRECT("'Python Impact of Optimization'!R" &amp; 4 + (ROW(A15)-1)*4)</f>
        <v>9867.5563700000002</v>
      </c>
      <c r="J19" s="64" cm="1">
        <f t="array" aca="1" ref="J19" ca="1">INDIRECT("'Python Impact of Optimization'!V" &amp; 3 + (ROW(A15)-1)*4)*100</f>
        <v>-13.191952876749324</v>
      </c>
      <c r="K19" s="64">
        <v>2.8719490663203402E-11</v>
      </c>
      <c r="L19" s="64" t="s">
        <v>180</v>
      </c>
      <c r="M19" s="68" t="s">
        <v>51</v>
      </c>
      <c r="N19" s="64" cm="1">
        <f t="array" aca="1" ref="N19" ca="1">INDIRECT("'Python Impact of Optimization'!F" &amp; 5 + (ROW(A15)-1)*4)</f>
        <v>127.854</v>
      </c>
      <c r="O19" s="64" cm="1">
        <f t="array" aca="1" ref="O19" ca="1">INDIRECT("'Python Impact of Optimization'!F" &amp; 6 + (ROW(A15)-1)*4)</f>
        <v>130.31100000000001</v>
      </c>
      <c r="P19" s="64" cm="1">
        <f t="array" aca="1" ref="P19" ca="1">INDIRECT("'Python Impact of Optimization'!S" &amp; 5 + (ROW(A15)-1)*4)*100</f>
        <v>1.9217232155427346</v>
      </c>
      <c r="Q19" s="64">
        <v>2.4025281379650773E-6</v>
      </c>
      <c r="R19" s="64" t="s">
        <v>180</v>
      </c>
      <c r="S19" s="64" cm="1">
        <f t="array" aca="1" ref="S19" ca="1">INDIRECT("'Python Impact of Optimization'!R" &amp; 5 + (ROW(A15)-1)*4)</f>
        <v>8502.2909999999993</v>
      </c>
      <c r="T19" s="64" cm="1">
        <f t="array" aca="1" ref="T19" ca="1">INDIRECT("'Python Impact of Optimization'!R" &amp; 6 + (ROW(A15)-1)*4)</f>
        <v>8222.6241000000009</v>
      </c>
      <c r="U19" s="64" cm="1">
        <f t="array" aca="1" ref="U19" ca="1">INDIRECT("'Python Impact of Optimization'!V" &amp; 5 + (ROW(A15)-1)*4)*100</f>
        <v>-3.2893122571316171</v>
      </c>
      <c r="V19" s="64">
        <v>2.284622762181321E-7</v>
      </c>
      <c r="W19" s="64" t="s">
        <v>180</v>
      </c>
      <c r="X19" s="64">
        <f t="shared" ca="1" si="0"/>
        <v>-8.2406325669404712</v>
      </c>
    </row>
    <row r="20" spans="2:24" x14ac:dyDescent="0.25">
      <c r="B20" s="66" t="s">
        <v>55</v>
      </c>
      <c r="C20" s="64" cm="1">
        <f t="array" aca="1" ref="C20" ca="1">INDIRECT("'Python Impact of Optimization'!F" &amp; 3 + (ROW(A16)-1)*4)</f>
        <v>202.86500000000001</v>
      </c>
      <c r="D20" s="64" cm="1">
        <f t="array" aca="1" ref="D20" ca="1">INDIRECT("'Python Impact of Optimization'!F" &amp; 4 + (ROW(A16)-1)*4)</f>
        <v>190.95599999999999</v>
      </c>
      <c r="E20" s="64" cm="1">
        <f t="array" aca="1" ref="E20" ca="1">INDIRECT("'Python Impact of Optimization'!S" &amp; 3 + (ROW(A16)-1)*4)*100</f>
        <v>-5.870406427920055</v>
      </c>
      <c r="F20" s="67">
        <v>7.7617346896055191E-11</v>
      </c>
      <c r="G20" s="4" t="s">
        <v>180</v>
      </c>
      <c r="H20" s="64" cm="1">
        <f t="array" aca="1" ref="H20" ca="1">INDIRECT("'Python Impact of Optimization'!R" &amp; 3 + (ROW(A16)-1)*4)</f>
        <v>14007.82825</v>
      </c>
      <c r="I20" s="64" cm="1">
        <f t="array" aca="1" ref="I20" ca="1">INDIRECT("'Python Impact of Optimization'!R" &amp; 4 + (ROW(A16)-1)*4)</f>
        <v>13620.89148</v>
      </c>
      <c r="J20" s="64" cm="1">
        <f t="array" aca="1" ref="J20" ca="1">INDIRECT("'Python Impact of Optimization'!V" &amp; 3 + (ROW(A16)-1)*4)*100</f>
        <v>-2.7622895076544092</v>
      </c>
      <c r="K20" s="64">
        <v>3.9395376550575888E-3</v>
      </c>
      <c r="L20" s="64" t="s">
        <v>209</v>
      </c>
      <c r="M20" s="68" t="s">
        <v>55</v>
      </c>
      <c r="N20" s="64" cm="1">
        <f t="array" aca="1" ref="N20" ca="1">INDIRECT("'Python Impact of Optimization'!F" &amp; 5 + (ROW(A16)-1)*4)</f>
        <v>242.57599999999999</v>
      </c>
      <c r="O20" s="64" cm="1">
        <f t="array" aca="1" ref="O20" ca="1">INDIRECT("'Python Impact of Optimization'!F" &amp; 6 + (ROW(A16)-1)*4)</f>
        <v>226.89599999999999</v>
      </c>
      <c r="P20" s="64" cm="1">
        <f t="array" aca="1" ref="P20" ca="1">INDIRECT("'Python Impact of Optimization'!S" &amp; 5 + (ROW(A16)-1)*4)*100</f>
        <v>-6.4639535650682696</v>
      </c>
      <c r="Q20" s="64">
        <v>2.8719490663203402E-11</v>
      </c>
      <c r="R20" s="64" t="s">
        <v>180</v>
      </c>
      <c r="S20" s="64" cm="1">
        <f t="array" aca="1" ref="S20" ca="1">INDIRECT("'Python Impact of Optimization'!R" &amp; 5 + (ROW(A16)-1)*4)</f>
        <v>17312.649119999998</v>
      </c>
      <c r="T20" s="64" cm="1">
        <f t="array" aca="1" ref="T20" ca="1">INDIRECT("'Python Impact of Optimization'!R" &amp; 6 + (ROW(A16)-1)*4)</f>
        <v>16606.518240000001</v>
      </c>
      <c r="U20" s="64" cm="1">
        <f t="array" aca="1" ref="U20" ca="1">INDIRECT("'Python Impact of Optimization'!V" &amp; 5 + (ROW(A16)-1)*4)*100</f>
        <v>-4.0786991933213574</v>
      </c>
      <c r="V20" s="64">
        <v>2.1283923628122951E-9</v>
      </c>
      <c r="W20" s="64" t="s">
        <v>180</v>
      </c>
      <c r="X20" s="64">
        <f t="shared" ca="1" si="0"/>
        <v>-3.4204943504878833</v>
      </c>
    </row>
    <row r="21" spans="2:24" x14ac:dyDescent="0.25">
      <c r="B21" s="66" t="s">
        <v>57</v>
      </c>
      <c r="C21" s="64" cm="1">
        <f t="array" aca="1" ref="C21" ca="1">INDIRECT("'Python Impact of Optimization'!F" &amp; 3 + (ROW(A17)-1)*4)</f>
        <v>5.6539999999999999</v>
      </c>
      <c r="D21" s="64" cm="1">
        <f t="array" aca="1" ref="D21" ca="1">INDIRECT("'Python Impact of Optimization'!F" &amp; 4 + (ROW(A17)-1)*4)</f>
        <v>2.9849999999999999</v>
      </c>
      <c r="E21" s="64" cm="1">
        <f t="array" aca="1" ref="E21" ca="1">INDIRECT("'Python Impact of Optimization'!S" &amp; 3 + (ROW(A17)-1)*4)*100</f>
        <v>-47.205518217191376</v>
      </c>
      <c r="F21" s="67">
        <v>2.8719490663203402E-11</v>
      </c>
      <c r="G21" s="4" t="s">
        <v>180</v>
      </c>
      <c r="H21" s="64" cm="1">
        <f t="array" aca="1" ref="H21" ca="1">INDIRECT("'Python Impact of Optimization'!R" &amp; 3 + (ROW(A17)-1)*4)</f>
        <v>345.57247999999998</v>
      </c>
      <c r="I21" s="64" cm="1">
        <f t="array" aca="1" ref="I21" ca="1">INDIRECT("'Python Impact of Optimization'!R" &amp; 4 + (ROW(A17)-1)*4)</f>
        <v>180.44325000000001</v>
      </c>
      <c r="J21" s="64" cm="1">
        <f t="array" aca="1" ref="J21" ca="1">INDIRECT("'Python Impact of Optimization'!V" &amp; 3 + (ROW(A17)-1)*4)*100</f>
        <v>-47.784253537781709</v>
      </c>
      <c r="K21" s="64">
        <v>2.8719490663203402E-11</v>
      </c>
      <c r="L21" s="64" t="s">
        <v>180</v>
      </c>
      <c r="M21" s="68" t="s">
        <v>57</v>
      </c>
      <c r="N21" s="64" cm="1">
        <f t="array" aca="1" ref="N21" ca="1">INDIRECT("'Python Impact of Optimization'!F" &amp; 5 + (ROW(A17)-1)*4)</f>
        <v>5.8730000000000002</v>
      </c>
      <c r="O21" s="64" cm="1">
        <f t="array" aca="1" ref="O21" ca="1">INDIRECT("'Python Impact of Optimization'!F" &amp; 6 + (ROW(A17)-1)*4)</f>
        <v>3.4169999999999998</v>
      </c>
      <c r="P21" s="64" cm="1">
        <f t="array" aca="1" ref="P21" ca="1">INDIRECT("'Python Impact of Optimization'!S" &amp; 5 + (ROW(A17)-1)*4)*100</f>
        <v>-41.818491401328117</v>
      </c>
      <c r="Q21" s="64">
        <v>2.8719490663203402E-11</v>
      </c>
      <c r="R21" s="64" t="s">
        <v>180</v>
      </c>
      <c r="S21" s="64" cm="1">
        <f t="array" aca="1" ref="S21" ca="1">INDIRECT("'Python Impact of Optimization'!R" &amp; 5 + (ROW(A17)-1)*4)</f>
        <v>366.71012000000002</v>
      </c>
      <c r="T21" s="64" cm="1">
        <f t="array" aca="1" ref="T21" ca="1">INDIRECT("'Python Impact of Optimization'!R" &amp; 6 + (ROW(A17)-1)*4)</f>
        <v>212.60574</v>
      </c>
      <c r="U21" s="64" cm="1">
        <f t="array" aca="1" ref="U21" ca="1">INDIRECT("'Python Impact of Optimization'!V" &amp; 5 + (ROW(A17)-1)*4)*100</f>
        <v>-42.023487107473336</v>
      </c>
      <c r="V21" s="64">
        <v>2.8719490663203402E-11</v>
      </c>
      <c r="W21" s="64" t="s">
        <v>180</v>
      </c>
      <c r="X21" s="64">
        <f t="shared" ca="1" si="0"/>
        <v>-44.903870322627526</v>
      </c>
    </row>
    <row r="22" spans="2:24" x14ac:dyDescent="0.25">
      <c r="B22" s="66" t="s">
        <v>61</v>
      </c>
      <c r="C22" s="64" cm="1">
        <f t="array" aca="1" ref="C22" ca="1">INDIRECT("'Python Impact of Optimization'!F" &amp; 3 + (ROW(A18)-1)*4)</f>
        <v>154.828</v>
      </c>
      <c r="D22" s="64" cm="1">
        <f t="array" aca="1" ref="D22" ca="1">INDIRECT("'Python Impact of Optimization'!F" &amp; 4 + (ROW(A18)-1)*4)</f>
        <v>396.13</v>
      </c>
      <c r="E22" s="64" cm="1">
        <f t="array" aca="1" ref="E22" ca="1">INDIRECT("'Python Impact of Optimization'!S" &amp; 3 + (ROW(A18)-1)*4)*100</f>
        <v>155.85165473945278</v>
      </c>
      <c r="F22" s="67">
        <v>2.8719490663203402E-11</v>
      </c>
      <c r="G22" s="4" t="s">
        <v>180</v>
      </c>
      <c r="H22" s="64" cm="1">
        <f t="array" aca="1" ref="H22" ca="1">INDIRECT("'Python Impact of Optimization'!R" &amp; 3 + (ROW(A18)-1)*4)</f>
        <v>10282.127479999999</v>
      </c>
      <c r="I22" s="64" cm="1">
        <f t="array" aca="1" ref="I22" ca="1">INDIRECT("'Python Impact of Optimization'!R" &amp; 4 + (ROW(A18)-1)*4)</f>
        <v>28564.934300000001</v>
      </c>
      <c r="J22" s="64" cm="1">
        <f t="array" aca="1" ref="J22" ca="1">INDIRECT("'Python Impact of Optimization'!V" &amp; 3 + (ROW(A18)-1)*4)*100</f>
        <v>177.81151668817864</v>
      </c>
      <c r="K22" s="64">
        <v>2.8719490663203402E-11</v>
      </c>
      <c r="L22" s="64" t="s">
        <v>180</v>
      </c>
      <c r="M22" s="68" t="s">
        <v>61</v>
      </c>
      <c r="N22" s="64" cm="1">
        <f t="array" aca="1" ref="N22" ca="1">INDIRECT("'Python Impact of Optimization'!F" &amp; 5 + (ROW(A18)-1)*4)</f>
        <v>309.08199999999999</v>
      </c>
      <c r="O22" s="64" cm="1">
        <f t="array" aca="1" ref="O22" ca="1">INDIRECT("'Python Impact of Optimization'!F" &amp; 6 + (ROW(A18)-1)*4)</f>
        <v>425.53</v>
      </c>
      <c r="P22" s="64" cm="1">
        <f t="array" aca="1" ref="P22" ca="1">INDIRECT("'Python Impact of Optimization'!S" &amp; 5 + (ROW(A18)-1)*4)*100</f>
        <v>37.675438880297129</v>
      </c>
      <c r="Q22" s="64">
        <v>2.8719490663203402E-11</v>
      </c>
      <c r="R22" s="64" t="s">
        <v>180</v>
      </c>
      <c r="S22" s="64" cm="1">
        <f t="array" aca="1" ref="S22" ca="1">INDIRECT("'Python Impact of Optimization'!R" &amp; 5 + (ROW(A18)-1)*4)</f>
        <v>22337.35614</v>
      </c>
      <c r="T22" s="64" cm="1">
        <f t="array" aca="1" ref="T22" ca="1">INDIRECT("'Python Impact of Optimization'!R" &amp; 6 + (ROW(A18)-1)*4)</f>
        <v>30884.967400000001</v>
      </c>
      <c r="U22" s="64" cm="1">
        <f t="array" aca="1" ref="U22" ca="1">INDIRECT("'Python Impact of Optimization'!V" &amp; 5 + (ROW(A18)-1)*4)*100</f>
        <v>38.265993551016557</v>
      </c>
      <c r="V22" s="64">
        <v>2.8719490663203402E-11</v>
      </c>
      <c r="W22" s="64" t="s">
        <v>180</v>
      </c>
      <c r="X22" s="64">
        <f t="shared" ca="1" si="0"/>
        <v>108.0387551195976</v>
      </c>
    </row>
    <row r="23" spans="2:24" x14ac:dyDescent="0.25">
      <c r="B23" s="66" t="s">
        <v>63</v>
      </c>
      <c r="C23" s="64" cm="1">
        <f t="array" aca="1" ref="C23" ca="1">INDIRECT("'Python Impact of Optimization'!F" &amp; 3 + (ROW(A19)-1)*4)</f>
        <v>11.939</v>
      </c>
      <c r="D23" s="64" cm="1">
        <f t="array" aca="1" ref="D23" ca="1">INDIRECT("'Python Impact of Optimization'!F" &amp; 4 + (ROW(A19)-1)*4)</f>
        <v>9.9870000000000001</v>
      </c>
      <c r="E23" s="64" cm="1">
        <f t="array" aca="1" ref="E23" ca="1">INDIRECT("'Python Impact of Optimization'!S" &amp; 3 + (ROW(A19)-1)*4)*100</f>
        <v>-16.34977803836167</v>
      </c>
      <c r="F23" s="67">
        <v>2.8719490663203402E-11</v>
      </c>
      <c r="G23" s="4" t="s">
        <v>180</v>
      </c>
      <c r="H23" s="64" cm="1">
        <f t="array" aca="1" ref="H23" ca="1">INDIRECT("'Python Impact of Optimization'!R" &amp; 3 + (ROW(A19)-1)*4)</f>
        <v>722.66767000000004</v>
      </c>
      <c r="I23" s="64" cm="1">
        <f t="array" aca="1" ref="I23" ca="1">INDIRECT("'Python Impact of Optimization'!R" &amp; 4 + (ROW(A19)-1)*4)</f>
        <v>631.37814000000003</v>
      </c>
      <c r="J23" s="64" cm="1">
        <f t="array" aca="1" ref="J23" ca="1">INDIRECT("'Python Impact of Optimization'!V" &amp; 3 + (ROW(A19)-1)*4)*100</f>
        <v>-12.63229749851685</v>
      </c>
      <c r="K23" s="64">
        <v>3.5097576968084933E-11</v>
      </c>
      <c r="L23" s="64" t="s">
        <v>180</v>
      </c>
      <c r="M23" s="68" t="s">
        <v>63</v>
      </c>
      <c r="N23" s="64" cm="1">
        <f t="array" aca="1" ref="N23" ca="1">INDIRECT("'Python Impact of Optimization'!F" &amp; 5 + (ROW(A19)-1)*4)</f>
        <v>13.581</v>
      </c>
      <c r="O23" s="64" cm="1">
        <f t="array" aca="1" ref="O23" ca="1">INDIRECT("'Python Impact of Optimization'!F" &amp; 6 + (ROW(A19)-1)*4)</f>
        <v>12.513</v>
      </c>
      <c r="P23" s="64" cm="1">
        <f t="array" aca="1" ref="P23" ca="1">INDIRECT("'Python Impact of Optimization'!S" &amp; 5 + (ROW(A19)-1)*4)*100</f>
        <v>-7.8639275458360913</v>
      </c>
      <c r="Q23" s="64">
        <v>5.2283160265265508E-11</v>
      </c>
      <c r="R23" s="64" t="s">
        <v>180</v>
      </c>
      <c r="S23" s="64" cm="1">
        <f t="array" aca="1" ref="S23" ca="1">INDIRECT("'Python Impact of Optimization'!R" &amp; 5 + (ROW(A19)-1)*4)</f>
        <v>843.51590999999996</v>
      </c>
      <c r="T23" s="64" cm="1">
        <f t="array" aca="1" ref="T23" ca="1">INDIRECT("'Python Impact of Optimization'!R" &amp; 6 + (ROW(A19)-1)*4)</f>
        <v>807.33875999999998</v>
      </c>
      <c r="U23" s="64" cm="1">
        <f t="array" aca="1" ref="U23" ca="1">INDIRECT("'Python Impact of Optimization'!V" &amp; 5 + (ROW(A19)-1)*4)*100</f>
        <v>-4.2888521213547692</v>
      </c>
      <c r="V23" s="64">
        <v>1.0727483661106821E-4</v>
      </c>
      <c r="W23" s="64" t="s">
        <v>180</v>
      </c>
      <c r="X23" s="64">
        <f t="shared" ca="1" si="0"/>
        <v>-8.4605748099358102</v>
      </c>
    </row>
    <row r="24" spans="2:24" x14ac:dyDescent="0.25">
      <c r="B24" s="66" t="s">
        <v>65</v>
      </c>
      <c r="C24" s="64" cm="1">
        <f t="array" aca="1" ref="C24" ca="1">INDIRECT("'Python Impact of Optimization'!F" &amp; 3 + (ROW(A20)-1)*4)</f>
        <v>10.699</v>
      </c>
      <c r="D24" s="64" cm="1">
        <f t="array" aca="1" ref="D24" ca="1">INDIRECT("'Python Impact of Optimization'!F" &amp; 4 + (ROW(A20)-1)*4)</f>
        <v>5.7809999999999997</v>
      </c>
      <c r="E24" s="64" cm="1">
        <f t="array" aca="1" ref="E24" ca="1">INDIRECT("'Python Impact of Optimization'!S" &amp; 3 + (ROW(A20)-1)*4)*100</f>
        <v>-45.966912795588378</v>
      </c>
      <c r="F24" s="67">
        <v>2.8719490663203402E-11</v>
      </c>
      <c r="G24" s="4" t="s">
        <v>180</v>
      </c>
      <c r="H24" s="64" cm="1">
        <f t="array" aca="1" ref="H24" ca="1">INDIRECT("'Python Impact of Optimization'!R" &amp; 3 + (ROW(A20)-1)*4)</f>
        <v>699.92858000000001</v>
      </c>
      <c r="I24" s="64" cm="1">
        <f t="array" aca="1" ref="I24" ca="1">INDIRECT("'Python Impact of Optimization'!R" &amp; 4 + (ROW(A20)-1)*4)</f>
        <v>366.5154</v>
      </c>
      <c r="J24" s="64" cm="1">
        <f t="array" aca="1" ref="J24" ca="1">INDIRECT("'Python Impact of Optimization'!V" &amp; 3 + (ROW(A20)-1)*4)*100</f>
        <v>-47.635314448797047</v>
      </c>
      <c r="K24" s="64">
        <v>2.8719490663203402E-11</v>
      </c>
      <c r="L24" s="64" t="s">
        <v>180</v>
      </c>
      <c r="M24" s="68" t="s">
        <v>65</v>
      </c>
      <c r="N24" s="64" cm="1">
        <f t="array" aca="1" ref="N24" ca="1">INDIRECT("'Python Impact of Optimization'!F" &amp; 5 + (ROW(A20)-1)*4)</f>
        <v>10.252000000000001</v>
      </c>
      <c r="O24" s="64" cm="1">
        <f t="array" aca="1" ref="O24" ca="1">INDIRECT("'Python Impact of Optimization'!F" &amp; 6 + (ROW(A20)-1)*4)</f>
        <v>5.8170000000000002</v>
      </c>
      <c r="P24" s="64" cm="1">
        <f t="array" aca="1" ref="P24" ca="1">INDIRECT("'Python Impact of Optimization'!S" &amp; 5 + (ROW(A20)-1)*4)*100</f>
        <v>-43.259851736246588</v>
      </c>
      <c r="Q24" s="64">
        <v>2.8719490663203402E-11</v>
      </c>
      <c r="R24" s="64" t="s">
        <v>180</v>
      </c>
      <c r="S24" s="64" cm="1">
        <f t="array" aca="1" ref="S24" ca="1">INDIRECT("'Python Impact of Optimization'!R" &amp; 5 + (ROW(A20)-1)*4)</f>
        <v>683.70587999999998</v>
      </c>
      <c r="T24" s="64" cm="1">
        <f t="array" aca="1" ref="T24" ca="1">INDIRECT("'Python Impact of Optimization'!R" &amp; 6 + (ROW(A20)-1)*4)</f>
        <v>357.28014000000002</v>
      </c>
      <c r="U24" s="64" cm="1">
        <f t="array" aca="1" ref="U24" ca="1">INDIRECT("'Python Impact of Optimization'!V" &amp; 5 + (ROW(A20)-1)*4)*100</f>
        <v>-47.743591147702283</v>
      </c>
      <c r="V24" s="64">
        <v>2.8719490663203402E-11</v>
      </c>
      <c r="W24" s="64" t="s">
        <v>180</v>
      </c>
      <c r="X24" s="64">
        <f t="shared" ca="1" si="0"/>
        <v>-47.689452798249661</v>
      </c>
    </row>
    <row r="25" spans="2:24" x14ac:dyDescent="0.25">
      <c r="B25" s="66" t="s">
        <v>71</v>
      </c>
      <c r="C25" s="64" cm="1">
        <f t="array" aca="1" ref="C25" ca="1">INDIRECT("'Python Impact of Optimization'!F" &amp; 3 + (ROW(A21)-1)*4)</f>
        <v>70.037999999999997</v>
      </c>
      <c r="D25" s="64" cm="1">
        <f t="array" aca="1" ref="D25" ca="1">INDIRECT("'Python Impact of Optimization'!F" &amp; 4 + (ROW(A21)-1)*4)</f>
        <v>50.41</v>
      </c>
      <c r="E25" s="64" cm="1">
        <f t="array" aca="1" ref="E25" ca="1">INDIRECT("'Python Impact of Optimization'!S" &amp; 3 + (ROW(A21)-1)*4)*100</f>
        <v>-28.024786544447299</v>
      </c>
      <c r="F25" s="67">
        <v>2.8719490663203402E-11</v>
      </c>
      <c r="G25" s="4" t="s">
        <v>180</v>
      </c>
      <c r="H25" s="64" cm="1">
        <f t="array" aca="1" ref="H25" ca="1">INDIRECT("'Python Impact of Optimization'!R" &amp; 3 + (ROW(A21)-1)*4)</f>
        <v>4483.13238</v>
      </c>
      <c r="I25" s="64" cm="1">
        <f t="array" aca="1" ref="I25" ca="1">INDIRECT("'Python Impact of Optimization'!R" &amp; 4 + (ROW(A21)-1)*4)</f>
        <v>3243.883499999999</v>
      </c>
      <c r="J25" s="64" cm="1">
        <f t="array" aca="1" ref="J25" ca="1">INDIRECT("'Python Impact of Optimization'!V" &amp; 3 + (ROW(A21)-1)*4)*100</f>
        <v>-27.642477958681223</v>
      </c>
      <c r="K25" s="64">
        <v>2.8719490663203402E-11</v>
      </c>
      <c r="L25" s="64" t="s">
        <v>180</v>
      </c>
      <c r="M25" s="68" t="s">
        <v>71</v>
      </c>
      <c r="N25" s="64" cm="1">
        <f t="array" aca="1" ref="N25" ca="1">INDIRECT("'Python Impact of Optimization'!F" &amp; 5 + (ROW(A21)-1)*4)</f>
        <v>61.616999999999997</v>
      </c>
      <c r="O25" s="64" cm="1">
        <f t="array" aca="1" ref="O25" ca="1">INDIRECT("'Python Impact of Optimization'!F" &amp; 6 + (ROW(A21)-1)*4)</f>
        <v>47.228999999999999</v>
      </c>
      <c r="P25" s="64" cm="1">
        <f t="array" aca="1" ref="P25" ca="1">INDIRECT("'Python Impact of Optimization'!S" &amp; 5 + (ROW(A21)-1)*4)*100</f>
        <v>-23.350698670821362</v>
      </c>
      <c r="Q25" s="64">
        <v>2.8719490663203402E-11</v>
      </c>
      <c r="R25" s="64" t="s">
        <v>180</v>
      </c>
      <c r="S25" s="64" cm="1">
        <f t="array" aca="1" ref="S25" ca="1">INDIRECT("'Python Impact of Optimization'!R" &amp; 5 + (ROW(A21)-1)*4)</f>
        <v>3935.477789999999</v>
      </c>
      <c r="T25" s="64" cm="1">
        <f t="array" aca="1" ref="T25" ca="1">INDIRECT("'Python Impact of Optimization'!R" &amp; 6 + (ROW(A21)-1)*4)</f>
        <v>2955.5908199999999</v>
      </c>
      <c r="U25" s="64" cm="1">
        <f t="array" aca="1" ref="U25" ca="1">INDIRECT("'Python Impact of Optimization'!V" &amp; 5 + (ROW(A21)-1)*4)*100</f>
        <v>-24.898805743228429</v>
      </c>
      <c r="V25" s="64">
        <v>2.8719490663203402E-11</v>
      </c>
      <c r="W25" s="64" t="s">
        <v>180</v>
      </c>
      <c r="X25" s="64">
        <f t="shared" ca="1" si="0"/>
        <v>-26.270641850954824</v>
      </c>
    </row>
    <row r="26" spans="2:24" x14ac:dyDescent="0.25">
      <c r="B26" s="66" t="s">
        <v>79</v>
      </c>
      <c r="C26" s="64" cm="1">
        <f t="array" aca="1" ref="C26" ca="1">INDIRECT("'Python Impact of Optimization'!F" &amp; 3 + (ROW(A22)-1)*4)</f>
        <v>204.48599999999999</v>
      </c>
      <c r="D26" s="64" cm="1">
        <f t="array" aca="1" ref="D26" ca="1">INDIRECT("'Python Impact of Optimization'!F" &amp; 4 + (ROW(A22)-1)*4)</f>
        <v>156.761</v>
      </c>
      <c r="E26" s="64" cm="1">
        <f t="array" aca="1" ref="E26" ca="1">INDIRECT("'Python Impact of Optimization'!S" &amp; 3 + (ROW(A22)-1)*4)*100</f>
        <v>-23.339006093326681</v>
      </c>
      <c r="F26" s="67">
        <v>2.8719490663203402E-11</v>
      </c>
      <c r="G26" s="4" t="s">
        <v>180</v>
      </c>
      <c r="H26" s="64" cm="1">
        <f t="array" aca="1" ref="H26" ca="1">INDIRECT("'Python Impact of Optimization'!R" &amp; 3 + (ROW(A22)-1)*4)</f>
        <v>14013.425579999999</v>
      </c>
      <c r="I26" s="64" cm="1">
        <f t="array" aca="1" ref="I26" ca="1">INDIRECT("'Python Impact of Optimization'!R" &amp; 4 + (ROW(A22)-1)*4)</f>
        <v>10796.130069999999</v>
      </c>
      <c r="J26" s="64" cm="1">
        <f t="array" aca="1" ref="J26" ca="1">INDIRECT("'Python Impact of Optimization'!V" &amp; 3 + (ROW(A22)-1)*4)*100</f>
        <v>-22.958665542790147</v>
      </c>
      <c r="K26" s="64">
        <v>2.8719490663203402E-11</v>
      </c>
      <c r="L26" s="64" t="s">
        <v>180</v>
      </c>
      <c r="M26" s="68" t="s">
        <v>79</v>
      </c>
      <c r="N26" s="64" cm="1">
        <f t="array" aca="1" ref="N26" ca="1">INDIRECT("'Python Impact of Optimization'!F" &amp; 5 + (ROW(A22)-1)*4)</f>
        <v>130.517</v>
      </c>
      <c r="O26" s="64" cm="1">
        <f t="array" aca="1" ref="O26" ca="1">INDIRECT("'Python Impact of Optimization'!F" &amp; 6 + (ROW(A22)-1)*4)</f>
        <v>153.39099999999999</v>
      </c>
      <c r="P26" s="64" cm="1">
        <f t="array" aca="1" ref="P26" ca="1">INDIRECT("'Python Impact of Optimization'!S" &amp; 5 + (ROW(A22)-1)*4)*100</f>
        <v>17.525686309063186</v>
      </c>
      <c r="Q26" s="64">
        <v>2.8719490663203402E-11</v>
      </c>
      <c r="R26" s="64" t="s">
        <v>180</v>
      </c>
      <c r="S26" s="64" cm="1">
        <f t="array" aca="1" ref="S26" ca="1">INDIRECT("'Python Impact of Optimization'!R" &amp; 5 + (ROW(A22)-1)*4)</f>
        <v>8970.4334099999996</v>
      </c>
      <c r="T26" s="64" cm="1">
        <f t="array" aca="1" ref="T26" ca="1">INDIRECT("'Python Impact of Optimization'!R" &amp; 6 + (ROW(A22)-1)*4)</f>
        <v>10688.284879999999</v>
      </c>
      <c r="U26" s="64" cm="1">
        <f t="array" aca="1" ref="U26" ca="1">INDIRECT("'Python Impact of Optimization'!V" &amp; 5 + (ROW(A22)-1)*4)*100</f>
        <v>19.15015018209694</v>
      </c>
      <c r="V26" s="64">
        <v>2.8719490663203402E-11</v>
      </c>
      <c r="W26" s="64" t="s">
        <v>180</v>
      </c>
      <c r="X26" s="64">
        <f t="shared" ca="1" si="0"/>
        <v>-1.9042576803466034</v>
      </c>
    </row>
    <row r="27" spans="2:24" x14ac:dyDescent="0.25">
      <c r="B27" s="66" t="s">
        <v>87</v>
      </c>
      <c r="C27" s="64" cm="1">
        <f t="array" aca="1" ref="C27" ca="1">INDIRECT("'Python Impact of Optimization'!F" &amp; 3 + (ROW(A23)-1)*4)</f>
        <v>6.2480000000000002</v>
      </c>
      <c r="D27" s="64" cm="1">
        <f t="array" aca="1" ref="D27" ca="1">INDIRECT("'Python Impact of Optimization'!F" &amp; 4 + (ROW(A23)-1)*4)</f>
        <v>2.4609999999999999</v>
      </c>
      <c r="E27" s="64" cm="1">
        <f t="array" aca="1" ref="E27" ca="1">INDIRECT("'Python Impact of Optimization'!S" &amp; 3 + (ROW(A23)-1)*4)*100</f>
        <v>-60.611395646606915</v>
      </c>
      <c r="F27" s="67">
        <v>2.8719490663203402E-11</v>
      </c>
      <c r="G27" s="4" t="s">
        <v>180</v>
      </c>
      <c r="H27" s="64" cm="1">
        <f t="array" aca="1" ref="H27" ca="1">INDIRECT("'Python Impact of Optimization'!R" &amp; 3 + (ROW(A23)-1)*4)</f>
        <v>407.43207999999998</v>
      </c>
      <c r="I27" s="64" cm="1">
        <f t="array" aca="1" ref="I27" ca="1">INDIRECT("'Python Impact of Optimization'!R" &amp; 4 + (ROW(A23)-1)*4)</f>
        <v>149.13659999999999</v>
      </c>
      <c r="J27" s="64" cm="1">
        <f t="array" aca="1" ref="J27" ca="1">INDIRECT("'Python Impact of Optimization'!V" &amp; 3 + (ROW(A23)-1)*4)*100</f>
        <v>-63.395960377003199</v>
      </c>
      <c r="K27" s="64">
        <v>2.8719490663203402E-11</v>
      </c>
      <c r="L27" s="64" t="s">
        <v>180</v>
      </c>
      <c r="M27" s="68" t="s">
        <v>87</v>
      </c>
      <c r="N27" s="64" cm="1">
        <f t="array" aca="1" ref="N27" ca="1">INDIRECT("'Python Impact of Optimization'!F" &amp; 5 + (ROW(A23)-1)*4)</f>
        <v>5.9779999999999998</v>
      </c>
      <c r="O27" s="64" cm="1">
        <f t="array" aca="1" ref="O27" ca="1">INDIRECT("'Python Impact of Optimization'!F" &amp; 6 + (ROW(A23)-1)*4)</f>
        <v>2.383</v>
      </c>
      <c r="P27" s="64" cm="1">
        <f t="array" aca="1" ref="P27" ca="1">INDIRECT("'Python Impact of Optimization'!S" &amp; 5 + (ROW(A23)-1)*4)*100</f>
        <v>-60.137169621947137</v>
      </c>
      <c r="Q27" s="64">
        <v>2.8719490663203402E-11</v>
      </c>
      <c r="R27" s="64" t="s">
        <v>180</v>
      </c>
      <c r="S27" s="64" cm="1">
        <f t="array" aca="1" ref="S27" ca="1">INDIRECT("'Python Impact of Optimization'!R" &amp; 5 + (ROW(A23)-1)*4)</f>
        <v>402.85741999999999</v>
      </c>
      <c r="T27" s="64" cm="1">
        <f t="array" aca="1" ref="T27" ca="1">INDIRECT("'Python Impact of Optimization'!R" &amp; 6 + (ROW(A23)-1)*4)</f>
        <v>144.17150000000001</v>
      </c>
      <c r="U27" s="64" cm="1">
        <f t="array" aca="1" ref="U27" ca="1">INDIRECT("'Python Impact of Optimization'!V" &amp; 5 + (ROW(A23)-1)*4)*100</f>
        <v>-64.212772846532161</v>
      </c>
      <c r="V27" s="64">
        <v>2.8719490663203402E-11</v>
      </c>
      <c r="W27" s="64" t="s">
        <v>180</v>
      </c>
      <c r="X27" s="64">
        <f t="shared" ca="1" si="0"/>
        <v>-63.804366611767676</v>
      </c>
    </row>
    <row r="28" spans="2:24" x14ac:dyDescent="0.25">
      <c r="B28" s="66" t="s">
        <v>91</v>
      </c>
      <c r="C28" s="64" cm="1">
        <f t="array" aca="1" ref="C28" ca="1">INDIRECT("'Python Impact of Optimization'!F" &amp; 3 + (ROW(A24)-1)*4)</f>
        <v>55.194000000000003</v>
      </c>
      <c r="D28" s="64" cm="1">
        <f t="array" aca="1" ref="D28" ca="1">INDIRECT("'Python Impact of Optimization'!F" &amp; 4 + (ROW(A24)-1)*4)</f>
        <v>47.99</v>
      </c>
      <c r="E28" s="64" cm="1">
        <f t="array" aca="1" ref="E28" ca="1">INDIRECT("'Python Impact of Optimization'!S" &amp; 3 + (ROW(A24)-1)*4)*100</f>
        <v>-13.052143348914738</v>
      </c>
      <c r="F28" s="67">
        <v>2.8719490663203402E-11</v>
      </c>
      <c r="G28" s="4" t="s">
        <v>180</v>
      </c>
      <c r="H28" s="64" cm="1">
        <f t="array" aca="1" ref="H28" ca="1">INDIRECT("'Python Impact of Optimization'!R" &amp; 3 + (ROW(A24)-1)*4)</f>
        <v>3524.6888399999998</v>
      </c>
      <c r="I28" s="64" cm="1">
        <f t="array" aca="1" ref="I28" ca="1">INDIRECT("'Python Impact of Optimization'!R" &amp; 4 + (ROW(A24)-1)*4)</f>
        <v>3141.4254000000001</v>
      </c>
      <c r="J28" s="64" cm="1">
        <f t="array" aca="1" ref="J28" ca="1">INDIRECT("'Python Impact of Optimization'!V" &amp; 3 + (ROW(A24)-1)*4)*100</f>
        <v>-10.873681547446887</v>
      </c>
      <c r="K28" s="64">
        <v>2.8719490663203402E-11</v>
      </c>
      <c r="L28" s="64" t="s">
        <v>180</v>
      </c>
      <c r="M28" s="68" t="s">
        <v>91</v>
      </c>
      <c r="N28" s="64" cm="1">
        <f t="array" aca="1" ref="N28" ca="1">INDIRECT("'Python Impact of Optimization'!F" &amp; 5 + (ROW(A24)-1)*4)</f>
        <v>54.970999999999997</v>
      </c>
      <c r="O28" s="64" cm="1">
        <f t="array" aca="1" ref="O28" ca="1">INDIRECT("'Python Impact of Optimization'!F" &amp; 6 + (ROW(A24)-1)*4)</f>
        <v>52.593000000000004</v>
      </c>
      <c r="P28" s="64" cm="1">
        <f t="array" aca="1" ref="P28" ca="1">INDIRECT("'Python Impact of Optimization'!S" &amp; 5 + (ROW(A24)-1)*4)*100</f>
        <v>-4.3259173018500539</v>
      </c>
      <c r="Q28" s="64">
        <v>2.8719490663203402E-11</v>
      </c>
      <c r="R28" s="64" t="s">
        <v>180</v>
      </c>
      <c r="S28" s="64" cm="1">
        <f t="array" aca="1" ref="S28" ca="1">INDIRECT("'Python Impact of Optimization'!R" &amp; 5 + (ROW(A24)-1)*4)</f>
        <v>3487.36024</v>
      </c>
      <c r="T28" s="64" cm="1">
        <f t="array" aca="1" ref="T28" ca="1">INDIRECT("'Python Impact of Optimization'!R" &amp; 6 + (ROW(A24)-1)*4)</f>
        <v>3678.3544200000001</v>
      </c>
      <c r="U28" s="64" cm="1">
        <f t="array" aca="1" ref="U28" ca="1">INDIRECT("'Python Impact of Optimization'!V" &amp; 5 + (ROW(A24)-1)*4)*100</f>
        <v>5.4767551057472668</v>
      </c>
      <c r="V28" s="64">
        <v>1.2291147519974046E-9</v>
      </c>
      <c r="W28" s="64" t="s">
        <v>180</v>
      </c>
      <c r="X28" s="64">
        <f t="shared" ca="1" si="0"/>
        <v>-2.6984632208498103</v>
      </c>
    </row>
    <row r="29" spans="2:24" x14ac:dyDescent="0.25">
      <c r="B29" s="66" t="s">
        <v>93</v>
      </c>
      <c r="C29" s="64" cm="1">
        <f t="array" aca="1" ref="C29" ca="1">INDIRECT("'Python Impact of Optimization'!F" &amp; 3 + (ROW(A25)-1)*4)</f>
        <v>7.383</v>
      </c>
      <c r="D29" s="64" cm="1">
        <f t="array" aca="1" ref="D29" ca="1">INDIRECT("'Python Impact of Optimization'!F" &amp; 4 + (ROW(A25)-1)*4)</f>
        <v>6.2130000000000001</v>
      </c>
      <c r="E29" s="64" cm="1">
        <f t="array" aca="1" ref="E29" ca="1">INDIRECT("'Python Impact of Optimization'!S" &amp; 3 + (ROW(A25)-1)*4)*100</f>
        <v>-15.847216578626574</v>
      </c>
      <c r="F29" s="67">
        <v>2.8719490663203402E-11</v>
      </c>
      <c r="G29" s="4" t="s">
        <v>180</v>
      </c>
      <c r="H29" s="64" cm="1">
        <f t="array" aca="1" ref="H29" ca="1">INDIRECT("'Python Impact of Optimization'!R" &amp; 3 + (ROW(A25)-1)*4)</f>
        <v>502265.49</v>
      </c>
      <c r="I29" s="64" cm="1">
        <f t="array" aca="1" ref="I29" ca="1">INDIRECT("'Python Impact of Optimization'!R" &amp; 4 + (ROW(A25)-1)*4)</f>
        <v>428634.87</v>
      </c>
      <c r="J29" s="64" cm="1">
        <f t="array" aca="1" ref="J29" ca="1">INDIRECT("'Python Impact of Optimization'!V" &amp; 3 + (ROW(A25)-1)*4)*100</f>
        <v>-14.659701187115203</v>
      </c>
      <c r="K29" s="64">
        <v>2.8719490663203402E-11</v>
      </c>
      <c r="L29" s="64" t="s">
        <v>180</v>
      </c>
      <c r="M29" s="68" t="s">
        <v>93</v>
      </c>
      <c r="N29" s="64" cm="1">
        <f t="array" aca="1" ref="N29" ca="1">INDIRECT("'Python Impact of Optimization'!F" &amp; 5 + (ROW(A25)-1)*4)</f>
        <v>5.798</v>
      </c>
      <c r="O29" s="64" cm="1">
        <f t="array" aca="1" ref="O29" ca="1">INDIRECT("'Python Impact of Optimization'!F" &amp; 6 + (ROW(A25)-1)*4)</f>
        <v>4.5209999999999999</v>
      </c>
      <c r="P29" s="64" cm="1">
        <f t="array" aca="1" ref="P29" ca="1">INDIRECT("'Python Impact of Optimization'!S" &amp; 5 + (ROW(A25)-1)*4)*100</f>
        <v>-22.024836150396691</v>
      </c>
      <c r="Q29" s="64">
        <v>2.8719490663203402E-11</v>
      </c>
      <c r="R29" s="64" t="s">
        <v>180</v>
      </c>
      <c r="S29" s="64" cm="1">
        <f t="array" aca="1" ref="S29" ca="1">INDIRECT("'Python Impact of Optimization'!R" &amp; 5 + (ROW(A25)-1)*4)</f>
        <v>388118.12</v>
      </c>
      <c r="T29" s="64" cm="1">
        <f t="array" aca="1" ref="T29" ca="1">INDIRECT("'Python Impact of Optimization'!R" &amp; 6 + (ROW(A25)-1)*4)</f>
        <v>308286.99</v>
      </c>
      <c r="U29" s="64" cm="1">
        <f t="array" aca="1" ref="U29" ca="1">INDIRECT("'Python Impact of Optimization'!V" &amp; 5 + (ROW(A25)-1)*4)*100</f>
        <v>-20.568771692494028</v>
      </c>
      <c r="V29" s="64">
        <v>2.8719490663203402E-11</v>
      </c>
      <c r="W29" s="64" t="s">
        <v>180</v>
      </c>
      <c r="X29" s="64">
        <f t="shared" ca="1" si="0"/>
        <v>-17.614236439804614</v>
      </c>
    </row>
    <row r="30" spans="2:24" x14ac:dyDescent="0.25">
      <c r="B30" s="23" t="s">
        <v>95</v>
      </c>
      <c r="C30" s="64" cm="1">
        <f t="array" aca="1" ref="C30" ca="1">INDIRECT("'Python Impact of Optimization'!F" &amp; 3 + (ROW(A26)-1)*4)</f>
        <v>1.972</v>
      </c>
      <c r="D30" s="64" cm="1">
        <f t="array" aca="1" ref="D30" ca="1">INDIRECT("'Python Impact of Optimization'!F" &amp; 4 + (ROW(A26)-1)*4)</f>
        <v>2.4780000000000002</v>
      </c>
      <c r="E30" s="64" cm="1">
        <f t="array" aca="1" ref="E30" ca="1">INDIRECT("'Python Impact of Optimization'!S" &amp; 3 + (ROW(A26)-1)*4)*100</f>
        <v>25.659229208924963</v>
      </c>
      <c r="F30" s="67">
        <v>1.8681677770528154E-5</v>
      </c>
      <c r="G30" s="4" t="s">
        <v>180</v>
      </c>
      <c r="H30" s="64" cm="1">
        <f t="array" aca="1" ref="H30" ca="1">INDIRECT("'Python Impact of Optimization'!R" &amp; 3 + (ROW(A26)-1)*4)</f>
        <v>122264</v>
      </c>
      <c r="I30" s="64" cm="1">
        <f t="array" aca="1" ref="I30" ca="1">INDIRECT("'Python Impact of Optimization'!R" &amp; 4 + (ROW(A26)-1)*4)</f>
        <v>165208.26</v>
      </c>
      <c r="J30" s="64" cm="1">
        <f t="array" aca="1" ref="J30" ca="1">INDIRECT("'Python Impact of Optimization'!V" &amp; 3 + (ROW(A26)-1)*4)*100</f>
        <v>35.124206634823011</v>
      </c>
      <c r="K30" s="64">
        <v>1.4772348705801173E-9</v>
      </c>
      <c r="L30" s="64" t="s">
        <v>180</v>
      </c>
      <c r="M30" s="69" t="s">
        <v>95</v>
      </c>
      <c r="N30" s="64" cm="1">
        <f t="array" aca="1" ref="N30" ca="1">INDIRECT("'Python Impact of Optimization'!F" &amp; 5 + (ROW(A26)-1)*4)</f>
        <v>1.204</v>
      </c>
      <c r="O30" s="64" cm="1">
        <f t="array" aca="1" ref="O30" ca="1">INDIRECT("'Python Impact of Optimization'!F" &amp; 6 + (ROW(A26)-1)*4)</f>
        <v>1.571</v>
      </c>
      <c r="P30" s="64" cm="1">
        <f t="array" aca="1" ref="P30" ca="1">INDIRECT("'Python Impact of Optimization'!S" &amp; 5 + (ROW(A26)-1)*4)*100</f>
        <v>30.481727574750835</v>
      </c>
      <c r="Q30" s="64">
        <v>3.1820789232287091E-4</v>
      </c>
      <c r="R30" s="64" t="s">
        <v>209</v>
      </c>
      <c r="S30" s="64" cm="1">
        <f t="array" aca="1" ref="S30" ca="1">INDIRECT("'Python Impact of Optimization'!R" &amp; 5 + (ROW(A26)-1)*4)</f>
        <v>71048.039999999994</v>
      </c>
      <c r="T30" s="64" cm="1">
        <f t="array" aca="1" ref="T30" ca="1">INDIRECT("'Python Impact of Optimization'!R" &amp; 6 + (ROW(A26)-1)*4)</f>
        <v>100041.28</v>
      </c>
      <c r="U30" s="64" cm="1">
        <f t="array" aca="1" ref="U30" ca="1">INDIRECT("'Python Impact of Optimization'!V" &amp; 5 + (ROW(A26)-1)*4)*100</f>
        <v>40.807937840368304</v>
      </c>
      <c r="V30" s="64">
        <v>4.4943314812639408E-8</v>
      </c>
      <c r="W30" s="64" t="s">
        <v>180</v>
      </c>
      <c r="X30" s="64">
        <f t="shared" ca="1" si="0"/>
        <v>37.966072237595654</v>
      </c>
    </row>
    <row r="31" spans="2:24" x14ac:dyDescent="0.25">
      <c r="X31" s="1"/>
    </row>
    <row r="32" spans="2:24" ht="18.75" x14ac:dyDescent="0.3">
      <c r="B32" s="108" t="s">
        <v>149</v>
      </c>
      <c r="C32" s="109"/>
      <c r="D32" s="109"/>
      <c r="E32" s="109"/>
      <c r="F32" s="109"/>
      <c r="G32" s="109"/>
      <c r="H32" s="109"/>
      <c r="I32" s="109"/>
      <c r="J32" s="109"/>
      <c r="K32" s="109"/>
      <c r="L32" s="109"/>
      <c r="M32" s="109"/>
      <c r="N32" s="109"/>
      <c r="O32" s="110"/>
    </row>
    <row r="33" spans="2:15" ht="15.75" x14ac:dyDescent="0.25">
      <c r="B33" s="105" t="s">
        <v>205</v>
      </c>
      <c r="C33" s="106"/>
      <c r="D33" s="106"/>
      <c r="E33" s="107"/>
      <c r="F33" s="70"/>
      <c r="G33" s="105" t="s">
        <v>205</v>
      </c>
      <c r="H33" s="106"/>
      <c r="I33" s="106"/>
      <c r="J33" s="107"/>
      <c r="K33" s="70"/>
      <c r="L33" s="105" t="s">
        <v>205</v>
      </c>
      <c r="M33" s="106"/>
      <c r="N33" s="106"/>
      <c r="O33" s="107"/>
    </row>
    <row r="34" spans="2:15" x14ac:dyDescent="0.25">
      <c r="B34" s="82" t="s">
        <v>111</v>
      </c>
      <c r="C34" s="83"/>
      <c r="D34" s="83"/>
      <c r="E34" s="84"/>
      <c r="F34" s="71"/>
      <c r="G34" s="82" t="s">
        <v>114</v>
      </c>
      <c r="H34" s="83"/>
      <c r="I34" s="83"/>
      <c r="J34" s="84"/>
      <c r="K34" s="71"/>
      <c r="L34" s="82" t="s">
        <v>215</v>
      </c>
      <c r="M34" s="83"/>
      <c r="N34" s="83"/>
      <c r="O34" s="84"/>
    </row>
    <row r="35" spans="2:15" x14ac:dyDescent="0.25">
      <c r="B35" s="39" t="s">
        <v>149</v>
      </c>
      <c r="C35" s="40" t="s">
        <v>173</v>
      </c>
      <c r="D35" s="40" t="s">
        <v>174</v>
      </c>
      <c r="E35" s="41" t="s">
        <v>175</v>
      </c>
      <c r="F35" s="71"/>
      <c r="G35" s="39" t="s">
        <v>149</v>
      </c>
      <c r="H35" s="40" t="s">
        <v>173</v>
      </c>
      <c r="I35" s="40" t="s">
        <v>174</v>
      </c>
      <c r="J35" s="41" t="s">
        <v>175</v>
      </c>
      <c r="K35" s="71"/>
      <c r="L35" s="39" t="s">
        <v>149</v>
      </c>
      <c r="M35" s="40" t="s">
        <v>173</v>
      </c>
      <c r="N35" s="40" t="s">
        <v>174</v>
      </c>
      <c r="O35" s="41" t="s">
        <v>175</v>
      </c>
    </row>
    <row r="36" spans="2:15" x14ac:dyDescent="0.25">
      <c r="B36" s="5" t="s">
        <v>176</v>
      </c>
      <c r="C36" s="28" cm="1">
        <f t="array" aca="1" ref="C36" ca="1">AVERAGE(_xlfn._xlws.FILTER($J$5:$J$30, ISNUMBER(MATCH($B$5:$B$30, _xlfn.TEXTSPLIT(_xlfn.TEXTJOIN(", ", TRUE, AA6:AA8), ", "), 0))))</f>
        <v>-30.175591382786223</v>
      </c>
      <c r="D36" s="28" cm="1">
        <f t="array" aca="1" ref="D36" ca="1">MIN(_xlfn._xlws.FILTER($J$5:$J$30, ISNUMBER(MATCH($B$5:$B$30, _xlfn.TEXTSPLIT(_xlfn.TEXTJOIN(", ", TRUE, AA6:AA8), ", "), 0))))</f>
        <v>-63.395960377003199</v>
      </c>
      <c r="E36" s="28" cm="1">
        <f t="array" aca="1" ref="E36" ca="1">MAX(_xlfn._xlws.FILTER($J$5:$J$30, ISNUMBER(MATCH($B$5:$B$30, _xlfn.TEXTSPLIT(_xlfn.TEXTJOIN(", ", TRUE, AA6:AA8), ", "), 0))))</f>
        <v>-3.1130183022233662</v>
      </c>
      <c r="F36" s="71"/>
      <c r="G36" s="5" t="s">
        <v>176</v>
      </c>
      <c r="H36" s="28" cm="1">
        <f t="array" aca="1" ref="H36" ca="1">AVERAGE(_xlfn._xlws.FILTER($U$5:$U$30, ISNUMBER(MATCH($M$5:$M$30, _xlfn.TEXTSPLIT(_xlfn.TEXTJOIN(", ", TRUE, AD6:AD8), ", "), 0))))</f>
        <v>-31.57786501125624</v>
      </c>
      <c r="I36" s="28" cm="1">
        <f t="array" aca="1" ref="I36" ca="1">MIN(_xlfn._xlws.FILTER($U$5:$U$30, ISNUMBER(MATCH($M$5:$M$30, _xlfn.TEXTSPLIT(_xlfn.TEXTJOIN(", ", TRUE, AD6:AD8), ", "), 0))))</f>
        <v>-66.18706152440474</v>
      </c>
      <c r="J36" s="28" cm="1">
        <f t="array" aca="1" ref="J36" ca="1">MAX(_xlfn._xlws.FILTER($U$5:$U$30, ISNUMBER(MATCH($M$5:$M$30, _xlfn.TEXTSPLIT(_xlfn.TEXTJOIN(", ", TRUE, AD6:AD8), ", "), 0))))</f>
        <v>-3.2893122571316171</v>
      </c>
      <c r="K36" s="71"/>
      <c r="L36" s="5" t="s">
        <v>176</v>
      </c>
      <c r="M36" s="28">
        <f ca="1">AVERAGE(C36,H36)</f>
        <v>-30.87672819702123</v>
      </c>
      <c r="N36" s="28">
        <f ca="1">MIN(D36,I36)</f>
        <v>-66.18706152440474</v>
      </c>
      <c r="O36" s="28">
        <f ca="1">MAX(E36,J36)</f>
        <v>-3.1130183022233662</v>
      </c>
    </row>
    <row r="37" spans="2:15" x14ac:dyDescent="0.25">
      <c r="B37" s="5" t="s">
        <v>177</v>
      </c>
      <c r="C37" s="28" cm="1">
        <f t="array" aca="1" ref="C37" ca="1">AVERAGE(_xlfn._xlws.FILTER($J$5:$J$30, ISNUMBER(MATCH($B$5:$B$30, _xlfn.TEXTSPLIT(_xlfn.TEXTJOIN(", ", TRUE, AA9), ", "), 0))))</f>
        <v>-2.7622895076544092</v>
      </c>
      <c r="D37" s="28" cm="1">
        <f t="array" aca="1" ref="D37" ca="1">MIN(_xlfn._xlws.FILTER($J$5:$J$30, ISNUMBER(MATCH($B$5:$B$30, _xlfn.TEXTSPLIT(_xlfn.TEXTJOIN(", ", TRUE, AA9), ", "), 0))))</f>
        <v>-2.7622895076544092</v>
      </c>
      <c r="E37" s="28" cm="1">
        <f t="array" aca="1" ref="E37" ca="1">MAX(_xlfn._xlws.FILTER($J$5:$J$30, ISNUMBER(MATCH($B$5:$B$30, _xlfn.TEXTSPLIT(_xlfn.TEXTJOIN(", ", TRUE, AA9), ", "), 0))))</f>
        <v>-2.7622895076544092</v>
      </c>
      <c r="F37" s="71"/>
      <c r="G37" s="5" t="s">
        <v>177</v>
      </c>
      <c r="H37" s="28" cm="1">
        <f t="array" aca="1" ref="H37" ca="1">AVERAGE(_xlfn._xlws.FILTER($U$5:$U$30, ISNUMBER(MATCH($M$5:$M$30, _xlfn.TEXTSPLIT(_xlfn.TEXTJOIN(", ", TRUE, AD9), ", "), 0))))</f>
        <v>-1.7170992265761909</v>
      </c>
      <c r="I37" s="28" cm="1">
        <f t="array" aca="1" ref="I37" ca="1">MIN(_xlfn._xlws.FILTER($U$5:$U$30, ISNUMBER(MATCH($M$5:$M$30, _xlfn.TEXTSPLIT(_xlfn.TEXTJOIN(", ", TRUE, AD9), ", "), 0))))</f>
        <v>-1.7170992265761909</v>
      </c>
      <c r="J37" s="28" cm="1">
        <f t="array" aca="1" ref="J37" ca="1">MAX(_xlfn._xlws.FILTER($U$5:$U$30, ISNUMBER(MATCH($M$5:$M$30, _xlfn.TEXTSPLIT(_xlfn.TEXTJOIN(", ", TRUE, AD9), ", "), 0))))</f>
        <v>-1.7170992265761909</v>
      </c>
      <c r="K37" s="71"/>
      <c r="L37" s="5" t="s">
        <v>177</v>
      </c>
      <c r="M37" s="28">
        <f ca="1">AVERAGE(C37,H37)</f>
        <v>-2.2396943671153</v>
      </c>
      <c r="N37" s="28">
        <f ca="1">MIN(D37,I37)</f>
        <v>-2.7622895076544092</v>
      </c>
      <c r="O37" s="28">
        <f ca="1">MAX(E37,J37)</f>
        <v>-1.7170992265761909</v>
      </c>
    </row>
    <row r="38" spans="2:15" x14ac:dyDescent="0.25">
      <c r="B38" s="5" t="s">
        <v>178</v>
      </c>
      <c r="C38" s="28" cm="1">
        <f t="array" aca="1" ref="C38" ca="1">AVERAGE(_xlfn._xlws.FILTER($J$5:$J$30, ISNUMBER(MATCH($B$5:$B$30, _xlfn.TEXTSPLIT(_xlfn.TEXTJOIN(", ", TRUE, AA10:AA12), ", "), 0))))</f>
        <v>73.43191576243234</v>
      </c>
      <c r="D38" s="28" cm="1">
        <f t="array" aca="1" ref="D38" ca="1">MIN(_xlfn._xlws.FILTER($J$5:$J$30, ISNUMBER(MATCH($B$5:$B$30, _xlfn.TEXTSPLIT(_xlfn.TEXTJOIN(", ", TRUE, AA10:AA12), ", "), 0))))</f>
        <v>21.47180077024105</v>
      </c>
      <c r="E38" s="28" cm="1">
        <f t="array" aca="1" ref="E38" ca="1">MAX(_xlfn._xlws.FILTER($J$5:$J$30, ISNUMBER(MATCH($B$5:$B$30, _xlfn.TEXTSPLIT(_xlfn.TEXTJOIN(", ", TRUE, AA10:AA12), ", "), 0))))</f>
        <v>177.81151668817864</v>
      </c>
      <c r="F38" s="71"/>
      <c r="G38" s="5" t="s">
        <v>178</v>
      </c>
      <c r="H38" s="28" cm="1">
        <f t="array" aca="1" ref="H38" ca="1">AVERAGE(_xlfn._xlws.FILTER($U$5:$U$30, ISNUMBER(MATCH($M$5:$M$30, _xlfn.TEXTSPLIT(_xlfn.TEXTJOIN(", ", TRUE, AD10:AD12), ", "), 0))))</f>
        <v>21.624207946389827</v>
      </c>
      <c r="I38" s="28" cm="1">
        <f t="array" aca="1" ref="I38" ca="1">MIN(_xlfn._xlws.FILTER($U$5:$U$30, ISNUMBER(MATCH($M$5:$M$30, _xlfn.TEXTSPLIT(_xlfn.TEXTJOIN(", ", TRUE, AD10:AD12), ", "), 0))))</f>
        <v>5.4767551057472668</v>
      </c>
      <c r="J38" s="28" cm="1">
        <f t="array" aca="1" ref="J38" ca="1">MAX(_xlfn._xlws.FILTER($U$5:$U$30, ISNUMBER(MATCH($M$5:$M$30, _xlfn.TEXTSPLIT(_xlfn.TEXTJOIN(", ", TRUE, AD10:AD12), ", "), 0))))</f>
        <v>40.807937840368304</v>
      </c>
      <c r="K38" s="71"/>
      <c r="L38" s="5" t="s">
        <v>178</v>
      </c>
      <c r="M38" s="28">
        <f ca="1">AVERAGE(C38,H38)</f>
        <v>47.528061854411085</v>
      </c>
      <c r="N38" s="28">
        <f ca="1">MIN(D38,I38)</f>
        <v>5.4767551057472668</v>
      </c>
      <c r="O38" s="28">
        <f ca="1">MAX(E38,J38)</f>
        <v>177.81151668817864</v>
      </c>
    </row>
    <row r="39" spans="2:15" x14ac:dyDescent="0.25">
      <c r="B39" s="5" t="s">
        <v>121</v>
      </c>
      <c r="C39" s="28" cm="1">
        <f t="array" aca="1" ref="C39" ca="1">AVERAGE(_xlfn._xlws.FILTER($J$5:$J$30, ISNUMBER(MATCH($B$5:$B$30, _xlfn.TEXTSPLIT(_xlfn.TEXTJOIN(", ", TRUE, AA6:AA12), ", "), 0))))</f>
        <v>-13.181617134478302</v>
      </c>
      <c r="D39" s="28" cm="1">
        <f t="array" aca="1" ref="D39" ca="1">MIN(_xlfn._xlws.FILTER($J$5:$J$30, ISNUMBER(MATCH($B$5:$B$30, _xlfn.TEXTSPLIT(_xlfn.TEXTJOIN(", ", TRUE, AA6:AA12), ", "), 0))))</f>
        <v>-63.395960377003199</v>
      </c>
      <c r="E39" s="28" cm="1">
        <f t="array" aca="1" ref="E39" ca="1">MAX(_xlfn._xlws.FILTER($J$5:$J$30, ISNUMBER(MATCH($B$5:$B$30, _xlfn.TEXTSPLIT(_xlfn.TEXTJOIN(", ", TRUE, AA6:AA12), ", "), 0))))</f>
        <v>177.81151668817864</v>
      </c>
      <c r="F39" s="72"/>
      <c r="G39" s="5" t="s">
        <v>121</v>
      </c>
      <c r="H39" s="28" cm="1">
        <f t="array" aca="1" ref="H39" ca="1">AVERAGE(_xlfn._xlws.FILTER($U$5:$U$30, ISNUMBER(MATCH($M$5:$M$30, _xlfn.TEXTSPLIT(_xlfn.TEXTJOIN(", ", TRUE, AD6:AD12), ", "), 0))))</f>
        <v>-16.105738992479225</v>
      </c>
      <c r="I39" s="28" cm="1">
        <f t="array" aca="1" ref="I39" ca="1">MIN(_xlfn._xlws.FILTER($U$5:$U$30, ISNUMBER(MATCH($M$5:$M$30, _xlfn.TEXTSPLIT(_xlfn.TEXTJOIN(", ", TRUE, AD6:AD12), ", "), 0))))</f>
        <v>-66.18706152440474</v>
      </c>
      <c r="J39" s="28" cm="1">
        <f t="array" aca="1" ref="J39" ca="1">MAX(_xlfn._xlws.FILTER($U$5:$U$30, ISNUMBER(MATCH($M$5:$M$30, _xlfn.TEXTSPLIT(_xlfn.TEXTJOIN(", ", TRUE, AD6:AD12), ", "), 0))))</f>
        <v>40.807937840368304</v>
      </c>
      <c r="K39" s="72"/>
      <c r="L39" s="5" t="s">
        <v>121</v>
      </c>
      <c r="M39" s="28">
        <f ca="1">AVERAGE(C39,H39)</f>
        <v>-14.643678063478763</v>
      </c>
      <c r="N39" s="28">
        <f ca="1">MIN(D39,I39)</f>
        <v>-66.18706152440474</v>
      </c>
      <c r="O39" s="28">
        <f ca="1">MAX(E39,J39)</f>
        <v>177.81151668817864</v>
      </c>
    </row>
    <row r="41" spans="2:15" ht="21" x14ac:dyDescent="0.35">
      <c r="B41" s="102" t="s">
        <v>148</v>
      </c>
      <c r="C41" s="103"/>
      <c r="D41" s="103"/>
      <c r="E41" s="103"/>
      <c r="F41" s="103"/>
      <c r="G41" s="103"/>
      <c r="H41" s="103"/>
      <c r="I41" s="103"/>
      <c r="J41" s="103"/>
      <c r="K41" s="103"/>
      <c r="L41" s="103"/>
      <c r="M41" s="103"/>
      <c r="N41" s="103"/>
      <c r="O41" s="104"/>
    </row>
    <row r="42" spans="2:15" ht="15.75" x14ac:dyDescent="0.25">
      <c r="B42" s="105" t="s">
        <v>205</v>
      </c>
      <c r="C42" s="106"/>
      <c r="D42" s="106"/>
      <c r="E42" s="107"/>
      <c r="F42" s="70"/>
      <c r="G42" s="105" t="s">
        <v>205</v>
      </c>
      <c r="H42" s="106"/>
      <c r="I42" s="106"/>
      <c r="J42" s="107"/>
      <c r="K42" s="70"/>
      <c r="L42" s="105" t="s">
        <v>205</v>
      </c>
      <c r="M42" s="106"/>
      <c r="N42" s="106"/>
      <c r="O42" s="107"/>
    </row>
    <row r="43" spans="2:15" x14ac:dyDescent="0.25">
      <c r="B43" s="82" t="s">
        <v>111</v>
      </c>
      <c r="C43" s="83"/>
      <c r="D43" s="83"/>
      <c r="E43" s="84"/>
      <c r="F43" s="71"/>
      <c r="G43" s="82" t="s">
        <v>114</v>
      </c>
      <c r="H43" s="83"/>
      <c r="I43" s="83"/>
      <c r="J43" s="84"/>
      <c r="K43" s="71"/>
      <c r="L43" s="82" t="s">
        <v>215</v>
      </c>
      <c r="M43" s="83"/>
      <c r="N43" s="83"/>
      <c r="O43" s="84"/>
    </row>
    <row r="44" spans="2:15" x14ac:dyDescent="0.25">
      <c r="B44" s="39" t="s">
        <v>149</v>
      </c>
      <c r="C44" s="82" t="s">
        <v>214</v>
      </c>
      <c r="D44" s="83"/>
      <c r="E44" s="15" t="s">
        <v>213</v>
      </c>
      <c r="F44" s="73"/>
      <c r="G44" s="39" t="s">
        <v>149</v>
      </c>
      <c r="H44" s="82" t="s">
        <v>214</v>
      </c>
      <c r="I44" s="83"/>
      <c r="J44" s="15" t="s">
        <v>213</v>
      </c>
      <c r="K44" s="71"/>
      <c r="L44" s="39" t="s">
        <v>149</v>
      </c>
      <c r="M44" s="82" t="s">
        <v>214</v>
      </c>
      <c r="N44" s="83"/>
      <c r="O44" s="15" t="s">
        <v>213</v>
      </c>
    </row>
    <row r="45" spans="2:15" x14ac:dyDescent="0.25">
      <c r="B45" s="5" t="s">
        <v>176</v>
      </c>
      <c r="C45" s="100" cm="1">
        <f t="array" aca="1" ref="C45" ca="1">COUNT(_xlfn._xlws.FILTER($J$5:$J$30, ISNUMBER(MATCH($B$5:$B$30, _xlfn.TEXTSPLIT(_xlfn.TEXTJOIN(", ", TRUE, AA6:AA8), ", "), 0))))</f>
        <v>21</v>
      </c>
      <c r="D45" s="101"/>
      <c r="E45" s="56">
        <f ca="1">C45/C$48</f>
        <v>0.80769230769230771</v>
      </c>
      <c r="F45" s="71"/>
      <c r="G45" s="5" t="s">
        <v>176</v>
      </c>
      <c r="H45" s="100" cm="1">
        <f t="array" aca="1" ref="H45" ca="1">COUNT(_xlfn._xlws.FILTER($U$5:$U$30, ISNUMBER(MATCH($M$5:$M$30, _xlfn.TEXTSPLIT(_xlfn.TEXTJOIN(", ", TRUE, AD6:AD8), ", "), 0))))</f>
        <v>18</v>
      </c>
      <c r="I45" s="101"/>
      <c r="J45" s="56">
        <f ca="1">H45/H$48</f>
        <v>0.69230769230769229</v>
      </c>
      <c r="K45" s="71"/>
      <c r="L45" s="5" t="s">
        <v>176</v>
      </c>
      <c r="M45" s="100">
        <f ca="1">SUM(C45,H45)</f>
        <v>39</v>
      </c>
      <c r="N45" s="101"/>
      <c r="O45" s="56">
        <f ca="1">M45/M$48</f>
        <v>0.75</v>
      </c>
    </row>
    <row r="46" spans="2:15" x14ac:dyDescent="0.25">
      <c r="B46" s="5" t="s">
        <v>177</v>
      </c>
      <c r="C46" s="100" cm="1">
        <f t="array" aca="1" ref="C46" ca="1">COUNT(_xlfn._xlws.FILTER($J$5:$J$30, ISNUMBER(MATCH($B$5:$B$30, _xlfn.TEXTSPLIT(_xlfn.TEXTJOIN(", ", TRUE, AA9), ", "), 0))))</f>
        <v>1</v>
      </c>
      <c r="D46" s="101"/>
      <c r="E46" s="56">
        <f ca="1">C46/C$48</f>
        <v>3.8461538461538464E-2</v>
      </c>
      <c r="F46" s="71"/>
      <c r="G46" s="5" t="s">
        <v>177</v>
      </c>
      <c r="H46" s="100" cm="1">
        <f t="array" aca="1" ref="H46" ca="1">COUNT(_xlfn._xlws.FILTER($U$5:$U$30, ISNUMBER(MATCH($M$5:$M$30, _xlfn.TEXTSPLIT(_xlfn.TEXTJOIN(", ", TRUE, AD9), ", "), 0))))</f>
        <v>1</v>
      </c>
      <c r="I46" s="101"/>
      <c r="J46" s="56">
        <f ca="1">H46/H$48</f>
        <v>3.8461538461538464E-2</v>
      </c>
      <c r="K46" s="71"/>
      <c r="L46" s="5" t="s">
        <v>177</v>
      </c>
      <c r="M46" s="100">
        <f ca="1">SUM(C46,H46)</f>
        <v>2</v>
      </c>
      <c r="N46" s="101"/>
      <c r="O46" s="56">
        <f ca="1">M46/M$48</f>
        <v>3.8461538461538464E-2</v>
      </c>
    </row>
    <row r="47" spans="2:15" x14ac:dyDescent="0.25">
      <c r="B47" s="5" t="s">
        <v>178</v>
      </c>
      <c r="C47" s="100" cm="1">
        <f t="array" aca="1" ref="C47" ca="1">COUNT(_xlfn._xlws.FILTER($J$5:$J$30, ISNUMBER(MATCH($B$5:$B$30, _xlfn.TEXTSPLIT(_xlfn.TEXTJOIN(", ", TRUE, AA10:AA12), ", "), 0))))</f>
        <v>4</v>
      </c>
      <c r="D47" s="101"/>
      <c r="E47" s="56">
        <f ca="1">C47/C$48</f>
        <v>0.15384615384615385</v>
      </c>
      <c r="F47" s="71"/>
      <c r="G47" s="5" t="s">
        <v>178</v>
      </c>
      <c r="H47" s="100" cm="1">
        <f t="array" aca="1" ref="H47" ca="1">COUNT(_xlfn._xlws.FILTER($U$5:$U$30, ISNUMBER(MATCH($M$5:$M$30, _xlfn.TEXTSPLIT(_xlfn.TEXTJOIN(", ", TRUE, AD10:AD12), ", "), 0))))</f>
        <v>7</v>
      </c>
      <c r="I47" s="101"/>
      <c r="J47" s="56">
        <f ca="1">H47/H$48</f>
        <v>0.26923076923076922</v>
      </c>
      <c r="K47" s="71"/>
      <c r="L47" s="5" t="s">
        <v>178</v>
      </c>
      <c r="M47" s="100">
        <f ca="1">SUM(C47,H47)</f>
        <v>11</v>
      </c>
      <c r="N47" s="101"/>
      <c r="O47" s="56">
        <f ca="1">M47/M$48</f>
        <v>0.21153846153846154</v>
      </c>
    </row>
    <row r="48" spans="2:15" x14ac:dyDescent="0.25">
      <c r="B48" s="5" t="s">
        <v>121</v>
      </c>
      <c r="C48" s="100">
        <f ca="1">SUM(C45:D47)</f>
        <v>26</v>
      </c>
      <c r="D48" s="101"/>
      <c r="E48" s="56">
        <f ca="1">C48/C$48</f>
        <v>1</v>
      </c>
      <c r="F48" s="72"/>
      <c r="G48" s="5" t="s">
        <v>121</v>
      </c>
      <c r="H48" s="100">
        <f ca="1">SUM(H45:I47)</f>
        <v>26</v>
      </c>
      <c r="I48" s="101"/>
      <c r="J48" s="56">
        <f ca="1">H48/H$48</f>
        <v>1</v>
      </c>
      <c r="K48" s="72"/>
      <c r="L48" s="5" t="s">
        <v>121</v>
      </c>
      <c r="M48" s="100">
        <f ca="1">SUM(M45:N47)</f>
        <v>52</v>
      </c>
      <c r="N48" s="101"/>
      <c r="O48" s="56">
        <f ca="1">M48/M$48</f>
        <v>1</v>
      </c>
    </row>
  </sheetData>
  <mergeCells count="39">
    <mergeCell ref="B33:E33"/>
    <mergeCell ref="G33:J33"/>
    <mergeCell ref="L33:O33"/>
    <mergeCell ref="C2:L2"/>
    <mergeCell ref="N2:W2"/>
    <mergeCell ref="C3:G3"/>
    <mergeCell ref="H3:L3"/>
    <mergeCell ref="N3:R3"/>
    <mergeCell ref="S3:U3"/>
    <mergeCell ref="Z3:AA3"/>
    <mergeCell ref="AC3:AD3"/>
    <mergeCell ref="Z4:AA4"/>
    <mergeCell ref="AC4:AD4"/>
    <mergeCell ref="B32:O32"/>
    <mergeCell ref="B34:E34"/>
    <mergeCell ref="G34:J34"/>
    <mergeCell ref="L34:O34"/>
    <mergeCell ref="B41:O41"/>
    <mergeCell ref="B42:E42"/>
    <mergeCell ref="G42:J42"/>
    <mergeCell ref="L42:O42"/>
    <mergeCell ref="B43:E43"/>
    <mergeCell ref="G43:J43"/>
    <mergeCell ref="L43:O43"/>
    <mergeCell ref="C44:D44"/>
    <mergeCell ref="H44:I44"/>
    <mergeCell ref="M44:N44"/>
    <mergeCell ref="C45:D45"/>
    <mergeCell ref="H45:I45"/>
    <mergeCell ref="M45:N45"/>
    <mergeCell ref="C46:D46"/>
    <mergeCell ref="H46:I46"/>
    <mergeCell ref="M46:N46"/>
    <mergeCell ref="C47:D47"/>
    <mergeCell ref="H47:I47"/>
    <mergeCell ref="M47:N47"/>
    <mergeCell ref="C48:D48"/>
    <mergeCell ref="H48:I48"/>
    <mergeCell ref="M48:N48"/>
  </mergeCells>
  <conditionalFormatting sqref="E5:E30">
    <cfRule type="expression" dxfId="125" priority="15">
      <formula>AND(E5 &gt; -3, E5 &lt; 3)</formula>
    </cfRule>
    <cfRule type="expression" dxfId="124" priority="16">
      <formula>AND(E5 &gt; -25, E5 &lt;= -3)</formula>
    </cfRule>
    <cfRule type="expression" dxfId="123" priority="17">
      <formula>AND(E5 &gt; -75, E5 &lt;= -25)</formula>
    </cfRule>
    <cfRule type="expression" dxfId="122" priority="18">
      <formula>E5 &lt;= -75</formula>
    </cfRule>
    <cfRule type="expression" dxfId="121" priority="19">
      <formula>AND(E5 &lt; 25, E5 &gt;= 3)</formula>
    </cfRule>
    <cfRule type="expression" dxfId="120" priority="20">
      <formula>AND(E5 &lt; 75, E5 &gt;= 25)</formula>
    </cfRule>
    <cfRule type="expression" dxfId="119" priority="21">
      <formula>E5 &gt;= 75</formula>
    </cfRule>
  </conditionalFormatting>
  <conditionalFormatting sqref="J5:J30">
    <cfRule type="expression" dxfId="118" priority="29">
      <formula>AND(J5 &gt; -3, J5 &lt; 3)</formula>
    </cfRule>
    <cfRule type="expression" dxfId="117" priority="30">
      <formula>AND(J5 &gt; -25, J5 &lt;= -3)</formula>
    </cfRule>
    <cfRule type="expression" dxfId="116" priority="31">
      <formula>AND(J5 &gt; -75, J5 &lt;= -25)</formula>
    </cfRule>
    <cfRule type="expression" dxfId="115" priority="32">
      <formula>J5 &lt;= -75</formula>
    </cfRule>
    <cfRule type="expression" dxfId="114" priority="33">
      <formula>AND(J5 &lt; 25, J5 &gt;= 3)</formula>
    </cfRule>
    <cfRule type="expression" dxfId="113" priority="34">
      <formula>AND(J5 &lt; 75, J5 &gt;= 25)</formula>
    </cfRule>
    <cfRule type="expression" dxfId="112" priority="35">
      <formula>J5 &gt;= 75</formula>
    </cfRule>
  </conditionalFormatting>
  <conditionalFormatting sqref="P5:P30">
    <cfRule type="expression" dxfId="111" priority="8">
      <formula>AND(P5 &gt; -3, P5 &lt; 3)</formula>
    </cfRule>
    <cfRule type="expression" dxfId="110" priority="9">
      <formula>AND(P5 &gt; -25, P5 &lt;= -3)</formula>
    </cfRule>
    <cfRule type="expression" dxfId="109" priority="10">
      <formula>AND(P5 &gt; -75, P5 &lt;= -25)</formula>
    </cfRule>
    <cfRule type="expression" dxfId="108" priority="11">
      <formula>P5 &lt;= -75</formula>
    </cfRule>
    <cfRule type="expression" dxfId="107" priority="12">
      <formula>AND(P5 &lt; 25, P5 &gt;= 3)</formula>
    </cfRule>
    <cfRule type="expression" dxfId="106" priority="13">
      <formula>AND(P5 &lt; 75, P5 &gt;= 25)</formula>
    </cfRule>
    <cfRule type="expression" dxfId="105" priority="14">
      <formula>P5 &gt;= 75</formula>
    </cfRule>
  </conditionalFormatting>
  <conditionalFormatting sqref="U5:U30">
    <cfRule type="expression" dxfId="104" priority="22">
      <formula>AND(U5 &gt; -3, U5 &lt; 3)</formula>
    </cfRule>
    <cfRule type="expression" dxfId="103" priority="23">
      <formula>AND(U5 &gt; -25, U5 &lt;= -3)</formula>
    </cfRule>
    <cfRule type="expression" dxfId="102" priority="24">
      <formula>AND(U5 &gt; -75, U5 &lt;= -25)</formula>
    </cfRule>
    <cfRule type="expression" dxfId="101" priority="25">
      <formula>U5 &lt;= -75</formula>
    </cfRule>
    <cfRule type="expression" dxfId="100" priority="26">
      <formula>AND(U5 &lt; 25, U5 &gt;= 3)</formula>
    </cfRule>
    <cfRule type="expression" dxfId="99" priority="27">
      <formula>AND(U5 &lt; 75, U5 &gt;= 25)</formula>
    </cfRule>
    <cfRule type="expression" dxfId="98" priority="28">
      <formula>U5 &gt;= 75</formula>
    </cfRule>
  </conditionalFormatting>
  <conditionalFormatting sqref="X5:X30">
    <cfRule type="expression" dxfId="97" priority="1">
      <formula>AND(X5 &gt; -3, X5 &lt; 3)</formula>
    </cfRule>
    <cfRule type="expression" dxfId="96" priority="2">
      <formula>AND(X5 &gt; -25, X5 &lt;= -3)</formula>
    </cfRule>
    <cfRule type="expression" dxfId="95" priority="3">
      <formula>AND(X5 &gt; -75, X5 &lt;= -25)</formula>
    </cfRule>
    <cfRule type="expression" dxfId="94" priority="4">
      <formula>X5 &lt;= -75</formula>
    </cfRule>
    <cfRule type="expression" dxfId="93" priority="5">
      <formula>AND(X5 &lt; 25, X5 &gt;= 3)</formula>
    </cfRule>
    <cfRule type="expression" dxfId="92" priority="6">
      <formula>AND(X5 &lt; 75, X5 &gt;= 25)</formula>
    </cfRule>
    <cfRule type="expression" dxfId="91" priority="7">
      <formula>X5 &gt;= 75</formula>
    </cfRule>
  </conditionalFormatting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1CF8F-9D0C-4991-9BED-F1E6942DA362}">
  <dimension ref="A1:W106"/>
  <sheetViews>
    <sheetView topLeftCell="A61" zoomScale="70" zoomScaleNormal="70" workbookViewId="0">
      <selection activeCell="M88" sqref="M88"/>
    </sheetView>
  </sheetViews>
  <sheetFormatPr baseColWidth="10" defaultRowHeight="15" x14ac:dyDescent="0.25"/>
  <cols>
    <col min="2" max="2" width="12" bestFit="1" customWidth="1"/>
    <col min="7" max="7" width="18.85546875" bestFit="1" customWidth="1"/>
    <col min="20" max="20" width="8.140625" bestFit="1" customWidth="1"/>
    <col min="21" max="23" width="14.85546875" bestFit="1" customWidth="1"/>
  </cols>
  <sheetData>
    <row r="1" spans="1:23" x14ac:dyDescent="0.25">
      <c r="A1" s="88" t="s">
        <v>115</v>
      </c>
      <c r="B1" s="111" t="s">
        <v>165</v>
      </c>
      <c r="C1" s="111" t="s">
        <v>166</v>
      </c>
      <c r="D1" s="88" t="s">
        <v>99</v>
      </c>
      <c r="E1" s="88" t="s">
        <v>98</v>
      </c>
      <c r="F1" s="88" t="s">
        <v>100</v>
      </c>
      <c r="G1" s="88" t="s">
        <v>167</v>
      </c>
      <c r="H1" s="99" t="s">
        <v>101</v>
      </c>
      <c r="I1" s="99"/>
      <c r="J1" s="99"/>
      <c r="K1" s="99" t="s">
        <v>102</v>
      </c>
      <c r="L1" s="99"/>
      <c r="M1" s="99"/>
      <c r="N1" s="99" t="s">
        <v>103</v>
      </c>
      <c r="O1" s="99"/>
      <c r="P1" s="99"/>
      <c r="Q1" s="99" t="s">
        <v>168</v>
      </c>
      <c r="R1" s="99"/>
      <c r="S1" s="99"/>
      <c r="T1" s="99" t="s">
        <v>116</v>
      </c>
      <c r="U1" s="99"/>
      <c r="V1" s="99"/>
      <c r="W1" s="99"/>
    </row>
    <row r="2" spans="1:23" x14ac:dyDescent="0.25">
      <c r="A2" s="88"/>
      <c r="B2" s="112"/>
      <c r="C2" s="116"/>
      <c r="D2" s="88"/>
      <c r="E2" s="88"/>
      <c r="F2" s="120"/>
      <c r="G2" s="88"/>
      <c r="H2" s="36" t="s">
        <v>105</v>
      </c>
      <c r="I2" s="36" t="s">
        <v>106</v>
      </c>
      <c r="J2" s="36" t="s">
        <v>107</v>
      </c>
      <c r="K2" s="36" t="s">
        <v>108</v>
      </c>
      <c r="L2" s="36" t="s">
        <v>109</v>
      </c>
      <c r="M2" s="36" t="s">
        <v>110</v>
      </c>
      <c r="N2" s="36" t="s">
        <v>108</v>
      </c>
      <c r="O2" s="36" t="s">
        <v>109</v>
      </c>
      <c r="P2" s="36" t="s">
        <v>110</v>
      </c>
      <c r="Q2" s="36" t="s">
        <v>108</v>
      </c>
      <c r="R2" s="36" t="s">
        <v>109</v>
      </c>
      <c r="S2" s="36" t="s">
        <v>110</v>
      </c>
      <c r="T2" s="13" t="s">
        <v>100</v>
      </c>
      <c r="U2" s="13" t="s">
        <v>108</v>
      </c>
      <c r="V2" s="13" t="s">
        <v>109</v>
      </c>
      <c r="W2" s="13" t="s">
        <v>110</v>
      </c>
    </row>
    <row r="3" spans="1:23" x14ac:dyDescent="0.25">
      <c r="A3" s="122" t="s">
        <v>150</v>
      </c>
      <c r="B3" s="34">
        <v>10000000000</v>
      </c>
      <c r="C3" s="35">
        <f>100000000/B3</f>
        <v>0.01</v>
      </c>
      <c r="D3" s="113" t="s">
        <v>169</v>
      </c>
      <c r="E3" s="37" t="s">
        <v>111</v>
      </c>
      <c r="F3">
        <v>41.823</v>
      </c>
      <c r="G3" s="30">
        <f>F3*C3</f>
        <v>0.41822999999999999</v>
      </c>
      <c r="H3">
        <v>3.47</v>
      </c>
      <c r="I3">
        <v>21.53</v>
      </c>
      <c r="J3">
        <v>144.66999999999999</v>
      </c>
      <c r="K3">
        <v>145.12581</v>
      </c>
      <c r="L3">
        <v>900.44919000000004</v>
      </c>
      <c r="M3">
        <v>6050.5334099999991</v>
      </c>
      <c r="N3">
        <v>127.56014999999999</v>
      </c>
      <c r="O3">
        <v>876.19184999999993</v>
      </c>
      <c r="P3">
        <v>2001.64878</v>
      </c>
      <c r="Q3" s="31">
        <f>N3*C3</f>
        <v>1.2756015000000001</v>
      </c>
      <c r="R3" s="32">
        <f>O3*C3</f>
        <v>8.7619185000000002</v>
      </c>
      <c r="S3" s="33">
        <f>P3*C3</f>
        <v>20.0164878</v>
      </c>
      <c r="T3" s="94">
        <f>(F4-F3)/F3</f>
        <v>4.9494297396169744E-3</v>
      </c>
      <c r="U3" s="94">
        <f>(Q4-Q3)/Q3</f>
        <v>1.6545135765361706E-3</v>
      </c>
      <c r="V3" s="94">
        <f>(R4-R3)/R3</f>
        <v>-4.1646701005035956E-3</v>
      </c>
      <c r="W3" s="95">
        <f>(S4-S3)/S3</f>
        <v>-2.3607428272206743E-2</v>
      </c>
    </row>
    <row r="4" spans="1:23" x14ac:dyDescent="0.25">
      <c r="A4" s="122"/>
      <c r="B4" s="34">
        <v>10000000000</v>
      </c>
      <c r="C4" s="35">
        <f t="shared" ref="C4:C67" si="0">100000000/B4</f>
        <v>0.01</v>
      </c>
      <c r="D4" s="92"/>
      <c r="E4" s="37" t="s">
        <v>114</v>
      </c>
      <c r="F4">
        <v>42.03</v>
      </c>
      <c r="G4" s="30">
        <f>F4*C4</f>
        <v>0.42030000000000001</v>
      </c>
      <c r="H4">
        <v>3.46</v>
      </c>
      <c r="I4">
        <v>21.34</v>
      </c>
      <c r="J4">
        <v>143.31</v>
      </c>
      <c r="K4">
        <v>145.4238</v>
      </c>
      <c r="L4">
        <v>896.92020000000002</v>
      </c>
      <c r="M4">
        <v>6023.3193000000001</v>
      </c>
      <c r="N4">
        <v>127.77119999999999</v>
      </c>
      <c r="O4">
        <v>872.54280000000006</v>
      </c>
      <c r="P4">
        <v>1954.395</v>
      </c>
      <c r="Q4" s="31">
        <f t="shared" ref="Q4:Q67" si="1">N4*C4</f>
        <v>1.277712</v>
      </c>
      <c r="R4" s="32">
        <f t="shared" ref="R4:R67" si="2">O4*C4</f>
        <v>8.7254280000000008</v>
      </c>
      <c r="S4" s="33">
        <f t="shared" ref="S4:S67" si="3">P4*C4</f>
        <v>19.543949999999999</v>
      </c>
      <c r="T4" s="94"/>
      <c r="U4" s="94"/>
      <c r="V4" s="94"/>
      <c r="W4" s="95"/>
    </row>
    <row r="5" spans="1:23" x14ac:dyDescent="0.25">
      <c r="A5" s="122"/>
      <c r="B5" s="34">
        <v>100000000</v>
      </c>
      <c r="C5" s="35">
        <f t="shared" si="0"/>
        <v>1</v>
      </c>
      <c r="D5" s="92" t="s">
        <v>170</v>
      </c>
      <c r="E5" s="37" t="s">
        <v>111</v>
      </c>
      <c r="F5">
        <v>94.863</v>
      </c>
      <c r="G5" s="30">
        <f>F5*C5</f>
        <v>94.863</v>
      </c>
      <c r="H5">
        <v>3.44</v>
      </c>
      <c r="I5">
        <v>22.89</v>
      </c>
      <c r="J5">
        <v>152.68</v>
      </c>
      <c r="K5">
        <v>326.32871999999998</v>
      </c>
      <c r="L5">
        <v>2171.4140699999998</v>
      </c>
      <c r="M5">
        <v>14483.682839999999</v>
      </c>
      <c r="N5">
        <v>286.48626000000002</v>
      </c>
      <c r="O5">
        <v>2116.3935299999998</v>
      </c>
      <c r="P5">
        <v>5229.7971900000002</v>
      </c>
      <c r="Q5" s="31">
        <f t="shared" si="1"/>
        <v>286.48626000000002</v>
      </c>
      <c r="R5" s="32">
        <f t="shared" si="2"/>
        <v>2116.3935299999998</v>
      </c>
      <c r="S5" s="33">
        <f t="shared" si="3"/>
        <v>5229.7971900000002</v>
      </c>
      <c r="T5" s="94">
        <f>(F6-F5)/F5</f>
        <v>-0.79398711826528778</v>
      </c>
      <c r="U5" s="94">
        <f>(Q6-Q5)/Q5</f>
        <v>-0.79330495640523913</v>
      </c>
      <c r="V5" s="94">
        <f>(R6-R5)/R5</f>
        <v>-0.768778011715052</v>
      </c>
      <c r="W5" s="95">
        <f>(S6-S5)/S5</f>
        <v>-0.77380809484124569</v>
      </c>
    </row>
    <row r="6" spans="1:23" x14ac:dyDescent="0.25">
      <c r="A6" s="122"/>
      <c r="B6" s="34">
        <v>100000000</v>
      </c>
      <c r="C6" s="35">
        <f t="shared" si="0"/>
        <v>1</v>
      </c>
      <c r="D6" s="92"/>
      <c r="E6" s="37" t="s">
        <v>114</v>
      </c>
      <c r="F6">
        <v>19.542999999999999</v>
      </c>
      <c r="G6" s="30">
        <f>F6*C6</f>
        <v>19.542999999999999</v>
      </c>
      <c r="H6">
        <v>3.45</v>
      </c>
      <c r="I6">
        <v>25.62</v>
      </c>
      <c r="J6">
        <v>158.08000000000001</v>
      </c>
      <c r="K6">
        <v>67.423349999999999</v>
      </c>
      <c r="L6">
        <v>500.69166000000001</v>
      </c>
      <c r="M6">
        <v>3089.3574400000002</v>
      </c>
      <c r="N6">
        <v>59.215290000000003</v>
      </c>
      <c r="O6">
        <v>489.35671999999988</v>
      </c>
      <c r="P6">
        <v>1182.9377899999999</v>
      </c>
      <c r="Q6" s="31">
        <f t="shared" si="1"/>
        <v>59.215290000000003</v>
      </c>
      <c r="R6" s="32">
        <f t="shared" si="2"/>
        <v>489.35671999999988</v>
      </c>
      <c r="S6" s="33">
        <f t="shared" si="3"/>
        <v>1182.9377899999999</v>
      </c>
      <c r="T6" s="94"/>
      <c r="U6" s="94"/>
      <c r="V6" s="94"/>
      <c r="W6" s="95"/>
    </row>
    <row r="7" spans="1:23" x14ac:dyDescent="0.25">
      <c r="A7" s="122" t="s">
        <v>151</v>
      </c>
      <c r="B7" s="34">
        <v>100000000</v>
      </c>
      <c r="C7" s="35">
        <f t="shared" si="0"/>
        <v>1</v>
      </c>
      <c r="D7" s="113" t="s">
        <v>169</v>
      </c>
      <c r="E7" s="37" t="s">
        <v>111</v>
      </c>
      <c r="F7">
        <v>133.154</v>
      </c>
      <c r="G7" s="31">
        <f t="shared" ref="G7:G70" si="4">F7*C7</f>
        <v>133.154</v>
      </c>
      <c r="H7">
        <v>3.45</v>
      </c>
      <c r="I7">
        <v>26.05</v>
      </c>
      <c r="J7">
        <v>159.63</v>
      </c>
      <c r="K7">
        <v>459.38130000000001</v>
      </c>
      <c r="L7">
        <v>3468.6617000000001</v>
      </c>
      <c r="M7">
        <v>21255.373019999999</v>
      </c>
      <c r="N7">
        <v>403.45661999999999</v>
      </c>
      <c r="O7">
        <v>3391.4323800000002</v>
      </c>
      <c r="P7">
        <v>7886.7114199999996</v>
      </c>
      <c r="Q7" s="31">
        <f t="shared" si="1"/>
        <v>403.45661999999999</v>
      </c>
      <c r="R7" s="32">
        <f t="shared" si="2"/>
        <v>3391.4323800000002</v>
      </c>
      <c r="S7" s="33">
        <f t="shared" si="3"/>
        <v>7886.7114199999996</v>
      </c>
      <c r="T7" s="94">
        <f>(F8-F7)/F7</f>
        <v>-0.68798534028268021</v>
      </c>
      <c r="U7" s="94">
        <f>(Q8-Q7)/Q7</f>
        <v>-0.68901509163488261</v>
      </c>
      <c r="V7" s="94">
        <f>(R8-R7)/R7</f>
        <v>-0.69876558765414631</v>
      </c>
      <c r="W7" s="95">
        <f>(S8-S7)/S7</f>
        <v>-0.69404336592297933</v>
      </c>
    </row>
    <row r="8" spans="1:23" x14ac:dyDescent="0.25">
      <c r="A8" s="122"/>
      <c r="B8" s="34">
        <v>100000000</v>
      </c>
      <c r="C8" s="35">
        <f t="shared" si="0"/>
        <v>1</v>
      </c>
      <c r="D8" s="92"/>
      <c r="E8" s="37" t="s">
        <v>114</v>
      </c>
      <c r="F8">
        <v>41.545999999999999</v>
      </c>
      <c r="G8" s="31">
        <f t="shared" si="4"/>
        <v>41.545999999999999</v>
      </c>
      <c r="H8">
        <v>3.44</v>
      </c>
      <c r="I8">
        <v>25.17</v>
      </c>
      <c r="J8">
        <v>158.47999999999999</v>
      </c>
      <c r="K8">
        <v>142.91824</v>
      </c>
      <c r="L8">
        <v>1045.71282</v>
      </c>
      <c r="M8">
        <v>6584.2100799999998</v>
      </c>
      <c r="N8">
        <v>125.46892</v>
      </c>
      <c r="O8">
        <v>1021.61614</v>
      </c>
      <c r="P8">
        <v>2412.9916800000001</v>
      </c>
      <c r="Q8" s="31">
        <f t="shared" si="1"/>
        <v>125.46892</v>
      </c>
      <c r="R8" s="32">
        <f t="shared" si="2"/>
        <v>1021.61614</v>
      </c>
      <c r="S8" s="33">
        <f t="shared" si="3"/>
        <v>2412.9916800000001</v>
      </c>
      <c r="T8" s="94"/>
      <c r="U8" s="94"/>
      <c r="V8" s="94"/>
      <c r="W8" s="95"/>
    </row>
    <row r="9" spans="1:23" x14ac:dyDescent="0.25">
      <c r="A9" s="122"/>
      <c r="B9" s="34">
        <v>10000000</v>
      </c>
      <c r="C9" s="35">
        <f t="shared" si="0"/>
        <v>10</v>
      </c>
      <c r="D9" s="92" t="s">
        <v>170</v>
      </c>
      <c r="E9" s="37" t="s">
        <v>111</v>
      </c>
      <c r="F9">
        <v>266.84500000000003</v>
      </c>
      <c r="G9" s="31">
        <f t="shared" si="4"/>
        <v>2668.4500000000003</v>
      </c>
      <c r="H9">
        <v>3.49</v>
      </c>
      <c r="I9">
        <v>27.54</v>
      </c>
      <c r="J9">
        <v>164.82</v>
      </c>
      <c r="K9">
        <v>931.2890500000002</v>
      </c>
      <c r="L9">
        <v>7348.9113000000007</v>
      </c>
      <c r="M9">
        <v>43981.392900000013</v>
      </c>
      <c r="N9">
        <v>819.21415000000002</v>
      </c>
      <c r="O9">
        <v>7194.1412000000009</v>
      </c>
      <c r="P9">
        <v>16509.700150000001</v>
      </c>
      <c r="Q9" s="31">
        <f t="shared" si="1"/>
        <v>8192.1414999999997</v>
      </c>
      <c r="R9" s="32">
        <f t="shared" si="2"/>
        <v>71941.412000000011</v>
      </c>
      <c r="S9" s="33">
        <f t="shared" si="3"/>
        <v>165097.00150000001</v>
      </c>
      <c r="T9" s="94">
        <f>(F10-F9)/F9</f>
        <v>-6.8751522419382149E-2</v>
      </c>
      <c r="U9" s="94">
        <f>(Q10-Q9)/Q9</f>
        <v>-7.1784905082511133E-2</v>
      </c>
      <c r="V9" s="94">
        <f>(R10-R9)/R9</f>
        <v>-6.0461476624896135E-2</v>
      </c>
      <c r="W9" s="95">
        <f>(S10-S9)/S9</f>
        <v>-7.3869099312503253E-2</v>
      </c>
    </row>
    <row r="10" spans="1:23" x14ac:dyDescent="0.25">
      <c r="A10" s="122"/>
      <c r="B10" s="34">
        <v>10000000</v>
      </c>
      <c r="C10" s="35">
        <f t="shared" si="0"/>
        <v>10</v>
      </c>
      <c r="D10" s="92"/>
      <c r="E10" s="37" t="s">
        <v>114</v>
      </c>
      <c r="F10">
        <v>248.499</v>
      </c>
      <c r="G10" s="31">
        <f t="shared" si="4"/>
        <v>2484.9899999999998</v>
      </c>
      <c r="H10">
        <v>3.48</v>
      </c>
      <c r="I10">
        <v>27.78</v>
      </c>
      <c r="J10">
        <v>164.48</v>
      </c>
      <c r="K10">
        <v>864.77652</v>
      </c>
      <c r="L10">
        <v>6903.3022199999996</v>
      </c>
      <c r="M10">
        <v>40873.115519999999</v>
      </c>
      <c r="N10">
        <v>760.40693999999996</v>
      </c>
      <c r="O10">
        <v>6759.1727999999994</v>
      </c>
      <c r="P10">
        <v>15290.143470000001</v>
      </c>
      <c r="Q10" s="31">
        <f t="shared" si="1"/>
        <v>7604.0693999999994</v>
      </c>
      <c r="R10" s="32">
        <f t="shared" si="2"/>
        <v>67591.727999999988</v>
      </c>
      <c r="S10" s="33">
        <f t="shared" si="3"/>
        <v>152901.43470000001</v>
      </c>
      <c r="T10" s="94"/>
      <c r="U10" s="94"/>
      <c r="V10" s="94"/>
      <c r="W10" s="95"/>
    </row>
    <row r="11" spans="1:23" x14ac:dyDescent="0.25">
      <c r="A11" s="122" t="s">
        <v>152</v>
      </c>
      <c r="B11" s="34">
        <v>10000000000</v>
      </c>
      <c r="C11" s="35">
        <f t="shared" si="0"/>
        <v>0.01</v>
      </c>
      <c r="D11" s="113" t="s">
        <v>169</v>
      </c>
      <c r="E11" s="37" t="s">
        <v>111</v>
      </c>
      <c r="F11">
        <v>2.0939999999999999</v>
      </c>
      <c r="G11" s="31">
        <f t="shared" si="4"/>
        <v>2.094E-2</v>
      </c>
      <c r="H11">
        <v>3.49</v>
      </c>
      <c r="I11">
        <v>21.66</v>
      </c>
      <c r="J11">
        <v>156.4</v>
      </c>
      <c r="K11">
        <v>7.3080600000000002</v>
      </c>
      <c r="L11">
        <v>45.35604</v>
      </c>
      <c r="M11">
        <v>327.5016</v>
      </c>
      <c r="N11">
        <v>6.4285799999999993</v>
      </c>
      <c r="O11">
        <v>44.141519999999993</v>
      </c>
      <c r="P11">
        <v>109.13928</v>
      </c>
      <c r="Q11" s="31">
        <f t="shared" si="1"/>
        <v>6.428579999999999E-2</v>
      </c>
      <c r="R11" s="32">
        <f t="shared" si="2"/>
        <v>0.44141519999999995</v>
      </c>
      <c r="S11" s="33">
        <f t="shared" si="3"/>
        <v>1.0913927999999999</v>
      </c>
      <c r="T11" s="94">
        <f>(F12-F11)/F11</f>
        <v>0</v>
      </c>
      <c r="U11" s="94">
        <f>(Q12-Q11)/Q11</f>
        <v>9.7719869706841857E-3</v>
      </c>
      <c r="V11" s="94">
        <f>(R12-R11)/R11</f>
        <v>3.7950664136624634E-3</v>
      </c>
      <c r="W11" s="95">
        <f>(S12-S11)/S11</f>
        <v>-7.2908672294703493E-3</v>
      </c>
    </row>
    <row r="12" spans="1:23" x14ac:dyDescent="0.25">
      <c r="A12" s="122"/>
      <c r="B12" s="34">
        <v>10000000000</v>
      </c>
      <c r="C12" s="35">
        <f t="shared" si="0"/>
        <v>0.01</v>
      </c>
      <c r="D12" s="92"/>
      <c r="E12" s="37" t="s">
        <v>114</v>
      </c>
      <c r="F12">
        <v>2.0939999999999999</v>
      </c>
      <c r="G12" s="31">
        <f t="shared" si="4"/>
        <v>2.094E-2</v>
      </c>
      <c r="H12">
        <v>3.52</v>
      </c>
      <c r="I12">
        <v>21.74</v>
      </c>
      <c r="J12">
        <v>156.02000000000001</v>
      </c>
      <c r="K12">
        <v>7.3708799999999997</v>
      </c>
      <c r="L12">
        <v>45.523560000000003</v>
      </c>
      <c r="M12">
        <v>326.70587999999998</v>
      </c>
      <c r="N12">
        <v>6.4913999999999996</v>
      </c>
      <c r="O12">
        <v>44.309040000000003</v>
      </c>
      <c r="P12">
        <v>108.34356</v>
      </c>
      <c r="Q12" s="31">
        <f t="shared" si="1"/>
        <v>6.4913999999999999E-2</v>
      </c>
      <c r="R12" s="32">
        <f t="shared" si="2"/>
        <v>0.44309040000000005</v>
      </c>
      <c r="S12" s="33">
        <f t="shared" si="3"/>
        <v>1.0834356000000001</v>
      </c>
      <c r="T12" s="94"/>
      <c r="U12" s="94"/>
      <c r="V12" s="94"/>
      <c r="W12" s="95"/>
    </row>
    <row r="13" spans="1:23" x14ac:dyDescent="0.25">
      <c r="A13" s="122"/>
      <c r="B13" s="34">
        <v>100000000</v>
      </c>
      <c r="C13" s="35">
        <f t="shared" si="0"/>
        <v>1</v>
      </c>
      <c r="D13" s="92" t="s">
        <v>170</v>
      </c>
      <c r="E13" s="37" t="s">
        <v>111</v>
      </c>
      <c r="F13">
        <v>4.7649999999999997</v>
      </c>
      <c r="G13" s="31">
        <f t="shared" si="4"/>
        <v>4.7649999999999997</v>
      </c>
      <c r="H13">
        <v>3.5</v>
      </c>
      <c r="I13">
        <v>21.81</v>
      </c>
      <c r="J13">
        <v>149.84</v>
      </c>
      <c r="K13">
        <v>16.677499999999998</v>
      </c>
      <c r="L13">
        <v>103.92465</v>
      </c>
      <c r="M13">
        <v>713.98759999999993</v>
      </c>
      <c r="N13">
        <v>14.6762</v>
      </c>
      <c r="O13">
        <v>101.16095</v>
      </c>
      <c r="P13">
        <v>264.6481</v>
      </c>
      <c r="Q13" s="31">
        <f t="shared" si="1"/>
        <v>14.6762</v>
      </c>
      <c r="R13" s="32">
        <f t="shared" si="2"/>
        <v>101.16095</v>
      </c>
      <c r="S13" s="33">
        <f t="shared" si="3"/>
        <v>264.6481</v>
      </c>
      <c r="T13" s="94">
        <f>(F14-F13)/F13</f>
        <v>0</v>
      </c>
      <c r="U13" s="94">
        <f>(Q14-Q13)/Q13</f>
        <v>-3.2467532467531841E-3</v>
      </c>
      <c r="V13" s="94">
        <f>(R14-R13)/R13</f>
        <v>-3.7211493170042326E-2</v>
      </c>
      <c r="W13" s="95">
        <f>(S14-S13)/S13</f>
        <v>-2.8988116672668346E-2</v>
      </c>
    </row>
    <row r="14" spans="1:23" x14ac:dyDescent="0.25">
      <c r="A14" s="122"/>
      <c r="B14" s="34">
        <v>100000000</v>
      </c>
      <c r="C14" s="35">
        <f t="shared" si="0"/>
        <v>1</v>
      </c>
      <c r="D14" s="92"/>
      <c r="E14" s="37" t="s">
        <v>114</v>
      </c>
      <c r="F14">
        <v>4.7649999999999997</v>
      </c>
      <c r="G14" s="31">
        <f t="shared" si="4"/>
        <v>4.7649999999999997</v>
      </c>
      <c r="H14">
        <v>3.49</v>
      </c>
      <c r="I14">
        <v>21.02</v>
      </c>
      <c r="J14">
        <v>148.22</v>
      </c>
      <c r="K14">
        <v>16.629850000000001</v>
      </c>
      <c r="L14">
        <v>100.16030000000001</v>
      </c>
      <c r="M14">
        <v>706.26829999999995</v>
      </c>
      <c r="N14">
        <v>14.628550000000001</v>
      </c>
      <c r="O14">
        <v>97.396600000000007</v>
      </c>
      <c r="P14">
        <v>256.97645</v>
      </c>
      <c r="Q14" s="31">
        <f t="shared" si="1"/>
        <v>14.628550000000001</v>
      </c>
      <c r="R14" s="32">
        <f t="shared" si="2"/>
        <v>97.396600000000007</v>
      </c>
      <c r="S14" s="33">
        <f t="shared" si="3"/>
        <v>256.97645</v>
      </c>
      <c r="T14" s="94"/>
      <c r="U14" s="94"/>
      <c r="V14" s="94"/>
      <c r="W14" s="95"/>
    </row>
    <row r="15" spans="1:23" x14ac:dyDescent="0.25">
      <c r="A15" s="122" t="s">
        <v>154</v>
      </c>
      <c r="B15" s="34">
        <v>10000000000</v>
      </c>
      <c r="C15" s="35">
        <f t="shared" si="0"/>
        <v>0.01</v>
      </c>
      <c r="D15" s="113" t="s">
        <v>169</v>
      </c>
      <c r="E15" s="37" t="s">
        <v>111</v>
      </c>
      <c r="F15">
        <v>241.971</v>
      </c>
      <c r="G15" s="31">
        <f t="shared" si="4"/>
        <v>2.4197100000000002</v>
      </c>
      <c r="H15">
        <v>3.44</v>
      </c>
      <c r="I15">
        <v>27.17</v>
      </c>
      <c r="J15">
        <v>157.63</v>
      </c>
      <c r="K15">
        <v>832.38023999999996</v>
      </c>
      <c r="L15">
        <v>6574.3520700000008</v>
      </c>
      <c r="M15">
        <v>38141.888729999999</v>
      </c>
      <c r="N15">
        <v>810.60284999999999</v>
      </c>
      <c r="O15">
        <v>6434.0088900000001</v>
      </c>
      <c r="P15">
        <v>14755.39158</v>
      </c>
      <c r="Q15" s="31">
        <f t="shared" si="1"/>
        <v>8.1060285000000007</v>
      </c>
      <c r="R15" s="32">
        <f t="shared" si="2"/>
        <v>64.340088899999998</v>
      </c>
      <c r="S15" s="33">
        <f t="shared" si="3"/>
        <v>147.5539158</v>
      </c>
      <c r="T15" s="94">
        <f>(F16-F15)/F15</f>
        <v>-0.91377065846733696</v>
      </c>
      <c r="U15" s="94">
        <f>(Q16-Q15)/Q15</f>
        <v>-0.91351325744783651</v>
      </c>
      <c r="V15" s="94">
        <f>(R16-R15)/R15</f>
        <v>-0.92103480758479339</v>
      </c>
      <c r="W15" s="95">
        <f>(S16-S15)/S15</f>
        <v>-0.9223257177699381</v>
      </c>
    </row>
    <row r="16" spans="1:23" x14ac:dyDescent="0.25">
      <c r="A16" s="122"/>
      <c r="B16" s="34">
        <v>10000000000</v>
      </c>
      <c r="C16" s="35">
        <f t="shared" si="0"/>
        <v>0.01</v>
      </c>
      <c r="D16" s="92"/>
      <c r="E16" s="37" t="s">
        <v>114</v>
      </c>
      <c r="F16">
        <v>20.864999999999998</v>
      </c>
      <c r="G16" s="31">
        <f t="shared" si="4"/>
        <v>0.20865</v>
      </c>
      <c r="H16">
        <v>3.45</v>
      </c>
      <c r="I16">
        <v>24.93</v>
      </c>
      <c r="J16">
        <v>151.58000000000001</v>
      </c>
      <c r="K16">
        <v>71.984250000000003</v>
      </c>
      <c r="L16">
        <v>520.16444999999999</v>
      </c>
      <c r="M16">
        <v>3162.7166999999999</v>
      </c>
      <c r="N16">
        <v>70.106399999999994</v>
      </c>
      <c r="O16">
        <v>508.06274999999999</v>
      </c>
      <c r="P16">
        <v>1146.11445</v>
      </c>
      <c r="Q16" s="31">
        <f t="shared" si="1"/>
        <v>0.70106399999999991</v>
      </c>
      <c r="R16" s="32">
        <f t="shared" si="2"/>
        <v>5.0806275000000003</v>
      </c>
      <c r="S16" s="33">
        <f t="shared" si="3"/>
        <v>11.461144500000001</v>
      </c>
      <c r="T16" s="94"/>
      <c r="U16" s="94"/>
      <c r="V16" s="94"/>
      <c r="W16" s="95"/>
    </row>
    <row r="17" spans="1:23" x14ac:dyDescent="0.25">
      <c r="A17" s="122"/>
      <c r="B17" s="34">
        <v>10000000</v>
      </c>
      <c r="C17" s="35">
        <f t="shared" si="0"/>
        <v>10</v>
      </c>
      <c r="D17" s="92" t="s">
        <v>170</v>
      </c>
      <c r="E17" s="37" t="s">
        <v>111</v>
      </c>
      <c r="F17">
        <v>17.542000000000002</v>
      </c>
      <c r="G17" s="31">
        <f t="shared" si="4"/>
        <v>175.42000000000002</v>
      </c>
      <c r="H17">
        <v>3.44</v>
      </c>
      <c r="I17">
        <v>23.8</v>
      </c>
      <c r="J17">
        <v>150.16999999999999</v>
      </c>
      <c r="K17">
        <v>60.344479999999997</v>
      </c>
      <c r="L17">
        <v>417.49959999999999</v>
      </c>
      <c r="M17">
        <v>2634.2821399999998</v>
      </c>
      <c r="N17">
        <v>52.976840000000003</v>
      </c>
      <c r="O17">
        <v>407.32524000000001</v>
      </c>
      <c r="P17">
        <v>952.53060000000005</v>
      </c>
      <c r="Q17" s="31">
        <f t="shared" si="1"/>
        <v>529.76840000000004</v>
      </c>
      <c r="R17" s="32">
        <f t="shared" si="2"/>
        <v>4073.2524000000003</v>
      </c>
      <c r="S17" s="33">
        <f t="shared" si="3"/>
        <v>9525.3060000000005</v>
      </c>
      <c r="T17" s="94">
        <f>(F18-F17)/F17</f>
        <v>-0.80931478736746099</v>
      </c>
      <c r="U17" s="94">
        <f>(Q18-Q17)/Q17</f>
        <v>-0.80615774742321356</v>
      </c>
      <c r="V17" s="94">
        <f>(R18-R17)/R17</f>
        <v>-0.83797505403789863</v>
      </c>
      <c r="W17" s="95">
        <f>(S18-S17)/S17</f>
        <v>-0.82796190484589149</v>
      </c>
    </row>
    <row r="18" spans="1:23" x14ac:dyDescent="0.25">
      <c r="A18" s="122"/>
      <c r="B18" s="34">
        <v>10000000</v>
      </c>
      <c r="C18" s="35">
        <f t="shared" si="0"/>
        <v>10</v>
      </c>
      <c r="D18" s="92"/>
      <c r="E18" s="37" t="s">
        <v>114</v>
      </c>
      <c r="F18">
        <v>3.3450000000000002</v>
      </c>
      <c r="G18" s="31">
        <f t="shared" si="4"/>
        <v>33.450000000000003</v>
      </c>
      <c r="H18">
        <v>3.49</v>
      </c>
      <c r="I18">
        <v>20.309999999999999</v>
      </c>
      <c r="J18">
        <v>144.87</v>
      </c>
      <c r="K18">
        <v>11.674049999999999</v>
      </c>
      <c r="L18">
        <v>67.936949999999996</v>
      </c>
      <c r="M18">
        <v>484.59015000000011</v>
      </c>
      <c r="N18">
        <v>10.26915</v>
      </c>
      <c r="O18">
        <v>65.996850000000009</v>
      </c>
      <c r="P18">
        <v>163.87155000000001</v>
      </c>
      <c r="Q18" s="31">
        <f t="shared" si="1"/>
        <v>102.69149999999999</v>
      </c>
      <c r="R18" s="32">
        <f t="shared" si="2"/>
        <v>659.96850000000006</v>
      </c>
      <c r="S18" s="33">
        <f t="shared" si="3"/>
        <v>1638.7155000000002</v>
      </c>
      <c r="T18" s="94"/>
      <c r="U18" s="94"/>
      <c r="V18" s="94"/>
      <c r="W18" s="95"/>
    </row>
    <row r="19" spans="1:23" x14ac:dyDescent="0.25">
      <c r="A19" s="122" t="s">
        <v>153</v>
      </c>
      <c r="B19" s="34">
        <v>10000000000</v>
      </c>
      <c r="C19" s="35">
        <f t="shared" si="0"/>
        <v>0.01</v>
      </c>
      <c r="D19" s="113" t="s">
        <v>169</v>
      </c>
      <c r="E19" s="37" t="s">
        <v>111</v>
      </c>
      <c r="F19">
        <v>2.0939999999999999</v>
      </c>
      <c r="G19" s="31">
        <f t="shared" si="4"/>
        <v>2.094E-2</v>
      </c>
      <c r="H19">
        <v>3.48</v>
      </c>
      <c r="I19">
        <v>22.33</v>
      </c>
      <c r="J19">
        <v>141.75</v>
      </c>
      <c r="K19">
        <v>7.2871199999999998</v>
      </c>
      <c r="L19">
        <v>46.759019999999992</v>
      </c>
      <c r="M19">
        <v>296.8245</v>
      </c>
      <c r="N19">
        <v>6.4076399999999998</v>
      </c>
      <c r="O19">
        <v>45.544499999999999</v>
      </c>
      <c r="P19">
        <v>101.32866</v>
      </c>
      <c r="Q19" s="31">
        <f t="shared" si="1"/>
        <v>6.4076400000000006E-2</v>
      </c>
      <c r="R19" s="32">
        <f t="shared" si="2"/>
        <v>0.45544499999999999</v>
      </c>
      <c r="S19" s="33">
        <f t="shared" si="3"/>
        <v>1.0132866</v>
      </c>
      <c r="T19" s="94">
        <f>(F20-F19)/F19</f>
        <v>0</v>
      </c>
      <c r="U19" s="94">
        <f>(Q20-Q19)/Q19</f>
        <v>6.5359477124182523E-3</v>
      </c>
      <c r="V19" s="94">
        <f>(R20-R19)/R19</f>
        <v>2.2988505747126879E-3</v>
      </c>
      <c r="W19" s="95">
        <f>(S20-S19)/S19</f>
        <v>8.4728249638355776E-3</v>
      </c>
    </row>
    <row r="20" spans="1:23" x14ac:dyDescent="0.25">
      <c r="A20" s="122"/>
      <c r="B20" s="34">
        <v>10000000000</v>
      </c>
      <c r="C20" s="35">
        <f t="shared" si="0"/>
        <v>0.01</v>
      </c>
      <c r="D20" s="92"/>
      <c r="E20" s="37" t="s">
        <v>114</v>
      </c>
      <c r="F20">
        <v>2.0939999999999999</v>
      </c>
      <c r="G20" s="31">
        <f t="shared" si="4"/>
        <v>2.094E-2</v>
      </c>
      <c r="H20">
        <v>3.5</v>
      </c>
      <c r="I20">
        <v>22.38</v>
      </c>
      <c r="J20">
        <v>142.15</v>
      </c>
      <c r="K20">
        <v>7.3289999999999997</v>
      </c>
      <c r="L20">
        <v>46.863719999999986</v>
      </c>
      <c r="M20">
        <v>297.66210000000001</v>
      </c>
      <c r="N20">
        <v>6.4495199999999997</v>
      </c>
      <c r="O20">
        <v>45.6492</v>
      </c>
      <c r="P20">
        <v>102.1872</v>
      </c>
      <c r="Q20" s="31">
        <f t="shared" si="1"/>
        <v>6.4495200000000003E-2</v>
      </c>
      <c r="R20" s="32">
        <f t="shared" si="2"/>
        <v>0.45649200000000001</v>
      </c>
      <c r="S20" s="33">
        <f t="shared" si="3"/>
        <v>1.0218720000000001</v>
      </c>
      <c r="T20" s="94"/>
      <c r="U20" s="94"/>
      <c r="V20" s="94"/>
      <c r="W20" s="95"/>
    </row>
    <row r="21" spans="1:23" x14ac:dyDescent="0.25">
      <c r="A21" s="122"/>
      <c r="B21" s="34">
        <v>100000000</v>
      </c>
      <c r="C21" s="35">
        <f t="shared" si="0"/>
        <v>1</v>
      </c>
      <c r="D21" s="92" t="s">
        <v>170</v>
      </c>
      <c r="E21" s="37" t="s">
        <v>111</v>
      </c>
      <c r="F21">
        <v>3.7519999999999998</v>
      </c>
      <c r="G21" s="31">
        <f t="shared" si="4"/>
        <v>3.7519999999999998</v>
      </c>
      <c r="H21">
        <v>3.47</v>
      </c>
      <c r="I21">
        <v>20.68</v>
      </c>
      <c r="J21">
        <v>135.30000000000001</v>
      </c>
      <c r="K21">
        <v>13.019439999999999</v>
      </c>
      <c r="L21">
        <v>77.591359999999995</v>
      </c>
      <c r="M21">
        <v>507.6456</v>
      </c>
      <c r="N21">
        <v>11.4436</v>
      </c>
      <c r="O21">
        <v>75.415199999999999</v>
      </c>
      <c r="P21">
        <v>195.10400000000001</v>
      </c>
      <c r="Q21" s="31">
        <f t="shared" si="1"/>
        <v>11.4436</v>
      </c>
      <c r="R21" s="32">
        <f t="shared" si="2"/>
        <v>75.415199999999999</v>
      </c>
      <c r="S21" s="33">
        <f t="shared" si="3"/>
        <v>195.10400000000001</v>
      </c>
      <c r="T21" s="94">
        <f>(F22-F21)/F21</f>
        <v>2.7985074626865787E-2</v>
      </c>
      <c r="U21" s="94">
        <f>(Q22-Q21)/Q21</f>
        <v>3.809640322975285E-2</v>
      </c>
      <c r="V21" s="94">
        <f>(R22-R21)/R21</f>
        <v>2.6962203905843939E-2</v>
      </c>
      <c r="W21" s="95">
        <f>(S22-S21)/S21</f>
        <v>-6.2754377152698174E-2</v>
      </c>
    </row>
    <row r="22" spans="1:23" x14ac:dyDescent="0.25">
      <c r="A22" s="122"/>
      <c r="B22" s="34">
        <v>100000000</v>
      </c>
      <c r="C22" s="35">
        <f t="shared" si="0"/>
        <v>1</v>
      </c>
      <c r="D22" s="92"/>
      <c r="E22" s="37" t="s">
        <v>114</v>
      </c>
      <c r="F22">
        <v>3.8570000000000002</v>
      </c>
      <c r="G22" s="31">
        <f t="shared" si="4"/>
        <v>3.8570000000000002</v>
      </c>
      <c r="H22">
        <v>3.5</v>
      </c>
      <c r="I22">
        <v>20.66</v>
      </c>
      <c r="J22">
        <v>130.69999999999999</v>
      </c>
      <c r="K22">
        <v>13.499499999999999</v>
      </c>
      <c r="L22">
        <v>79.68562</v>
      </c>
      <c r="M22">
        <v>504.10989999999998</v>
      </c>
      <c r="N22">
        <v>11.87956</v>
      </c>
      <c r="O22">
        <v>77.448560000000001</v>
      </c>
      <c r="P22">
        <v>182.86036999999999</v>
      </c>
      <c r="Q22" s="31">
        <f t="shared" si="1"/>
        <v>11.87956</v>
      </c>
      <c r="R22" s="32">
        <f t="shared" si="2"/>
        <v>77.448560000000001</v>
      </c>
      <c r="S22" s="33">
        <f t="shared" si="3"/>
        <v>182.86036999999999</v>
      </c>
      <c r="T22" s="94"/>
      <c r="U22" s="94"/>
      <c r="V22" s="94"/>
      <c r="W22" s="95"/>
    </row>
    <row r="23" spans="1:23" x14ac:dyDescent="0.25">
      <c r="A23" s="122" t="s">
        <v>19</v>
      </c>
      <c r="B23" s="34">
        <v>100000000</v>
      </c>
      <c r="C23" s="35">
        <f t="shared" si="0"/>
        <v>1</v>
      </c>
      <c r="D23" s="113" t="s">
        <v>169</v>
      </c>
      <c r="E23" s="37" t="s">
        <v>111</v>
      </c>
      <c r="F23">
        <v>37.091999999999999</v>
      </c>
      <c r="G23" s="31">
        <f t="shared" si="4"/>
        <v>37.091999999999999</v>
      </c>
      <c r="H23">
        <v>3.51</v>
      </c>
      <c r="I23">
        <v>30.85</v>
      </c>
      <c r="J23">
        <v>167.98</v>
      </c>
      <c r="K23">
        <v>130.19291999999999</v>
      </c>
      <c r="L23">
        <v>1144.2882</v>
      </c>
      <c r="M23">
        <v>6230.7141600000004</v>
      </c>
      <c r="N23">
        <v>114.61427999999999</v>
      </c>
      <c r="O23">
        <v>1122.77484</v>
      </c>
      <c r="P23">
        <v>2571.95928</v>
      </c>
      <c r="Q23" s="31">
        <f t="shared" si="1"/>
        <v>114.61427999999999</v>
      </c>
      <c r="R23" s="32">
        <f t="shared" si="2"/>
        <v>1122.77484</v>
      </c>
      <c r="S23" s="33">
        <f t="shared" si="3"/>
        <v>2571.95928</v>
      </c>
      <c r="T23" s="94">
        <f>(F24-F23)/F23</f>
        <v>-0.94330313814299571</v>
      </c>
      <c r="U23" s="94">
        <f>(Q24-Q23)/Q23</f>
        <v>-0.99942202228204025</v>
      </c>
      <c r="V23" s="94">
        <f>(R24-R23)/R23</f>
        <v>-0.99960553818608899</v>
      </c>
      <c r="W23" s="95">
        <f>(S24-S23)/S23</f>
        <v>-0.99955927879231421</v>
      </c>
    </row>
    <row r="24" spans="1:23" x14ac:dyDescent="0.25">
      <c r="A24" s="122"/>
      <c r="B24" s="34">
        <v>10000000000</v>
      </c>
      <c r="C24" s="35">
        <f t="shared" si="0"/>
        <v>0.01</v>
      </c>
      <c r="D24" s="92"/>
      <c r="E24" s="37" t="s">
        <v>114</v>
      </c>
      <c r="F24">
        <v>2.1030000000000002</v>
      </c>
      <c r="G24" s="31">
        <f t="shared" si="4"/>
        <v>2.1030000000000004E-2</v>
      </c>
      <c r="H24">
        <v>3.57</v>
      </c>
      <c r="I24">
        <v>21.64</v>
      </c>
      <c r="J24">
        <v>152.53</v>
      </c>
      <c r="K24">
        <v>7.5077100000000003</v>
      </c>
      <c r="L24">
        <v>45.508920000000003</v>
      </c>
      <c r="M24">
        <v>320.77059000000003</v>
      </c>
      <c r="N24">
        <v>6.6244500000000004</v>
      </c>
      <c r="O24">
        <v>44.289180000000002</v>
      </c>
      <c r="P24">
        <v>113.35169999999999</v>
      </c>
      <c r="Q24" s="31">
        <f t="shared" si="1"/>
        <v>6.6244500000000012E-2</v>
      </c>
      <c r="R24" s="32">
        <f t="shared" si="2"/>
        <v>0.4428918</v>
      </c>
      <c r="S24" s="33">
        <f t="shared" si="3"/>
        <v>1.1335169999999999</v>
      </c>
      <c r="T24" s="94"/>
      <c r="U24" s="94"/>
      <c r="V24" s="94"/>
      <c r="W24" s="95"/>
    </row>
    <row r="25" spans="1:23" x14ac:dyDescent="0.25">
      <c r="A25" s="122"/>
      <c r="B25" s="34">
        <v>100000000</v>
      </c>
      <c r="C25" s="35">
        <f t="shared" si="0"/>
        <v>1</v>
      </c>
      <c r="D25" s="92" t="s">
        <v>170</v>
      </c>
      <c r="E25" s="37" t="s">
        <v>111</v>
      </c>
      <c r="F25">
        <v>89.501999999999995</v>
      </c>
      <c r="G25" s="31">
        <f t="shared" si="4"/>
        <v>89.501999999999995</v>
      </c>
      <c r="H25">
        <v>3.49</v>
      </c>
      <c r="I25">
        <v>28.48</v>
      </c>
      <c r="J25">
        <v>148.94999999999999</v>
      </c>
      <c r="K25">
        <v>312.36198000000002</v>
      </c>
      <c r="L25">
        <v>2549.0169599999999</v>
      </c>
      <c r="M25">
        <v>13331.322899999999</v>
      </c>
      <c r="N25">
        <v>274.77113999999989</v>
      </c>
      <c r="O25">
        <v>2497.1057999999998</v>
      </c>
      <c r="P25">
        <v>5282.4080400000003</v>
      </c>
      <c r="Q25" s="31">
        <f t="shared" si="1"/>
        <v>274.77113999999989</v>
      </c>
      <c r="R25" s="32">
        <f t="shared" si="2"/>
        <v>2497.1057999999998</v>
      </c>
      <c r="S25" s="33">
        <f t="shared" si="3"/>
        <v>5282.4080400000003</v>
      </c>
      <c r="T25" s="94">
        <f>(F26-F25)/F25</f>
        <v>-0.95280552389890727</v>
      </c>
      <c r="U25" s="94">
        <f>(Q26-Q25)/Q25</f>
        <v>-0.95203688422299371</v>
      </c>
      <c r="V25" s="94">
        <f>(R26-R25)/R25</f>
        <v>-0.96476484096108384</v>
      </c>
      <c r="W25" s="95">
        <f>(S26-S25)/S25</f>
        <v>-0.96329673918942471</v>
      </c>
    </row>
    <row r="26" spans="1:23" x14ac:dyDescent="0.25">
      <c r="A26" s="122"/>
      <c r="B26" s="34">
        <v>100000000</v>
      </c>
      <c r="C26" s="35">
        <f t="shared" si="0"/>
        <v>1</v>
      </c>
      <c r="D26" s="92"/>
      <c r="E26" s="37" t="s">
        <v>114</v>
      </c>
      <c r="F26">
        <v>4.2240000000000002</v>
      </c>
      <c r="G26" s="31">
        <f t="shared" si="4"/>
        <v>4.2240000000000002</v>
      </c>
      <c r="H26">
        <v>3.54</v>
      </c>
      <c r="I26">
        <v>21.41</v>
      </c>
      <c r="J26">
        <v>135.82</v>
      </c>
      <c r="K26">
        <v>14.952959999999999</v>
      </c>
      <c r="L26">
        <v>90.435839999999999</v>
      </c>
      <c r="M26">
        <v>573.70367999999996</v>
      </c>
      <c r="N26">
        <v>13.178879999999999</v>
      </c>
      <c r="O26">
        <v>87.985919999999993</v>
      </c>
      <c r="P26">
        <v>193.88159999999999</v>
      </c>
      <c r="Q26" s="31">
        <f t="shared" si="1"/>
        <v>13.178879999999999</v>
      </c>
      <c r="R26" s="32">
        <f t="shared" si="2"/>
        <v>87.985919999999993</v>
      </c>
      <c r="S26" s="33">
        <f t="shared" si="3"/>
        <v>193.88159999999999</v>
      </c>
      <c r="T26" s="94"/>
      <c r="U26" s="94"/>
      <c r="V26" s="94"/>
      <c r="W26" s="95"/>
    </row>
    <row r="27" spans="1:23" x14ac:dyDescent="0.25">
      <c r="A27" s="122" t="s">
        <v>21</v>
      </c>
      <c r="B27" s="34">
        <v>10000000000</v>
      </c>
      <c r="C27" s="35">
        <f t="shared" si="0"/>
        <v>0.01</v>
      </c>
      <c r="D27" s="113" t="s">
        <v>169</v>
      </c>
      <c r="E27" s="37" t="s">
        <v>111</v>
      </c>
      <c r="F27">
        <v>2.0939999999999999</v>
      </c>
      <c r="G27" s="31">
        <f t="shared" si="4"/>
        <v>2.094E-2</v>
      </c>
      <c r="H27">
        <v>3.51</v>
      </c>
      <c r="I27">
        <v>22.21</v>
      </c>
      <c r="J27">
        <v>136.91</v>
      </c>
      <c r="K27">
        <v>7.3499399999999993</v>
      </c>
      <c r="L27">
        <v>46.507739999999998</v>
      </c>
      <c r="M27">
        <v>286.68954000000002</v>
      </c>
      <c r="N27">
        <v>6.4704599999999992</v>
      </c>
      <c r="O27">
        <v>45.293219999999998</v>
      </c>
      <c r="P27">
        <v>90.000119999999981</v>
      </c>
      <c r="Q27" s="31">
        <f t="shared" si="1"/>
        <v>6.4704599999999987E-2</v>
      </c>
      <c r="R27" s="32">
        <f t="shared" si="2"/>
        <v>0.45293220000000001</v>
      </c>
      <c r="S27" s="33">
        <f t="shared" si="3"/>
        <v>0.90000119999999983</v>
      </c>
      <c r="T27" s="94">
        <f>(F28-F27)/F27</f>
        <v>0</v>
      </c>
      <c r="U27" s="94">
        <f>(Q28-Q27)/Q27</f>
        <v>6.4724919093852818E-3</v>
      </c>
      <c r="V27" s="94">
        <f>(R28-R27)/R27</f>
        <v>4.160887656033195E-3</v>
      </c>
      <c r="W27" s="95">
        <f>(S28-S27)/S27</f>
        <v>4.1647277803629763E-2</v>
      </c>
    </row>
    <row r="28" spans="1:23" x14ac:dyDescent="0.25">
      <c r="A28" s="122"/>
      <c r="B28" s="34">
        <v>10000000000</v>
      </c>
      <c r="C28" s="35">
        <f t="shared" si="0"/>
        <v>0.01</v>
      </c>
      <c r="D28" s="92"/>
      <c r="E28" s="37" t="s">
        <v>114</v>
      </c>
      <c r="F28">
        <v>2.0939999999999999</v>
      </c>
      <c r="G28" s="31">
        <f t="shared" si="4"/>
        <v>2.094E-2</v>
      </c>
      <c r="H28">
        <v>3.53</v>
      </c>
      <c r="I28">
        <v>22.3</v>
      </c>
      <c r="J28">
        <v>138.69999999999999</v>
      </c>
      <c r="K28">
        <v>7.3918199999999992</v>
      </c>
      <c r="L28">
        <v>46.696199999999997</v>
      </c>
      <c r="M28">
        <v>290.43779999999998</v>
      </c>
      <c r="N28">
        <v>6.5123399999999991</v>
      </c>
      <c r="O28">
        <v>45.481679999999997</v>
      </c>
      <c r="P28">
        <v>93.748379999999997</v>
      </c>
      <c r="Q28" s="31">
        <f t="shared" si="1"/>
        <v>6.5123399999999998E-2</v>
      </c>
      <c r="R28" s="32">
        <f t="shared" si="2"/>
        <v>0.45481679999999997</v>
      </c>
      <c r="S28" s="33">
        <f t="shared" si="3"/>
        <v>0.93748379999999998</v>
      </c>
      <c r="T28" s="94"/>
      <c r="U28" s="94"/>
      <c r="V28" s="94"/>
      <c r="W28" s="95"/>
    </row>
    <row r="29" spans="1:23" x14ac:dyDescent="0.25">
      <c r="A29" s="122"/>
      <c r="B29" s="34">
        <v>100000000</v>
      </c>
      <c r="C29" s="35">
        <f t="shared" si="0"/>
        <v>1</v>
      </c>
      <c r="D29" s="92" t="s">
        <v>170</v>
      </c>
      <c r="E29" s="37" t="s">
        <v>111</v>
      </c>
      <c r="F29">
        <v>14.871</v>
      </c>
      <c r="G29" s="31">
        <f t="shared" si="4"/>
        <v>14.871</v>
      </c>
      <c r="H29">
        <v>3.54</v>
      </c>
      <c r="I29">
        <v>26.29</v>
      </c>
      <c r="J29">
        <v>157.58000000000001</v>
      </c>
      <c r="K29">
        <v>52.643340000000002</v>
      </c>
      <c r="L29">
        <v>390.95859000000002</v>
      </c>
      <c r="M29">
        <v>2343.3721799999998</v>
      </c>
      <c r="N29">
        <v>46.39752</v>
      </c>
      <c r="O29">
        <v>382.33341000000001</v>
      </c>
      <c r="P29">
        <v>871.14318000000003</v>
      </c>
      <c r="Q29" s="31">
        <f t="shared" si="1"/>
        <v>46.39752</v>
      </c>
      <c r="R29" s="32">
        <f t="shared" si="2"/>
        <v>382.33341000000001</v>
      </c>
      <c r="S29" s="33">
        <f t="shared" si="3"/>
        <v>871.14318000000003</v>
      </c>
      <c r="T29" s="94">
        <f>(F30-F29)/F29</f>
        <v>-0.32781924551139802</v>
      </c>
      <c r="U29" s="94">
        <f>(Q30-Q29)/Q29</f>
        <v>-0.32566482001624225</v>
      </c>
      <c r="V29" s="94">
        <f>(R30-R29)/R29</f>
        <v>-0.32546622069988607</v>
      </c>
      <c r="W29" s="95">
        <f>(S30-S29)/S29</f>
        <v>-0.34101500972549653</v>
      </c>
    </row>
    <row r="30" spans="1:23" x14ac:dyDescent="0.25">
      <c r="A30" s="122"/>
      <c r="B30" s="34">
        <v>100000000</v>
      </c>
      <c r="C30" s="35">
        <f t="shared" si="0"/>
        <v>1</v>
      </c>
      <c r="D30" s="92"/>
      <c r="E30" s="37" t="s">
        <v>114</v>
      </c>
      <c r="F30">
        <v>9.9960000000000004</v>
      </c>
      <c r="G30" s="31">
        <f t="shared" si="4"/>
        <v>9.9960000000000004</v>
      </c>
      <c r="H30">
        <v>3.55</v>
      </c>
      <c r="I30">
        <v>26.38</v>
      </c>
      <c r="J30">
        <v>156.41999999999999</v>
      </c>
      <c r="K30">
        <v>35.485799999999998</v>
      </c>
      <c r="L30">
        <v>263.69448</v>
      </c>
      <c r="M30">
        <v>1563.5743199999999</v>
      </c>
      <c r="N30">
        <v>31.287479999999999</v>
      </c>
      <c r="O30">
        <v>257.89679999999998</v>
      </c>
      <c r="P30">
        <v>574.07028000000003</v>
      </c>
      <c r="Q30" s="31">
        <f t="shared" si="1"/>
        <v>31.287479999999999</v>
      </c>
      <c r="R30" s="32">
        <f t="shared" si="2"/>
        <v>257.89679999999998</v>
      </c>
      <c r="S30" s="33">
        <f t="shared" si="3"/>
        <v>574.07028000000003</v>
      </c>
      <c r="T30" s="94"/>
      <c r="U30" s="94"/>
      <c r="V30" s="94"/>
      <c r="W30" s="95"/>
    </row>
    <row r="31" spans="1:23" x14ac:dyDescent="0.25">
      <c r="A31" s="122" t="s">
        <v>23</v>
      </c>
      <c r="B31" s="34">
        <v>10000000000</v>
      </c>
      <c r="C31" s="35">
        <f t="shared" si="0"/>
        <v>0.01</v>
      </c>
      <c r="D31" s="113" t="s">
        <v>169</v>
      </c>
      <c r="E31" s="37" t="s">
        <v>111</v>
      </c>
      <c r="F31">
        <v>2.0939999999999999</v>
      </c>
      <c r="G31" s="31">
        <f t="shared" si="4"/>
        <v>2.094E-2</v>
      </c>
      <c r="H31">
        <v>3.52</v>
      </c>
      <c r="I31">
        <v>21.83</v>
      </c>
      <c r="J31">
        <v>134.87</v>
      </c>
      <c r="K31">
        <v>7.3708799999999997</v>
      </c>
      <c r="L31">
        <v>45.712020000000003</v>
      </c>
      <c r="M31">
        <v>282.41777999999999</v>
      </c>
      <c r="N31">
        <v>6.4913999999999996</v>
      </c>
      <c r="O31">
        <v>44.497500000000002</v>
      </c>
      <c r="P31">
        <v>96.826560000000001</v>
      </c>
      <c r="Q31" s="31">
        <f t="shared" si="1"/>
        <v>6.4913999999999999E-2</v>
      </c>
      <c r="R31" s="32">
        <f t="shared" si="2"/>
        <v>0.44497500000000001</v>
      </c>
      <c r="S31" s="33">
        <f t="shared" si="3"/>
        <v>0.96826560000000006</v>
      </c>
      <c r="T31" s="94">
        <f>(F32-F31)/F31</f>
        <v>0</v>
      </c>
      <c r="U31" s="94">
        <f>(Q32-Q31)/Q31</f>
        <v>0</v>
      </c>
      <c r="V31" s="94">
        <f>(R32-R31)/R31</f>
        <v>0</v>
      </c>
      <c r="W31" s="95">
        <f>(S32-S31)/S31</f>
        <v>-3.8927335640138697E-3</v>
      </c>
    </row>
    <row r="32" spans="1:23" x14ac:dyDescent="0.25">
      <c r="A32" s="122"/>
      <c r="B32" s="34">
        <v>10000000000</v>
      </c>
      <c r="C32" s="35">
        <f t="shared" si="0"/>
        <v>0.01</v>
      </c>
      <c r="D32" s="92"/>
      <c r="E32" s="37" t="s">
        <v>114</v>
      </c>
      <c r="F32">
        <v>2.0939999999999999</v>
      </c>
      <c r="G32" s="31">
        <f t="shared" si="4"/>
        <v>2.094E-2</v>
      </c>
      <c r="H32">
        <v>3.52</v>
      </c>
      <c r="I32">
        <v>21.83</v>
      </c>
      <c r="J32">
        <v>134.69</v>
      </c>
      <c r="K32">
        <v>7.3708799999999997</v>
      </c>
      <c r="L32">
        <v>45.712020000000003</v>
      </c>
      <c r="M32">
        <v>282.04086000000001</v>
      </c>
      <c r="N32">
        <v>6.4913999999999996</v>
      </c>
      <c r="O32">
        <v>44.497500000000002</v>
      </c>
      <c r="P32">
        <v>96.449640000000002</v>
      </c>
      <c r="Q32" s="31">
        <f t="shared" si="1"/>
        <v>6.4913999999999999E-2</v>
      </c>
      <c r="R32" s="32">
        <f t="shared" si="2"/>
        <v>0.44497500000000001</v>
      </c>
      <c r="S32" s="33">
        <f t="shared" si="3"/>
        <v>0.96449640000000003</v>
      </c>
      <c r="T32" s="94"/>
      <c r="U32" s="94"/>
      <c r="V32" s="94"/>
      <c r="W32" s="95"/>
    </row>
    <row r="33" spans="1:23" x14ac:dyDescent="0.25">
      <c r="A33" s="122"/>
      <c r="B33" s="34">
        <v>100000000</v>
      </c>
      <c r="C33" s="35">
        <f t="shared" si="0"/>
        <v>1</v>
      </c>
      <c r="D33" s="92" t="s">
        <v>170</v>
      </c>
      <c r="E33" s="37" t="s">
        <v>111</v>
      </c>
      <c r="F33">
        <v>13.420999999999999</v>
      </c>
      <c r="G33" s="31">
        <f t="shared" si="4"/>
        <v>13.420999999999999</v>
      </c>
      <c r="H33">
        <v>3.48</v>
      </c>
      <c r="I33">
        <v>21.01</v>
      </c>
      <c r="J33">
        <v>126.93</v>
      </c>
      <c r="K33">
        <v>46.705080000000002</v>
      </c>
      <c r="L33">
        <v>281.97521</v>
      </c>
      <c r="M33">
        <v>1703.5275300000001</v>
      </c>
      <c r="N33">
        <v>41.068260000000002</v>
      </c>
      <c r="O33">
        <v>274.19103000000001</v>
      </c>
      <c r="P33">
        <v>609.98445000000004</v>
      </c>
      <c r="Q33" s="31">
        <f t="shared" si="1"/>
        <v>41.068260000000002</v>
      </c>
      <c r="R33" s="32">
        <f t="shared" si="2"/>
        <v>274.19103000000001</v>
      </c>
      <c r="S33" s="33">
        <f t="shared" si="3"/>
        <v>609.98445000000004</v>
      </c>
      <c r="T33" s="94">
        <f>(F34-F33)/F33</f>
        <v>-0.33127188734073465</v>
      </c>
      <c r="U33" s="94">
        <f>(Q34-Q33)/Q33</f>
        <v>-0.33127188734073471</v>
      </c>
      <c r="V33" s="94">
        <f>(R34-R33)/R33</f>
        <v>-0.33978237727178756</v>
      </c>
      <c r="W33" s="95">
        <f>(S34-S33)/S33</f>
        <v>-0.33892290205102771</v>
      </c>
    </row>
    <row r="34" spans="1:23" x14ac:dyDescent="0.25">
      <c r="A34" s="122"/>
      <c r="B34" s="34">
        <v>100000000</v>
      </c>
      <c r="C34" s="35">
        <f t="shared" si="0"/>
        <v>1</v>
      </c>
      <c r="D34" s="92"/>
      <c r="E34" s="37" t="s">
        <v>114</v>
      </c>
      <c r="F34">
        <v>8.9749999999999996</v>
      </c>
      <c r="G34" s="31">
        <f t="shared" si="4"/>
        <v>8.9749999999999996</v>
      </c>
      <c r="H34">
        <v>3.48</v>
      </c>
      <c r="I34">
        <v>20.75</v>
      </c>
      <c r="J34">
        <v>126.42</v>
      </c>
      <c r="K34">
        <v>31.233000000000001</v>
      </c>
      <c r="L34">
        <v>186.23124999999999</v>
      </c>
      <c r="M34">
        <v>1134.6195</v>
      </c>
      <c r="N34">
        <v>27.4635</v>
      </c>
      <c r="O34">
        <v>181.02574999999999</v>
      </c>
      <c r="P34">
        <v>403.24675000000002</v>
      </c>
      <c r="Q34" s="31">
        <f t="shared" si="1"/>
        <v>27.4635</v>
      </c>
      <c r="R34" s="32">
        <f t="shared" si="2"/>
        <v>181.02574999999999</v>
      </c>
      <c r="S34" s="33">
        <f t="shared" si="3"/>
        <v>403.24675000000002</v>
      </c>
      <c r="T34" s="94"/>
      <c r="U34" s="94"/>
      <c r="V34" s="94"/>
      <c r="W34" s="95"/>
    </row>
    <row r="35" spans="1:23" x14ac:dyDescent="0.25">
      <c r="A35" s="122" t="s">
        <v>25</v>
      </c>
      <c r="B35" s="34">
        <v>10000000000</v>
      </c>
      <c r="C35" s="35">
        <f t="shared" si="0"/>
        <v>0.01</v>
      </c>
      <c r="D35" s="113" t="s">
        <v>169</v>
      </c>
      <c r="E35" s="37" t="s">
        <v>111</v>
      </c>
      <c r="F35">
        <v>10.994</v>
      </c>
      <c r="G35" s="31">
        <f t="shared" si="4"/>
        <v>0.10994</v>
      </c>
      <c r="H35">
        <v>3.47</v>
      </c>
      <c r="I35">
        <v>21.98</v>
      </c>
      <c r="J35">
        <v>133.63999999999999</v>
      </c>
      <c r="K35">
        <v>38.149180000000001</v>
      </c>
      <c r="L35">
        <v>241.64812000000001</v>
      </c>
      <c r="M35">
        <v>1469.2381600000001</v>
      </c>
      <c r="N35">
        <v>33.531700000000001</v>
      </c>
      <c r="O35">
        <v>235.27160000000001</v>
      </c>
      <c r="P35">
        <v>524.85356000000002</v>
      </c>
      <c r="Q35" s="31">
        <f t="shared" si="1"/>
        <v>0.33531700000000003</v>
      </c>
      <c r="R35" s="32">
        <f t="shared" si="2"/>
        <v>2.352716</v>
      </c>
      <c r="S35" s="33">
        <f t="shared" si="3"/>
        <v>5.2485356000000003</v>
      </c>
      <c r="T35" s="94">
        <f>(F36-F35)/F35</f>
        <v>-0.76187011096961976</v>
      </c>
      <c r="U35" s="94">
        <f>(Q36-Q35)/Q35</f>
        <v>-0.76108935723509408</v>
      </c>
      <c r="V35" s="94">
        <f>(R36-R35)/R35</f>
        <v>-0.75586122591932037</v>
      </c>
      <c r="W35" s="95">
        <f>(S36-S35)/S35</f>
        <v>-0.74251644592064869</v>
      </c>
    </row>
    <row r="36" spans="1:23" x14ac:dyDescent="0.25">
      <c r="A36" s="122"/>
      <c r="B36" s="34">
        <v>10000000000</v>
      </c>
      <c r="C36" s="35">
        <f t="shared" si="0"/>
        <v>0.01</v>
      </c>
      <c r="D36" s="92"/>
      <c r="E36" s="37" t="s">
        <v>114</v>
      </c>
      <c r="F36">
        <v>2.6179999999999999</v>
      </c>
      <c r="G36" s="31">
        <f t="shared" si="4"/>
        <v>2.6179999999999998E-2</v>
      </c>
      <c r="H36">
        <v>3.48</v>
      </c>
      <c r="I36">
        <v>22.52</v>
      </c>
      <c r="J36">
        <v>137.52000000000001</v>
      </c>
      <c r="K36">
        <v>9.1106400000000001</v>
      </c>
      <c r="L36">
        <v>58.957359999999987</v>
      </c>
      <c r="M36">
        <v>360.02735999999999</v>
      </c>
      <c r="N36">
        <v>8.0110799999999998</v>
      </c>
      <c r="O36">
        <v>57.438920000000003</v>
      </c>
      <c r="P36">
        <v>135.14116000000001</v>
      </c>
      <c r="Q36" s="31">
        <f t="shared" si="1"/>
        <v>8.0110799999999996E-2</v>
      </c>
      <c r="R36" s="32">
        <f t="shared" si="2"/>
        <v>0.57438920000000004</v>
      </c>
      <c r="S36" s="33">
        <f t="shared" si="3"/>
        <v>1.3514116000000003</v>
      </c>
      <c r="T36" s="94"/>
      <c r="U36" s="94"/>
      <c r="V36" s="94"/>
      <c r="W36" s="95"/>
    </row>
    <row r="37" spans="1:23" x14ac:dyDescent="0.25">
      <c r="A37" s="122"/>
      <c r="B37" s="34">
        <v>10000000</v>
      </c>
      <c r="C37" s="35">
        <f t="shared" si="0"/>
        <v>10</v>
      </c>
      <c r="D37" s="92" t="s">
        <v>170</v>
      </c>
      <c r="E37" s="37" t="s">
        <v>111</v>
      </c>
      <c r="F37">
        <v>22.356000000000002</v>
      </c>
      <c r="G37" s="31">
        <f t="shared" si="4"/>
        <v>223.56</v>
      </c>
      <c r="H37">
        <v>3.47</v>
      </c>
      <c r="I37">
        <v>22.75</v>
      </c>
      <c r="J37">
        <v>133.75</v>
      </c>
      <c r="K37">
        <v>77.575320000000005</v>
      </c>
      <c r="L37">
        <v>508.59899999999999</v>
      </c>
      <c r="M37">
        <v>2990.1149999999998</v>
      </c>
      <c r="N37">
        <v>68.1858</v>
      </c>
      <c r="O37">
        <v>495.63252000000011</v>
      </c>
      <c r="P37">
        <v>1194.9282000000001</v>
      </c>
      <c r="Q37" s="31">
        <f t="shared" si="1"/>
        <v>681.85799999999995</v>
      </c>
      <c r="R37" s="32">
        <f t="shared" si="2"/>
        <v>4956.3252000000011</v>
      </c>
      <c r="S37" s="33">
        <f t="shared" si="3"/>
        <v>11949.282000000001</v>
      </c>
      <c r="T37" s="94">
        <f>(F38-F37)/F37</f>
        <v>3.0819466809804973E-2</v>
      </c>
      <c r="U37" s="94">
        <f>(Q38-Q37)/Q37</f>
        <v>2.7439730853051736E-2</v>
      </c>
      <c r="V37" s="94">
        <f>(R38-R37)/R37</f>
        <v>7.5713958398049503E-3</v>
      </c>
      <c r="W37" s="95">
        <f>(S38-S37)/S37</f>
        <v>-1.1994737424390974E-2</v>
      </c>
    </row>
    <row r="38" spans="1:23" x14ac:dyDescent="0.25">
      <c r="A38" s="122"/>
      <c r="B38" s="34">
        <v>10000000</v>
      </c>
      <c r="C38" s="35">
        <f t="shared" si="0"/>
        <v>10</v>
      </c>
      <c r="D38" s="92"/>
      <c r="E38" s="37" t="s">
        <v>114</v>
      </c>
      <c r="F38">
        <v>23.045000000000002</v>
      </c>
      <c r="G38" s="31">
        <f t="shared" si="4"/>
        <v>230.45000000000002</v>
      </c>
      <c r="H38">
        <v>3.46</v>
      </c>
      <c r="I38">
        <v>22.25</v>
      </c>
      <c r="J38">
        <v>131.53</v>
      </c>
      <c r="K38">
        <v>79.735700000000008</v>
      </c>
      <c r="L38">
        <v>512.75125000000003</v>
      </c>
      <c r="M38">
        <v>3031.1088500000001</v>
      </c>
      <c r="N38">
        <v>70.05680000000001</v>
      </c>
      <c r="O38">
        <v>499.38515000000012</v>
      </c>
      <c r="P38">
        <v>1180.5953500000001</v>
      </c>
      <c r="Q38" s="31">
        <f t="shared" si="1"/>
        <v>700.5680000000001</v>
      </c>
      <c r="R38" s="32">
        <f t="shared" si="2"/>
        <v>4993.8515000000016</v>
      </c>
      <c r="S38" s="33">
        <f t="shared" si="3"/>
        <v>11805.9535</v>
      </c>
      <c r="T38" s="94"/>
      <c r="U38" s="94"/>
      <c r="V38" s="94"/>
      <c r="W38" s="95"/>
    </row>
    <row r="39" spans="1:23" x14ac:dyDescent="0.25">
      <c r="A39" s="122" t="s">
        <v>31</v>
      </c>
      <c r="B39" s="34">
        <v>10000000000</v>
      </c>
      <c r="C39" s="35">
        <f t="shared" si="0"/>
        <v>0.01</v>
      </c>
      <c r="D39" s="113" t="s">
        <v>169</v>
      </c>
      <c r="E39" s="37" t="s">
        <v>111</v>
      </c>
      <c r="F39">
        <v>2.0939999999999999</v>
      </c>
      <c r="G39" s="31">
        <f t="shared" si="4"/>
        <v>2.094E-2</v>
      </c>
      <c r="H39">
        <v>3.48</v>
      </c>
      <c r="I39">
        <v>21.73</v>
      </c>
      <c r="J39">
        <v>135.72999999999999</v>
      </c>
      <c r="K39">
        <v>7.2871199999999998</v>
      </c>
      <c r="L39">
        <v>45.50262</v>
      </c>
      <c r="M39">
        <v>284.21861999999999</v>
      </c>
      <c r="N39">
        <v>6.4076399999999998</v>
      </c>
      <c r="O39">
        <v>44.288099999999993</v>
      </c>
      <c r="P39">
        <v>96.868439999999993</v>
      </c>
      <c r="Q39" s="31">
        <f t="shared" si="1"/>
        <v>6.4076400000000006E-2</v>
      </c>
      <c r="R39" s="32">
        <f t="shared" si="2"/>
        <v>0.44288099999999991</v>
      </c>
      <c r="S39" s="33">
        <f t="shared" si="3"/>
        <v>0.9686844</v>
      </c>
      <c r="T39" s="94">
        <f>(F40-F39)/F39</f>
        <v>4.7755491881582333E-4</v>
      </c>
      <c r="U39" s="94">
        <f>(Q40-Q39)/Q39</f>
        <v>3.7470894120142997E-3</v>
      </c>
      <c r="V39" s="94">
        <f>(R40-R39)/R39</f>
        <v>-3.3067573456521233E-3</v>
      </c>
      <c r="W39" s="95">
        <f>(S40-S39)/S39</f>
        <v>-8.1733534678580175E-3</v>
      </c>
    </row>
    <row r="40" spans="1:23" x14ac:dyDescent="0.25">
      <c r="A40" s="122"/>
      <c r="B40" s="34">
        <v>10000000000</v>
      </c>
      <c r="C40" s="35">
        <f t="shared" si="0"/>
        <v>0.01</v>
      </c>
      <c r="D40" s="92"/>
      <c r="E40" s="37" t="s">
        <v>114</v>
      </c>
      <c r="F40">
        <v>2.0950000000000002</v>
      </c>
      <c r="G40" s="31">
        <f t="shared" si="4"/>
        <v>2.0950000000000003E-2</v>
      </c>
      <c r="H40">
        <v>3.49</v>
      </c>
      <c r="I40">
        <v>21.65</v>
      </c>
      <c r="J40">
        <v>135.33000000000001</v>
      </c>
      <c r="K40">
        <v>7.3115500000000013</v>
      </c>
      <c r="L40">
        <v>45.356749999999998</v>
      </c>
      <c r="M40">
        <v>283.51634999999999</v>
      </c>
      <c r="N40">
        <v>6.4316500000000003</v>
      </c>
      <c r="O40">
        <v>44.141650000000013</v>
      </c>
      <c r="P40">
        <v>96.076700000000002</v>
      </c>
      <c r="Q40" s="31">
        <f t="shared" si="1"/>
        <v>6.4316499999999999E-2</v>
      </c>
      <c r="R40" s="32">
        <f t="shared" si="2"/>
        <v>0.44141650000000016</v>
      </c>
      <c r="S40" s="33">
        <f t="shared" si="3"/>
        <v>0.96076700000000004</v>
      </c>
      <c r="T40" s="94"/>
      <c r="U40" s="94"/>
      <c r="V40" s="94"/>
      <c r="W40" s="95"/>
    </row>
    <row r="41" spans="1:23" x14ac:dyDescent="0.25">
      <c r="A41" s="122"/>
      <c r="B41" s="34">
        <v>100000000</v>
      </c>
      <c r="C41" s="35">
        <f t="shared" si="0"/>
        <v>1</v>
      </c>
      <c r="D41" s="92" t="s">
        <v>170</v>
      </c>
      <c r="E41" s="37" t="s">
        <v>111</v>
      </c>
      <c r="F41">
        <v>9.1270000000000007</v>
      </c>
      <c r="G41" s="31">
        <f t="shared" si="4"/>
        <v>9.1270000000000007</v>
      </c>
      <c r="H41">
        <v>3.46</v>
      </c>
      <c r="I41">
        <v>21.24</v>
      </c>
      <c r="J41">
        <v>129.19</v>
      </c>
      <c r="K41">
        <v>31.579419999999999</v>
      </c>
      <c r="L41">
        <v>193.85748000000001</v>
      </c>
      <c r="M41">
        <v>1179.1171300000001</v>
      </c>
      <c r="N41">
        <v>27.746079999999999</v>
      </c>
      <c r="O41">
        <v>188.56381999999999</v>
      </c>
      <c r="P41">
        <v>451.05633999999998</v>
      </c>
      <c r="Q41" s="31">
        <f t="shared" si="1"/>
        <v>27.746079999999999</v>
      </c>
      <c r="R41" s="32">
        <f t="shared" si="2"/>
        <v>188.56381999999999</v>
      </c>
      <c r="S41" s="33">
        <f t="shared" si="3"/>
        <v>451.05633999999998</v>
      </c>
      <c r="T41" s="94">
        <f>(F42-F41)/F41</f>
        <v>-6.5739016106059487E-3</v>
      </c>
      <c r="U41" s="94">
        <f>(Q42-Q41)/Q41</f>
        <v>-3.8203594886158719E-5</v>
      </c>
      <c r="V41" s="94">
        <f>(R42-R41)/R41</f>
        <v>-2.5807707968580604E-2</v>
      </c>
      <c r="W41" s="95">
        <f>(S42-S41)/S41</f>
        <v>-2.9288824540189273E-2</v>
      </c>
    </row>
    <row r="42" spans="1:23" x14ac:dyDescent="0.25">
      <c r="A42" s="122"/>
      <c r="B42" s="34">
        <v>100000000</v>
      </c>
      <c r="C42" s="35">
        <f t="shared" si="0"/>
        <v>1</v>
      </c>
      <c r="D42" s="92"/>
      <c r="E42" s="37" t="s">
        <v>114</v>
      </c>
      <c r="F42">
        <v>9.0670000000000002</v>
      </c>
      <c r="G42" s="31">
        <f t="shared" si="4"/>
        <v>9.0670000000000002</v>
      </c>
      <c r="H42">
        <v>3.48</v>
      </c>
      <c r="I42">
        <v>20.84</v>
      </c>
      <c r="J42">
        <v>128.06</v>
      </c>
      <c r="K42">
        <v>31.553159999999998</v>
      </c>
      <c r="L42">
        <v>188.95627999999999</v>
      </c>
      <c r="M42">
        <v>1161.1200200000001</v>
      </c>
      <c r="N42">
        <v>27.74502</v>
      </c>
      <c r="O42">
        <v>183.69741999999999</v>
      </c>
      <c r="P42">
        <v>437.84543000000002</v>
      </c>
      <c r="Q42" s="31">
        <f t="shared" si="1"/>
        <v>27.74502</v>
      </c>
      <c r="R42" s="32">
        <f t="shared" si="2"/>
        <v>183.69741999999999</v>
      </c>
      <c r="S42" s="33">
        <f t="shared" si="3"/>
        <v>437.84543000000002</v>
      </c>
      <c r="T42" s="94"/>
      <c r="U42" s="94"/>
      <c r="V42" s="94"/>
      <c r="W42" s="95"/>
    </row>
    <row r="43" spans="1:23" x14ac:dyDescent="0.25">
      <c r="A43" s="122" t="s">
        <v>33</v>
      </c>
      <c r="B43" s="34">
        <v>10000000000</v>
      </c>
      <c r="C43" s="35">
        <f t="shared" si="0"/>
        <v>0.01</v>
      </c>
      <c r="D43" s="113" t="s">
        <v>169</v>
      </c>
      <c r="E43" s="37" t="s">
        <v>111</v>
      </c>
      <c r="F43">
        <v>2.0939999999999999</v>
      </c>
      <c r="G43" s="31">
        <f t="shared" si="4"/>
        <v>2.094E-2</v>
      </c>
      <c r="H43">
        <v>3.48</v>
      </c>
      <c r="I43">
        <v>21.48</v>
      </c>
      <c r="J43">
        <v>132.24</v>
      </c>
      <c r="K43">
        <v>7.2871199999999998</v>
      </c>
      <c r="L43">
        <v>44.979119999999988</v>
      </c>
      <c r="M43">
        <v>276.91055999999998</v>
      </c>
      <c r="N43">
        <v>6.4076399999999998</v>
      </c>
      <c r="O43">
        <v>43.764599999999987</v>
      </c>
      <c r="P43">
        <v>89.476619999999983</v>
      </c>
      <c r="Q43" s="31">
        <f t="shared" si="1"/>
        <v>6.4076400000000006E-2</v>
      </c>
      <c r="R43" s="32">
        <f t="shared" si="2"/>
        <v>0.43764599999999987</v>
      </c>
      <c r="S43" s="33">
        <f t="shared" si="3"/>
        <v>0.89476619999999985</v>
      </c>
      <c r="T43" s="94">
        <f>(F44-F43)/F43</f>
        <v>0</v>
      </c>
      <c r="U43" s="94">
        <f>(Q44-Q43)/Q43</f>
        <v>-3.267973856209343E-3</v>
      </c>
      <c r="V43" s="94">
        <f>(R44-R43)/R43</f>
        <v>9.5693779904343606E-4</v>
      </c>
      <c r="W43" s="95">
        <f>(S44-S43)/S43</f>
        <v>-1.8488181605429404E-2</v>
      </c>
    </row>
    <row r="44" spans="1:23" x14ac:dyDescent="0.25">
      <c r="A44" s="122"/>
      <c r="B44" s="34">
        <v>10000000000</v>
      </c>
      <c r="C44" s="35">
        <f t="shared" si="0"/>
        <v>0.01</v>
      </c>
      <c r="D44" s="92"/>
      <c r="E44" s="37" t="s">
        <v>114</v>
      </c>
      <c r="F44">
        <v>2.0939999999999999</v>
      </c>
      <c r="G44" s="31">
        <f t="shared" si="4"/>
        <v>2.094E-2</v>
      </c>
      <c r="H44">
        <v>3.47</v>
      </c>
      <c r="I44">
        <v>21.5</v>
      </c>
      <c r="J44">
        <v>131.44999999999999</v>
      </c>
      <c r="K44">
        <v>7.2661800000000003</v>
      </c>
      <c r="L44">
        <v>45.020999999999987</v>
      </c>
      <c r="M44">
        <v>275.25630000000001</v>
      </c>
      <c r="N44">
        <v>6.3866999999999994</v>
      </c>
      <c r="O44">
        <v>43.806480000000001</v>
      </c>
      <c r="P44">
        <v>87.822359999999989</v>
      </c>
      <c r="Q44" s="31">
        <f t="shared" si="1"/>
        <v>6.3866999999999993E-2</v>
      </c>
      <c r="R44" s="32">
        <f t="shared" si="2"/>
        <v>0.43806480000000003</v>
      </c>
      <c r="S44" s="33">
        <f t="shared" si="3"/>
        <v>0.87822359999999988</v>
      </c>
      <c r="T44" s="94"/>
      <c r="U44" s="94"/>
      <c r="V44" s="94"/>
      <c r="W44" s="95"/>
    </row>
    <row r="45" spans="1:23" x14ac:dyDescent="0.25">
      <c r="A45" s="122"/>
      <c r="B45" s="34">
        <v>100000000</v>
      </c>
      <c r="C45" s="35">
        <f t="shared" si="0"/>
        <v>1</v>
      </c>
      <c r="D45" s="92" t="s">
        <v>170</v>
      </c>
      <c r="E45" s="37" t="s">
        <v>111</v>
      </c>
      <c r="F45">
        <v>8.9700000000000006</v>
      </c>
      <c r="G45" s="31">
        <f t="shared" si="4"/>
        <v>8.9700000000000006</v>
      </c>
      <c r="H45">
        <v>3.47</v>
      </c>
      <c r="I45">
        <v>20.420000000000002</v>
      </c>
      <c r="J45">
        <v>128.22</v>
      </c>
      <c r="K45">
        <v>31.125900000000009</v>
      </c>
      <c r="L45">
        <v>183.16739999999999</v>
      </c>
      <c r="M45">
        <v>1150.1333999999999</v>
      </c>
      <c r="N45">
        <v>27.358499999999999</v>
      </c>
      <c r="O45">
        <v>177.9648</v>
      </c>
      <c r="P45">
        <v>409.30110000000008</v>
      </c>
      <c r="Q45" s="31">
        <f t="shared" si="1"/>
        <v>27.358499999999999</v>
      </c>
      <c r="R45" s="32">
        <f t="shared" si="2"/>
        <v>177.9648</v>
      </c>
      <c r="S45" s="33">
        <f t="shared" si="3"/>
        <v>409.30110000000008</v>
      </c>
      <c r="T45" s="94">
        <f>(F46-F45)/F45</f>
        <v>1.4827201783723423E-2</v>
      </c>
      <c r="U45" s="94">
        <f>(Q46-Q45)/Q45</f>
        <v>1.1499899482793336E-2</v>
      </c>
      <c r="V45" s="94">
        <f>(R46-R45)/R45</f>
        <v>4.0402484086740811E-2</v>
      </c>
      <c r="W45" s="95">
        <f>(S46-S45)/S45</f>
        <v>4.9966955866964272E-2</v>
      </c>
    </row>
    <row r="46" spans="1:23" x14ac:dyDescent="0.25">
      <c r="A46" s="122"/>
      <c r="B46" s="34">
        <v>100000000</v>
      </c>
      <c r="C46" s="35">
        <f t="shared" si="0"/>
        <v>1</v>
      </c>
      <c r="D46" s="92"/>
      <c r="E46" s="37" t="s">
        <v>114</v>
      </c>
      <c r="F46">
        <v>9.1029999999999998</v>
      </c>
      <c r="G46" s="31">
        <f t="shared" si="4"/>
        <v>9.1029999999999998</v>
      </c>
      <c r="H46">
        <v>3.46</v>
      </c>
      <c r="I46">
        <v>20.92</v>
      </c>
      <c r="J46">
        <v>129.80000000000001</v>
      </c>
      <c r="K46">
        <v>31.496379999999998</v>
      </c>
      <c r="L46">
        <v>190.43476000000001</v>
      </c>
      <c r="M46">
        <v>1181.5694000000001</v>
      </c>
      <c r="N46">
        <v>27.673120000000001</v>
      </c>
      <c r="O46">
        <v>185.15502000000001</v>
      </c>
      <c r="P46">
        <v>429.75263000000001</v>
      </c>
      <c r="Q46" s="31">
        <f t="shared" si="1"/>
        <v>27.673120000000001</v>
      </c>
      <c r="R46" s="32">
        <f t="shared" si="2"/>
        <v>185.15502000000001</v>
      </c>
      <c r="S46" s="33">
        <f t="shared" si="3"/>
        <v>429.75263000000001</v>
      </c>
      <c r="T46" s="94"/>
      <c r="U46" s="94"/>
      <c r="V46" s="94"/>
      <c r="W46" s="95"/>
    </row>
    <row r="47" spans="1:23" x14ac:dyDescent="0.25">
      <c r="A47" s="123" t="s">
        <v>37</v>
      </c>
      <c r="B47" s="34">
        <v>100000000</v>
      </c>
      <c r="C47" s="35">
        <f t="shared" si="0"/>
        <v>1</v>
      </c>
      <c r="D47" s="113" t="s">
        <v>169</v>
      </c>
      <c r="E47" s="37" t="s">
        <v>111</v>
      </c>
      <c r="F47">
        <v>2.0070000000000001</v>
      </c>
      <c r="G47" s="31">
        <f t="shared" si="4"/>
        <v>2.0070000000000001</v>
      </c>
      <c r="H47">
        <v>3.48</v>
      </c>
      <c r="I47">
        <v>17.600000000000001</v>
      </c>
      <c r="J47">
        <v>125.04</v>
      </c>
      <c r="K47">
        <v>6.9843600000000006</v>
      </c>
      <c r="L47">
        <v>35.323200000000007</v>
      </c>
      <c r="M47">
        <v>250.95527999999999</v>
      </c>
      <c r="N47">
        <v>6.1414200000000001</v>
      </c>
      <c r="O47">
        <v>34.159140000000001</v>
      </c>
      <c r="P47">
        <v>91.378710000000012</v>
      </c>
      <c r="Q47" s="31">
        <f t="shared" si="1"/>
        <v>6.1414200000000001</v>
      </c>
      <c r="R47" s="32">
        <f t="shared" si="2"/>
        <v>34.159140000000001</v>
      </c>
      <c r="S47" s="33">
        <f t="shared" si="3"/>
        <v>91.378710000000012</v>
      </c>
      <c r="T47" s="94">
        <f>(F48-F47)/F47</f>
        <v>-0.21723966118584959</v>
      </c>
      <c r="U47" s="94">
        <f>(Q48-Q47)/Q47</f>
        <v>-0.21723966118584948</v>
      </c>
      <c r="V47" s="94">
        <f>(R48-R47)/R47</f>
        <v>-0.10364283175747399</v>
      </c>
      <c r="W47" s="95">
        <f>(S48-S47)/S47</f>
        <v>-0.11167962428009777</v>
      </c>
    </row>
    <row r="48" spans="1:23" x14ac:dyDescent="0.25">
      <c r="A48" s="124"/>
      <c r="B48" s="34">
        <v>100000000</v>
      </c>
      <c r="C48" s="35">
        <f t="shared" si="0"/>
        <v>1</v>
      </c>
      <c r="D48" s="92"/>
      <c r="E48" s="37" t="s">
        <v>114</v>
      </c>
      <c r="F48">
        <v>1.571</v>
      </c>
      <c r="G48" s="31">
        <f t="shared" si="4"/>
        <v>1.571</v>
      </c>
      <c r="H48">
        <v>3.48</v>
      </c>
      <c r="I48">
        <v>20.07</v>
      </c>
      <c r="J48">
        <v>131.18</v>
      </c>
      <c r="K48">
        <v>5.4670800000000002</v>
      </c>
      <c r="L48">
        <v>31.529969999999999</v>
      </c>
      <c r="M48">
        <v>206.08377999999999</v>
      </c>
      <c r="N48">
        <v>4.8072600000000003</v>
      </c>
      <c r="O48">
        <v>30.618790000000001</v>
      </c>
      <c r="P48">
        <v>81.173569999999998</v>
      </c>
      <c r="Q48" s="31">
        <f t="shared" si="1"/>
        <v>4.8072600000000003</v>
      </c>
      <c r="R48" s="32">
        <f t="shared" si="2"/>
        <v>30.618790000000001</v>
      </c>
      <c r="S48" s="33">
        <f t="shared" si="3"/>
        <v>81.173569999999998</v>
      </c>
      <c r="T48" s="94"/>
      <c r="U48" s="94"/>
      <c r="V48" s="94"/>
      <c r="W48" s="95"/>
    </row>
    <row r="49" spans="1:23" x14ac:dyDescent="0.25">
      <c r="A49" s="124"/>
      <c r="B49" s="34">
        <v>100000000</v>
      </c>
      <c r="C49" s="35">
        <f t="shared" si="0"/>
        <v>1</v>
      </c>
      <c r="D49" s="92" t="s">
        <v>170</v>
      </c>
      <c r="E49" s="37" t="s">
        <v>111</v>
      </c>
      <c r="F49">
        <v>60.072000000000003</v>
      </c>
      <c r="G49" s="31">
        <f t="shared" si="4"/>
        <v>60.072000000000003</v>
      </c>
      <c r="H49">
        <v>3.42</v>
      </c>
      <c r="I49">
        <v>27.07</v>
      </c>
      <c r="J49">
        <v>143.58000000000001</v>
      </c>
      <c r="K49">
        <v>205.44623999999999</v>
      </c>
      <c r="L49">
        <v>1626.14904</v>
      </c>
      <c r="M49">
        <v>8625.1377600000014</v>
      </c>
      <c r="N49">
        <v>180.21600000000001</v>
      </c>
      <c r="O49">
        <v>1591.30728</v>
      </c>
      <c r="P49">
        <v>3417.4960799999999</v>
      </c>
      <c r="Q49" s="31">
        <f t="shared" si="1"/>
        <v>180.21600000000001</v>
      </c>
      <c r="R49" s="32">
        <f t="shared" si="2"/>
        <v>1591.30728</v>
      </c>
      <c r="S49" s="33">
        <f t="shared" si="3"/>
        <v>3417.4960799999999</v>
      </c>
      <c r="T49" s="94">
        <f>(F50-F49)/F49</f>
        <v>-3.209481954987356E-2</v>
      </c>
      <c r="U49" s="94">
        <f>(Q50-Q49)/Q49</f>
        <v>-3.2094819549873595E-2</v>
      </c>
      <c r="V49" s="94">
        <f>(R50-R49)/R49</f>
        <v>-5.4748696933002196E-2</v>
      </c>
      <c r="W49" s="95">
        <f>(S50-S49)/S49</f>
        <v>-5.8125667257532036E-2</v>
      </c>
    </row>
    <row r="50" spans="1:23" x14ac:dyDescent="0.25">
      <c r="A50" s="125"/>
      <c r="B50" s="34">
        <v>100000000</v>
      </c>
      <c r="C50" s="35">
        <f t="shared" si="0"/>
        <v>1</v>
      </c>
      <c r="D50" s="92"/>
      <c r="E50" s="37" t="s">
        <v>114</v>
      </c>
      <c r="F50">
        <v>58.143999999999998</v>
      </c>
      <c r="G50" s="31">
        <f t="shared" si="4"/>
        <v>58.143999999999998</v>
      </c>
      <c r="H50">
        <v>3.42</v>
      </c>
      <c r="I50">
        <v>26.45</v>
      </c>
      <c r="J50">
        <v>142.05000000000001</v>
      </c>
      <c r="K50">
        <v>198.85248000000001</v>
      </c>
      <c r="L50">
        <v>1537.9087999999999</v>
      </c>
      <c r="M50">
        <v>8259.3552</v>
      </c>
      <c r="N50">
        <v>174.43199999999999</v>
      </c>
      <c r="O50">
        <v>1504.1852799999999</v>
      </c>
      <c r="P50">
        <v>3218.8518399999998</v>
      </c>
      <c r="Q50" s="31">
        <f t="shared" si="1"/>
        <v>174.43199999999999</v>
      </c>
      <c r="R50" s="32">
        <f t="shared" si="2"/>
        <v>1504.1852799999999</v>
      </c>
      <c r="S50" s="33">
        <f t="shared" si="3"/>
        <v>3218.8518399999998</v>
      </c>
      <c r="T50" s="94"/>
      <c r="U50" s="94"/>
      <c r="V50" s="94"/>
      <c r="W50" s="95"/>
    </row>
    <row r="51" spans="1:23" x14ac:dyDescent="0.25">
      <c r="A51" s="122" t="s">
        <v>39</v>
      </c>
      <c r="B51" s="34">
        <v>10000000000</v>
      </c>
      <c r="C51" s="35">
        <f t="shared" si="0"/>
        <v>0.01</v>
      </c>
      <c r="D51" s="113" t="s">
        <v>169</v>
      </c>
      <c r="E51" s="37" t="s">
        <v>111</v>
      </c>
      <c r="F51">
        <v>49.692</v>
      </c>
      <c r="G51" s="31">
        <f t="shared" si="4"/>
        <v>0.49692000000000003</v>
      </c>
      <c r="H51">
        <v>3.44</v>
      </c>
      <c r="I51">
        <v>24.91</v>
      </c>
      <c r="J51">
        <v>138.57</v>
      </c>
      <c r="K51">
        <v>170.94048000000001</v>
      </c>
      <c r="L51">
        <v>1237.82772</v>
      </c>
      <c r="M51">
        <v>6885.8204400000004</v>
      </c>
      <c r="N51">
        <v>150.06984</v>
      </c>
      <c r="O51">
        <v>1209.0063600000001</v>
      </c>
      <c r="P51">
        <v>2725.1092800000001</v>
      </c>
      <c r="Q51" s="31">
        <f t="shared" si="1"/>
        <v>1.5006984000000001</v>
      </c>
      <c r="R51" s="32">
        <f t="shared" si="2"/>
        <v>12.090063600000001</v>
      </c>
      <c r="S51" s="33">
        <f t="shared" si="3"/>
        <v>27.251092800000002</v>
      </c>
      <c r="T51" s="94">
        <f>(F52-F51)/F51</f>
        <v>1.1740119133864606</v>
      </c>
      <c r="U51" s="94">
        <f>(Q52-Q51)/Q51</f>
        <v>1.1668131984414722</v>
      </c>
      <c r="V51" s="94">
        <f>(R52-R51)/R51</f>
        <v>0.74957473341992986</v>
      </c>
      <c r="W51" s="95">
        <f>(S52-S51)/S51</f>
        <v>0.81603730401593255</v>
      </c>
    </row>
    <row r="52" spans="1:23" x14ac:dyDescent="0.25">
      <c r="A52" s="122"/>
      <c r="B52" s="34">
        <v>10000000000</v>
      </c>
      <c r="C52" s="35">
        <f t="shared" si="0"/>
        <v>0.01</v>
      </c>
      <c r="D52" s="92"/>
      <c r="E52" s="37" t="s">
        <v>114</v>
      </c>
      <c r="F52">
        <v>108.03100000000001</v>
      </c>
      <c r="G52" s="31">
        <f t="shared" si="4"/>
        <v>1.0803100000000001</v>
      </c>
      <c r="H52">
        <v>3.43</v>
      </c>
      <c r="I52">
        <v>20.16</v>
      </c>
      <c r="J52">
        <v>129.54</v>
      </c>
      <c r="K52">
        <v>370.54633000000001</v>
      </c>
      <c r="L52">
        <v>2177.9049599999998</v>
      </c>
      <c r="M52">
        <v>13994.33574</v>
      </c>
      <c r="N52">
        <v>325.17331000000001</v>
      </c>
      <c r="O52">
        <v>2115.2469799999999</v>
      </c>
      <c r="P52">
        <v>4948.9001099999996</v>
      </c>
      <c r="Q52" s="31">
        <f t="shared" si="1"/>
        <v>3.2517331</v>
      </c>
      <c r="R52" s="32">
        <f t="shared" si="2"/>
        <v>21.152469799999999</v>
      </c>
      <c r="S52" s="33">
        <f t="shared" si="3"/>
        <v>49.489001099999996</v>
      </c>
      <c r="T52" s="94"/>
      <c r="U52" s="94"/>
      <c r="V52" s="94"/>
      <c r="W52" s="95"/>
    </row>
    <row r="53" spans="1:23" x14ac:dyDescent="0.25">
      <c r="A53" s="122"/>
      <c r="B53" s="34">
        <v>100000000</v>
      </c>
      <c r="C53" s="35">
        <f t="shared" si="0"/>
        <v>1</v>
      </c>
      <c r="D53" s="92" t="s">
        <v>170</v>
      </c>
      <c r="E53" s="37" t="s">
        <v>111</v>
      </c>
      <c r="F53">
        <v>29.222999999999999</v>
      </c>
      <c r="G53" s="31">
        <f t="shared" si="4"/>
        <v>29.222999999999999</v>
      </c>
      <c r="H53">
        <v>3.43</v>
      </c>
      <c r="I53">
        <v>27.22</v>
      </c>
      <c r="J53">
        <v>143.99</v>
      </c>
      <c r="K53">
        <v>100.23488999999999</v>
      </c>
      <c r="L53">
        <v>795.45005999999989</v>
      </c>
      <c r="M53">
        <v>4207.8197700000001</v>
      </c>
      <c r="N53">
        <v>87.961229999999986</v>
      </c>
      <c r="O53">
        <v>778.50072</v>
      </c>
      <c r="P53">
        <v>1684.12149</v>
      </c>
      <c r="Q53" s="31">
        <f t="shared" si="1"/>
        <v>87.961229999999986</v>
      </c>
      <c r="R53" s="32">
        <f t="shared" si="2"/>
        <v>778.50072</v>
      </c>
      <c r="S53" s="33">
        <f t="shared" si="3"/>
        <v>1684.12149</v>
      </c>
      <c r="T53" s="94">
        <f>(F54-F53)/F53</f>
        <v>-0.29295417992677003</v>
      </c>
      <c r="U53" s="94">
        <f>(Q54-Q53)/Q53</f>
        <v>-0.29060519049131067</v>
      </c>
      <c r="V53" s="94">
        <f>(R54-R53)/R53</f>
        <v>-0.29481203305759313</v>
      </c>
      <c r="W53" s="95">
        <f>(S54-S53)/S53</f>
        <v>-0.27823172661967516</v>
      </c>
    </row>
    <row r="54" spans="1:23" x14ac:dyDescent="0.25">
      <c r="A54" s="122"/>
      <c r="B54" s="34">
        <v>100000000</v>
      </c>
      <c r="C54" s="35">
        <f t="shared" si="0"/>
        <v>1</v>
      </c>
      <c r="D54" s="92"/>
      <c r="E54" s="37" t="s">
        <v>114</v>
      </c>
      <c r="F54">
        <v>20.661999999999999</v>
      </c>
      <c r="G54" s="31">
        <f t="shared" si="4"/>
        <v>20.661999999999999</v>
      </c>
      <c r="H54">
        <v>3.44</v>
      </c>
      <c r="I54">
        <v>27.15</v>
      </c>
      <c r="J54">
        <v>145.18</v>
      </c>
      <c r="K54">
        <v>71.077280000000002</v>
      </c>
      <c r="L54">
        <v>560.97329999999999</v>
      </c>
      <c r="M54">
        <v>2999.7091599999999</v>
      </c>
      <c r="N54">
        <v>62.399239999999999</v>
      </c>
      <c r="O54">
        <v>548.98933999999997</v>
      </c>
      <c r="P54">
        <v>1215.54546</v>
      </c>
      <c r="Q54" s="31">
        <f t="shared" si="1"/>
        <v>62.399239999999999</v>
      </c>
      <c r="R54" s="32">
        <f t="shared" si="2"/>
        <v>548.98933999999997</v>
      </c>
      <c r="S54" s="33">
        <f t="shared" si="3"/>
        <v>1215.54546</v>
      </c>
      <c r="T54" s="94"/>
      <c r="U54" s="94"/>
      <c r="V54" s="94"/>
      <c r="W54" s="95"/>
    </row>
    <row r="55" spans="1:23" x14ac:dyDescent="0.25">
      <c r="A55" s="122" t="s">
        <v>49</v>
      </c>
      <c r="B55" s="34">
        <v>100000000</v>
      </c>
      <c r="C55" s="35">
        <f t="shared" si="0"/>
        <v>1</v>
      </c>
      <c r="D55" s="113" t="s">
        <v>169</v>
      </c>
      <c r="E55" s="37" t="s">
        <v>111</v>
      </c>
      <c r="F55">
        <v>1.0469999999999999</v>
      </c>
      <c r="G55" s="31">
        <f t="shared" si="4"/>
        <v>1.0469999999999999</v>
      </c>
      <c r="H55">
        <v>3.5</v>
      </c>
      <c r="I55">
        <v>18.95</v>
      </c>
      <c r="J55">
        <v>135.85</v>
      </c>
      <c r="K55">
        <v>3.6644999999999999</v>
      </c>
      <c r="L55">
        <v>19.84065</v>
      </c>
      <c r="M55">
        <v>142.23495</v>
      </c>
      <c r="N55">
        <v>3.2247599999999998</v>
      </c>
      <c r="O55">
        <v>19.23339</v>
      </c>
      <c r="P55">
        <v>44.926769999999991</v>
      </c>
      <c r="Q55" s="31">
        <f t="shared" si="1"/>
        <v>3.2247599999999998</v>
      </c>
      <c r="R55" s="32">
        <f t="shared" si="2"/>
        <v>19.23339</v>
      </c>
      <c r="S55" s="33">
        <f t="shared" si="3"/>
        <v>44.926769999999991</v>
      </c>
      <c r="T55" s="94">
        <f>(F56-F55)/F55</f>
        <v>0</v>
      </c>
      <c r="U55" s="94">
        <f>(Q56-Q55)/Q55</f>
        <v>-3.2467532467531715E-3</v>
      </c>
      <c r="V55" s="94">
        <f>(R56-R55)/R55</f>
        <v>4.8992923244420221E-2</v>
      </c>
      <c r="W55" s="95">
        <f>(S56-S55)/S55</f>
        <v>2.3071545094383736E-2</v>
      </c>
    </row>
    <row r="56" spans="1:23" x14ac:dyDescent="0.25">
      <c r="A56" s="122"/>
      <c r="B56" s="34">
        <v>100000000</v>
      </c>
      <c r="C56" s="35">
        <f t="shared" si="0"/>
        <v>1</v>
      </c>
      <c r="D56" s="92"/>
      <c r="E56" s="37" t="s">
        <v>114</v>
      </c>
      <c r="F56">
        <v>1.0469999999999999</v>
      </c>
      <c r="G56" s="31">
        <f t="shared" si="4"/>
        <v>1.0469999999999999</v>
      </c>
      <c r="H56">
        <v>3.49</v>
      </c>
      <c r="I56">
        <v>19.850000000000001</v>
      </c>
      <c r="J56">
        <v>136.84</v>
      </c>
      <c r="K56">
        <v>3.6540300000000001</v>
      </c>
      <c r="L56">
        <v>20.78295</v>
      </c>
      <c r="M56">
        <v>143.27148</v>
      </c>
      <c r="N56">
        <v>3.2142900000000001</v>
      </c>
      <c r="O56">
        <v>20.175689999999999</v>
      </c>
      <c r="P56">
        <v>45.963299999999997</v>
      </c>
      <c r="Q56" s="31">
        <f t="shared" si="1"/>
        <v>3.2142900000000001</v>
      </c>
      <c r="R56" s="32">
        <f t="shared" si="2"/>
        <v>20.175689999999999</v>
      </c>
      <c r="S56" s="33">
        <f t="shared" si="3"/>
        <v>45.963299999999997</v>
      </c>
      <c r="T56" s="94"/>
      <c r="U56" s="94"/>
      <c r="V56" s="94"/>
      <c r="W56" s="95"/>
    </row>
    <row r="57" spans="1:23" x14ac:dyDescent="0.25">
      <c r="A57" s="122"/>
      <c r="B57" s="34">
        <v>100000000</v>
      </c>
      <c r="C57" s="35">
        <f t="shared" si="0"/>
        <v>1</v>
      </c>
      <c r="D57" s="92" t="s">
        <v>170</v>
      </c>
      <c r="E57" s="37" t="s">
        <v>111</v>
      </c>
      <c r="F57">
        <v>70.376000000000005</v>
      </c>
      <c r="G57" s="31">
        <f t="shared" si="4"/>
        <v>70.376000000000005</v>
      </c>
      <c r="H57">
        <v>3.43</v>
      </c>
      <c r="I57">
        <v>26.91</v>
      </c>
      <c r="J57">
        <v>143.27000000000001</v>
      </c>
      <c r="K57">
        <v>241.38968</v>
      </c>
      <c r="L57">
        <v>1893.81816</v>
      </c>
      <c r="M57">
        <v>10082.76952</v>
      </c>
      <c r="N57">
        <v>211.83176</v>
      </c>
      <c r="O57">
        <v>1853.00008</v>
      </c>
      <c r="P57">
        <v>3907.97928</v>
      </c>
      <c r="Q57" s="31">
        <f t="shared" si="1"/>
        <v>211.83176</v>
      </c>
      <c r="R57" s="32">
        <f t="shared" si="2"/>
        <v>1853.00008</v>
      </c>
      <c r="S57" s="33">
        <f t="shared" si="3"/>
        <v>3907.97928</v>
      </c>
      <c r="T57" s="94">
        <f>(F58-F57)/F57</f>
        <v>-0.26072808912129136</v>
      </c>
      <c r="U57" s="94">
        <f>(Q58-Q57)/Q57</f>
        <v>-0.25581598340116707</v>
      </c>
      <c r="V57" s="94">
        <f>(R58-R57)/R57</f>
        <v>-0.2534280246766098</v>
      </c>
      <c r="W57" s="95">
        <f>(S58-S57)/S57</f>
        <v>-0.23503396363964349</v>
      </c>
    </row>
    <row r="58" spans="1:23" x14ac:dyDescent="0.25">
      <c r="A58" s="122"/>
      <c r="B58" s="34">
        <v>100000000</v>
      </c>
      <c r="C58" s="35">
        <f t="shared" si="0"/>
        <v>1</v>
      </c>
      <c r="D58" s="92"/>
      <c r="E58" s="37" t="s">
        <v>114</v>
      </c>
      <c r="F58">
        <v>52.027000000000001</v>
      </c>
      <c r="G58" s="31">
        <f t="shared" si="4"/>
        <v>52.027000000000001</v>
      </c>
      <c r="H58">
        <v>3.45</v>
      </c>
      <c r="I58">
        <v>27.17</v>
      </c>
      <c r="J58">
        <v>145.19999999999999</v>
      </c>
      <c r="K58">
        <v>179.49315000000001</v>
      </c>
      <c r="L58">
        <v>1413.57359</v>
      </c>
      <c r="M58">
        <v>7554.3203999999996</v>
      </c>
      <c r="N58">
        <v>157.64180999999999</v>
      </c>
      <c r="O58">
        <v>1383.3979300000001</v>
      </c>
      <c r="P58">
        <v>2989.4714199999999</v>
      </c>
      <c r="Q58" s="31">
        <f t="shared" si="1"/>
        <v>157.64180999999999</v>
      </c>
      <c r="R58" s="32">
        <f t="shared" si="2"/>
        <v>1383.3979300000001</v>
      </c>
      <c r="S58" s="33">
        <f t="shared" si="3"/>
        <v>2989.4714199999999</v>
      </c>
      <c r="T58" s="94"/>
      <c r="U58" s="94"/>
      <c r="V58" s="94"/>
      <c r="W58" s="95"/>
    </row>
    <row r="59" spans="1:23" x14ac:dyDescent="0.25">
      <c r="A59" s="122" t="s">
        <v>51</v>
      </c>
      <c r="B59" s="34">
        <v>10000000000</v>
      </c>
      <c r="C59" s="35">
        <f t="shared" si="0"/>
        <v>0.01</v>
      </c>
      <c r="D59" s="113" t="s">
        <v>169</v>
      </c>
      <c r="E59" s="37" t="s">
        <v>111</v>
      </c>
      <c r="F59">
        <v>53.46</v>
      </c>
      <c r="G59" s="31">
        <f t="shared" si="4"/>
        <v>0.53459999999999996</v>
      </c>
      <c r="H59">
        <v>3.44</v>
      </c>
      <c r="I59">
        <v>27.3</v>
      </c>
      <c r="J59">
        <v>144.24</v>
      </c>
      <c r="K59">
        <v>183.9024</v>
      </c>
      <c r="L59">
        <v>1459.4580000000001</v>
      </c>
      <c r="M59">
        <v>7711.0704000000014</v>
      </c>
      <c r="N59">
        <v>161.44919999999999</v>
      </c>
      <c r="O59">
        <v>1428.4512</v>
      </c>
      <c r="P59">
        <v>2995.3638000000001</v>
      </c>
      <c r="Q59" s="31">
        <f t="shared" si="1"/>
        <v>1.614492</v>
      </c>
      <c r="R59" s="32">
        <f t="shared" si="2"/>
        <v>14.284511999999999</v>
      </c>
      <c r="S59" s="33">
        <f t="shared" si="3"/>
        <v>29.953638000000002</v>
      </c>
      <c r="T59" s="94">
        <f>(F60-F59)/F59</f>
        <v>-3.8907594463149721E-3</v>
      </c>
      <c r="U59" s="94">
        <f>(Q60-Q59)/Q59</f>
        <v>-5.9238447759430856E-4</v>
      </c>
      <c r="V59" s="94">
        <f>(R60-R59)/R59</f>
        <v>5.8019202896115582E-3</v>
      </c>
      <c r="W59" s="95">
        <f>(S60-S59)/S59</f>
        <v>1.530963283992412E-2</v>
      </c>
    </row>
    <row r="60" spans="1:23" x14ac:dyDescent="0.25">
      <c r="A60" s="122"/>
      <c r="B60" s="34">
        <v>10000000000</v>
      </c>
      <c r="C60" s="35">
        <f t="shared" si="0"/>
        <v>0.01</v>
      </c>
      <c r="D60" s="92"/>
      <c r="E60" s="37" t="s">
        <v>114</v>
      </c>
      <c r="F60">
        <v>53.252000000000002</v>
      </c>
      <c r="G60" s="31">
        <f t="shared" si="4"/>
        <v>0.53251999999999999</v>
      </c>
      <c r="H60">
        <v>3.45</v>
      </c>
      <c r="I60">
        <v>27.56</v>
      </c>
      <c r="J60">
        <v>145.33000000000001</v>
      </c>
      <c r="K60">
        <v>183.71940000000001</v>
      </c>
      <c r="L60">
        <v>1467.6251199999999</v>
      </c>
      <c r="M60">
        <v>7739.1131600000008</v>
      </c>
      <c r="N60">
        <v>161.35355999999999</v>
      </c>
      <c r="O60">
        <v>1436.7389599999999</v>
      </c>
      <c r="P60">
        <v>3041.22172</v>
      </c>
      <c r="Q60" s="31">
        <f t="shared" si="1"/>
        <v>1.6135355999999998</v>
      </c>
      <c r="R60" s="32">
        <f t="shared" si="2"/>
        <v>14.367389599999999</v>
      </c>
      <c r="S60" s="33">
        <f t="shared" si="3"/>
        <v>30.412217200000001</v>
      </c>
      <c r="T60" s="94"/>
      <c r="U60" s="94"/>
      <c r="V60" s="94"/>
      <c r="W60" s="95"/>
    </row>
    <row r="61" spans="1:23" x14ac:dyDescent="0.25">
      <c r="A61" s="122"/>
      <c r="B61" s="34">
        <v>100000000</v>
      </c>
      <c r="C61" s="35">
        <f t="shared" si="0"/>
        <v>1</v>
      </c>
      <c r="D61" s="92" t="s">
        <v>170</v>
      </c>
      <c r="E61" s="37" t="s">
        <v>111</v>
      </c>
      <c r="F61">
        <v>74.183000000000007</v>
      </c>
      <c r="G61" s="31">
        <f t="shared" si="4"/>
        <v>74.183000000000007</v>
      </c>
      <c r="H61">
        <v>3.46</v>
      </c>
      <c r="I61">
        <v>26.72</v>
      </c>
      <c r="J61">
        <v>143.27000000000001</v>
      </c>
      <c r="K61">
        <v>256.67318</v>
      </c>
      <c r="L61">
        <v>1982.16976</v>
      </c>
      <c r="M61">
        <v>10628.198410000001</v>
      </c>
      <c r="N61">
        <v>225.51632000000001</v>
      </c>
      <c r="O61">
        <v>1939.1436200000001</v>
      </c>
      <c r="P61">
        <v>4213.5944</v>
      </c>
      <c r="Q61" s="31">
        <f t="shared" si="1"/>
        <v>225.51632000000001</v>
      </c>
      <c r="R61" s="32">
        <f t="shared" si="2"/>
        <v>1939.1436200000001</v>
      </c>
      <c r="S61" s="33">
        <f t="shared" si="3"/>
        <v>4213.5944</v>
      </c>
      <c r="T61" s="94">
        <f>(F62-F61)/F61</f>
        <v>-0.27193561867274185</v>
      </c>
      <c r="U61" s="94">
        <f>(Q62-Q61)/Q61</f>
        <v>-0.27193561867274169</v>
      </c>
      <c r="V61" s="94">
        <f>(R62-R61)/R61</f>
        <v>-0.25717379303756782</v>
      </c>
      <c r="W61" s="95">
        <f>(S62-S61)/S61</f>
        <v>-0.25193948425600715</v>
      </c>
    </row>
    <row r="62" spans="1:23" x14ac:dyDescent="0.25">
      <c r="A62" s="122"/>
      <c r="B62" s="34">
        <v>100000000</v>
      </c>
      <c r="C62" s="35">
        <f t="shared" si="0"/>
        <v>1</v>
      </c>
      <c r="D62" s="92"/>
      <c r="E62" s="37" t="s">
        <v>114</v>
      </c>
      <c r="F62">
        <v>54.01</v>
      </c>
      <c r="G62" s="31">
        <f t="shared" si="4"/>
        <v>54.01</v>
      </c>
      <c r="H62">
        <v>3.46</v>
      </c>
      <c r="I62">
        <v>27.25</v>
      </c>
      <c r="J62">
        <v>144.83000000000001</v>
      </c>
      <c r="K62">
        <v>186.87459999999999</v>
      </c>
      <c r="L62">
        <v>1471.7725</v>
      </c>
      <c r="M62">
        <v>7822.2683000000006</v>
      </c>
      <c r="N62">
        <v>164.19040000000001</v>
      </c>
      <c r="O62">
        <v>1440.4467</v>
      </c>
      <c r="P62">
        <v>3152.0236</v>
      </c>
      <c r="Q62" s="31">
        <f t="shared" si="1"/>
        <v>164.19040000000001</v>
      </c>
      <c r="R62" s="32">
        <f t="shared" si="2"/>
        <v>1440.4467</v>
      </c>
      <c r="S62" s="33">
        <f t="shared" si="3"/>
        <v>3152.0236</v>
      </c>
      <c r="T62" s="94"/>
      <c r="U62" s="94"/>
      <c r="V62" s="94"/>
      <c r="W62" s="95"/>
    </row>
    <row r="63" spans="1:23" x14ac:dyDescent="0.25">
      <c r="A63" s="122" t="s">
        <v>55</v>
      </c>
      <c r="B63" s="34">
        <v>100000000</v>
      </c>
      <c r="C63" s="35">
        <f t="shared" si="0"/>
        <v>1</v>
      </c>
      <c r="D63" s="113" t="s">
        <v>169</v>
      </c>
      <c r="E63" s="37" t="s">
        <v>111</v>
      </c>
      <c r="F63">
        <v>1.0469999999999999</v>
      </c>
      <c r="G63" s="31">
        <f t="shared" si="4"/>
        <v>1.0469999999999999</v>
      </c>
      <c r="H63">
        <v>3.51</v>
      </c>
      <c r="I63">
        <v>19.57</v>
      </c>
      <c r="J63">
        <v>138.86000000000001</v>
      </c>
      <c r="K63">
        <v>3.6749700000000001</v>
      </c>
      <c r="L63">
        <v>20.489789999999999</v>
      </c>
      <c r="M63">
        <v>145.38641999999999</v>
      </c>
      <c r="N63">
        <v>3.2352300000000001</v>
      </c>
      <c r="O63">
        <v>19.882529999999999</v>
      </c>
      <c r="P63">
        <v>55.888860000000001</v>
      </c>
      <c r="Q63" s="31">
        <f t="shared" si="1"/>
        <v>3.2352300000000001</v>
      </c>
      <c r="R63" s="32">
        <f t="shared" si="2"/>
        <v>19.882529999999999</v>
      </c>
      <c r="S63" s="33">
        <f t="shared" si="3"/>
        <v>55.888860000000001</v>
      </c>
      <c r="T63" s="94">
        <f>(F64-F63)/F63</f>
        <v>0.49952244508118449</v>
      </c>
      <c r="U63" s="94">
        <f>(Q64-Q63)/Q63</f>
        <v>0.49952244508118437</v>
      </c>
      <c r="V63" s="94">
        <f>(R64-R63)/R63</f>
        <v>0.35264978853294843</v>
      </c>
      <c r="W63" s="95">
        <f>(S64-S63)/S63</f>
        <v>0.32001797853812031</v>
      </c>
    </row>
    <row r="64" spans="1:23" x14ac:dyDescent="0.25">
      <c r="A64" s="122"/>
      <c r="B64" s="34">
        <v>100000000</v>
      </c>
      <c r="C64" s="35">
        <f t="shared" si="0"/>
        <v>1</v>
      </c>
      <c r="D64" s="92"/>
      <c r="E64" s="37" t="s">
        <v>114</v>
      </c>
      <c r="F64">
        <v>1.57</v>
      </c>
      <c r="G64" s="31">
        <f t="shared" si="4"/>
        <v>1.57</v>
      </c>
      <c r="H64">
        <v>3.51</v>
      </c>
      <c r="I64">
        <v>17.71</v>
      </c>
      <c r="J64">
        <v>132.47999999999999</v>
      </c>
      <c r="K64">
        <v>5.5106999999999999</v>
      </c>
      <c r="L64">
        <v>27.8047</v>
      </c>
      <c r="M64">
        <v>207.99359999999999</v>
      </c>
      <c r="N64">
        <v>4.8513000000000002</v>
      </c>
      <c r="O64">
        <v>26.894100000000002</v>
      </c>
      <c r="P64">
        <v>73.774300000000011</v>
      </c>
      <c r="Q64" s="31">
        <f t="shared" si="1"/>
        <v>4.8513000000000002</v>
      </c>
      <c r="R64" s="32">
        <f t="shared" si="2"/>
        <v>26.894100000000002</v>
      </c>
      <c r="S64" s="33">
        <f t="shared" si="3"/>
        <v>73.774300000000011</v>
      </c>
      <c r="T64" s="94"/>
      <c r="U64" s="94"/>
      <c r="V64" s="94"/>
      <c r="W64" s="95"/>
    </row>
    <row r="65" spans="1:23" x14ac:dyDescent="0.25">
      <c r="A65" s="122"/>
      <c r="B65" s="34">
        <v>100000000</v>
      </c>
      <c r="C65" s="35">
        <f t="shared" si="0"/>
        <v>1</v>
      </c>
      <c r="D65" s="92" t="s">
        <v>170</v>
      </c>
      <c r="E65" s="37" t="s">
        <v>111</v>
      </c>
      <c r="F65">
        <v>62.048000000000002</v>
      </c>
      <c r="G65" s="31">
        <f t="shared" si="4"/>
        <v>62.048000000000002</v>
      </c>
      <c r="H65">
        <v>3.48</v>
      </c>
      <c r="I65">
        <v>27.01</v>
      </c>
      <c r="J65">
        <v>144.94</v>
      </c>
      <c r="K65">
        <v>215.92704000000001</v>
      </c>
      <c r="L65">
        <v>1675.9164800000001</v>
      </c>
      <c r="M65">
        <v>8993.2371199999998</v>
      </c>
      <c r="N65">
        <v>189.86688000000001</v>
      </c>
      <c r="O65">
        <v>1656.0611200000001</v>
      </c>
      <c r="P65">
        <v>3495.1638400000002</v>
      </c>
      <c r="Q65" s="31">
        <f t="shared" si="1"/>
        <v>189.86688000000001</v>
      </c>
      <c r="R65" s="32">
        <f t="shared" si="2"/>
        <v>1656.0611200000001</v>
      </c>
      <c r="S65" s="33">
        <f t="shared" si="3"/>
        <v>3495.1638400000002</v>
      </c>
      <c r="T65" s="94">
        <f>(F66-F65)/F65</f>
        <v>0.29428829293450237</v>
      </c>
      <c r="U65" s="94">
        <f>(Q66-Q65)/Q65</f>
        <v>0.29428829293450226</v>
      </c>
      <c r="V65" s="94">
        <f>(R66-R65)/R65</f>
        <v>0.28555948466443065</v>
      </c>
      <c r="W65" s="95">
        <f>(S66-S65)/S65</f>
        <v>0.28279984723119572</v>
      </c>
    </row>
    <row r="66" spans="1:23" x14ac:dyDescent="0.25">
      <c r="A66" s="122"/>
      <c r="B66" s="34">
        <v>100000000</v>
      </c>
      <c r="C66" s="35">
        <f t="shared" si="0"/>
        <v>1</v>
      </c>
      <c r="D66" s="92"/>
      <c r="E66" s="37" t="s">
        <v>114</v>
      </c>
      <c r="F66">
        <v>80.308000000000007</v>
      </c>
      <c r="G66" s="31">
        <f t="shared" si="4"/>
        <v>80.308000000000007</v>
      </c>
      <c r="H66">
        <v>3.48</v>
      </c>
      <c r="I66">
        <v>26.83</v>
      </c>
      <c r="J66">
        <v>144.44</v>
      </c>
      <c r="K66">
        <v>279.47183999999999</v>
      </c>
      <c r="L66">
        <v>2154.6636400000002</v>
      </c>
      <c r="M66">
        <v>11599.687519999999</v>
      </c>
      <c r="N66">
        <v>245.74248</v>
      </c>
      <c r="O66">
        <v>2128.9650799999999</v>
      </c>
      <c r="P66">
        <v>4483.5956399999995</v>
      </c>
      <c r="Q66" s="31">
        <f t="shared" si="1"/>
        <v>245.74248</v>
      </c>
      <c r="R66" s="32">
        <f t="shared" si="2"/>
        <v>2128.9650799999999</v>
      </c>
      <c r="S66" s="33">
        <f t="shared" si="3"/>
        <v>4483.5956399999995</v>
      </c>
      <c r="T66" s="94"/>
      <c r="U66" s="94"/>
      <c r="V66" s="94"/>
      <c r="W66" s="95"/>
    </row>
    <row r="67" spans="1:23" x14ac:dyDescent="0.25">
      <c r="A67" s="122" t="s">
        <v>57</v>
      </c>
      <c r="B67" s="34">
        <v>10000000000</v>
      </c>
      <c r="C67" s="35">
        <f t="shared" si="0"/>
        <v>0.01</v>
      </c>
      <c r="D67" s="113" t="s">
        <v>169</v>
      </c>
      <c r="E67" s="37" t="s">
        <v>111</v>
      </c>
      <c r="F67">
        <v>1.571</v>
      </c>
      <c r="G67" s="31">
        <f t="shared" si="4"/>
        <v>1.5709999999999998E-2</v>
      </c>
      <c r="H67">
        <v>3.54</v>
      </c>
      <c r="I67">
        <v>19.739999999999998</v>
      </c>
      <c r="J67">
        <v>133.26</v>
      </c>
      <c r="K67">
        <v>5.5613400000000004</v>
      </c>
      <c r="L67">
        <v>31.01154</v>
      </c>
      <c r="M67">
        <v>209.35146</v>
      </c>
      <c r="N67">
        <v>4.9015199999999997</v>
      </c>
      <c r="O67">
        <v>30.100359999999998</v>
      </c>
      <c r="P67">
        <v>63.719760000000001</v>
      </c>
      <c r="Q67" s="31">
        <f t="shared" si="1"/>
        <v>4.9015199999999995E-2</v>
      </c>
      <c r="R67" s="32">
        <f t="shared" si="2"/>
        <v>0.30100359999999998</v>
      </c>
      <c r="S67" s="33">
        <f t="shared" si="3"/>
        <v>0.63719760000000003</v>
      </c>
      <c r="T67" s="94">
        <f>(F68-F67)/F67</f>
        <v>0</v>
      </c>
      <c r="U67" s="94">
        <f>(Q68-Q67)/Q67</f>
        <v>0</v>
      </c>
      <c r="V67" s="94">
        <f>(R68-R67)/R67</f>
        <v>-1.0438413361168661E-3</v>
      </c>
      <c r="W67" s="95">
        <f>(S68-S67)/S67</f>
        <v>3.9447731755424134E-3</v>
      </c>
    </row>
    <row r="68" spans="1:23" x14ac:dyDescent="0.25">
      <c r="A68" s="122"/>
      <c r="B68" s="34">
        <v>10000000000</v>
      </c>
      <c r="C68" s="35">
        <f t="shared" ref="C68:C106" si="5">100000000/B68</f>
        <v>0.01</v>
      </c>
      <c r="D68" s="92"/>
      <c r="E68" s="37" t="s">
        <v>114</v>
      </c>
      <c r="F68">
        <v>1.571</v>
      </c>
      <c r="G68" s="31">
        <f t="shared" si="4"/>
        <v>1.5709999999999998E-2</v>
      </c>
      <c r="H68">
        <v>3.54</v>
      </c>
      <c r="I68">
        <v>19.72</v>
      </c>
      <c r="J68">
        <v>133.41</v>
      </c>
      <c r="K68">
        <v>5.5613400000000004</v>
      </c>
      <c r="L68">
        <v>30.980119999999999</v>
      </c>
      <c r="M68">
        <v>209.58711</v>
      </c>
      <c r="N68">
        <v>4.9015199999999997</v>
      </c>
      <c r="O68">
        <v>30.068940000000001</v>
      </c>
      <c r="P68">
        <v>63.971119999999999</v>
      </c>
      <c r="Q68" s="31">
        <f t="shared" ref="Q68:Q106" si="6">N68*C68</f>
        <v>4.9015199999999995E-2</v>
      </c>
      <c r="R68" s="32">
        <f t="shared" ref="R68:R106" si="7">O68*C68</f>
        <v>0.3006894</v>
      </c>
      <c r="S68" s="33">
        <f t="shared" ref="S68:S106" si="8">P68*C68</f>
        <v>0.63971120000000004</v>
      </c>
      <c r="T68" s="94"/>
      <c r="U68" s="94"/>
      <c r="V68" s="94"/>
      <c r="W68" s="95"/>
    </row>
    <row r="69" spans="1:23" x14ac:dyDescent="0.25">
      <c r="A69" s="122"/>
      <c r="B69" s="34">
        <v>100000000</v>
      </c>
      <c r="C69" s="35">
        <f t="shared" si="5"/>
        <v>1</v>
      </c>
      <c r="D69" s="92" t="s">
        <v>170</v>
      </c>
      <c r="E69" s="37" t="s">
        <v>111</v>
      </c>
      <c r="F69">
        <v>3.944</v>
      </c>
      <c r="G69" s="31">
        <f t="shared" si="4"/>
        <v>3.944</v>
      </c>
      <c r="H69">
        <v>3.53</v>
      </c>
      <c r="I69">
        <v>20.94</v>
      </c>
      <c r="J69">
        <v>133.82</v>
      </c>
      <c r="K69">
        <v>13.922319999999999</v>
      </c>
      <c r="L69">
        <v>82.587360000000004</v>
      </c>
      <c r="M69">
        <v>527.78607999999997</v>
      </c>
      <c r="N69">
        <v>12.265840000000001</v>
      </c>
      <c r="O69">
        <v>80.299840000000003</v>
      </c>
      <c r="P69">
        <v>190.17967999999999</v>
      </c>
      <c r="Q69" s="31">
        <f t="shared" si="6"/>
        <v>12.265840000000001</v>
      </c>
      <c r="R69" s="32">
        <f t="shared" si="7"/>
        <v>80.299840000000003</v>
      </c>
      <c r="S69" s="33">
        <f t="shared" si="8"/>
        <v>190.17967999999999</v>
      </c>
      <c r="T69" s="94">
        <f>(F70-F69)/F69</f>
        <v>-2.6622718052738331E-2</v>
      </c>
      <c r="U69" s="94">
        <f>(Q70-Q69)/Q69</f>
        <v>-2.3492887564162037E-2</v>
      </c>
      <c r="V69" s="94">
        <f>(R70-R69)/R69</f>
        <v>-1.6104888876490975E-2</v>
      </c>
      <c r="W69" s="95">
        <f>(S70-S69)/S69</f>
        <v>-2.0566866029009968E-2</v>
      </c>
    </row>
    <row r="70" spans="1:23" x14ac:dyDescent="0.25">
      <c r="A70" s="122"/>
      <c r="B70" s="34">
        <v>100000000</v>
      </c>
      <c r="C70" s="35">
        <f t="shared" si="5"/>
        <v>1</v>
      </c>
      <c r="D70" s="92"/>
      <c r="E70" s="37" t="s">
        <v>114</v>
      </c>
      <c r="F70">
        <v>3.839</v>
      </c>
      <c r="G70" s="31">
        <f t="shared" si="4"/>
        <v>3.839</v>
      </c>
      <c r="H70">
        <v>3.54</v>
      </c>
      <c r="I70">
        <v>21.16</v>
      </c>
      <c r="J70">
        <v>134.12</v>
      </c>
      <c r="K70">
        <v>13.590059999999999</v>
      </c>
      <c r="L70">
        <v>81.233239999999995</v>
      </c>
      <c r="M70">
        <v>514.88668000000007</v>
      </c>
      <c r="N70">
        <v>11.977679999999999</v>
      </c>
      <c r="O70">
        <v>79.006619999999998</v>
      </c>
      <c r="P70">
        <v>186.26828</v>
      </c>
      <c r="Q70" s="31">
        <f t="shared" si="6"/>
        <v>11.977679999999999</v>
      </c>
      <c r="R70" s="32">
        <f t="shared" si="7"/>
        <v>79.006619999999998</v>
      </c>
      <c r="S70" s="33">
        <f t="shared" si="8"/>
        <v>186.26828</v>
      </c>
      <c r="T70" s="94"/>
      <c r="U70" s="94"/>
      <c r="V70" s="94"/>
      <c r="W70" s="95"/>
    </row>
    <row r="71" spans="1:23" x14ac:dyDescent="0.25">
      <c r="A71" s="122" t="s">
        <v>61</v>
      </c>
      <c r="B71" s="34">
        <v>100000000</v>
      </c>
      <c r="C71" s="35">
        <f t="shared" si="5"/>
        <v>1</v>
      </c>
      <c r="D71" s="113" t="s">
        <v>169</v>
      </c>
      <c r="E71" s="37" t="s">
        <v>111</v>
      </c>
      <c r="F71">
        <v>57.192</v>
      </c>
      <c r="G71" s="31">
        <f t="shared" ref="G71:G106" si="9">F71*C71</f>
        <v>57.192</v>
      </c>
      <c r="H71">
        <v>3.88</v>
      </c>
      <c r="I71">
        <v>25.8</v>
      </c>
      <c r="J71">
        <v>143.88999999999999</v>
      </c>
      <c r="K71">
        <v>221.90495999999999</v>
      </c>
      <c r="L71">
        <v>1475.5536</v>
      </c>
      <c r="M71">
        <v>8229.3568799999994</v>
      </c>
      <c r="N71">
        <v>197.88432</v>
      </c>
      <c r="O71">
        <v>1442.3822399999999</v>
      </c>
      <c r="P71">
        <v>2980.2751199999998</v>
      </c>
      <c r="Q71" s="31">
        <f t="shared" si="6"/>
        <v>197.88432</v>
      </c>
      <c r="R71" s="32">
        <f t="shared" si="7"/>
        <v>1442.3822399999999</v>
      </c>
      <c r="S71" s="33">
        <f t="shared" si="8"/>
        <v>2980.2751199999998</v>
      </c>
      <c r="T71" s="94">
        <f>(F72-F71)/F71</f>
        <v>0.34058959295006308</v>
      </c>
      <c r="U71" s="94">
        <f>(Q72-Q71)/Q71</f>
        <v>0.30184422899196856</v>
      </c>
      <c r="V71" s="94">
        <f>(R72-R71)/R71</f>
        <v>0.40012410302556145</v>
      </c>
      <c r="W71" s="95">
        <f>(S72-S71)/S71</f>
        <v>0.41776803814004948</v>
      </c>
    </row>
    <row r="72" spans="1:23" x14ac:dyDescent="0.25">
      <c r="A72" s="122"/>
      <c r="B72" s="34">
        <v>100000000</v>
      </c>
      <c r="C72" s="35">
        <f t="shared" si="5"/>
        <v>1</v>
      </c>
      <c r="D72" s="92"/>
      <c r="E72" s="37" t="s">
        <v>114</v>
      </c>
      <c r="F72">
        <v>76.671000000000006</v>
      </c>
      <c r="G72" s="31">
        <f t="shared" si="9"/>
        <v>76.671000000000006</v>
      </c>
      <c r="H72">
        <v>3.78</v>
      </c>
      <c r="I72">
        <v>26.92</v>
      </c>
      <c r="J72">
        <v>146.88</v>
      </c>
      <c r="K72">
        <v>289.81637999999998</v>
      </c>
      <c r="L72">
        <v>2063.9833199999998</v>
      </c>
      <c r="M72">
        <v>11261.43648</v>
      </c>
      <c r="N72">
        <v>257.61455999999998</v>
      </c>
      <c r="O72">
        <v>2019.51414</v>
      </c>
      <c r="P72">
        <v>4225.3388100000002</v>
      </c>
      <c r="Q72" s="31">
        <f t="shared" si="6"/>
        <v>257.61455999999998</v>
      </c>
      <c r="R72" s="32">
        <f t="shared" si="7"/>
        <v>2019.51414</v>
      </c>
      <c r="S72" s="33">
        <f t="shared" si="8"/>
        <v>4225.3388100000002</v>
      </c>
      <c r="T72" s="94"/>
      <c r="U72" s="94"/>
      <c r="V72" s="94"/>
      <c r="W72" s="95"/>
    </row>
    <row r="73" spans="1:23" x14ac:dyDescent="0.25">
      <c r="A73" s="122"/>
      <c r="B73" s="34">
        <v>10000000</v>
      </c>
      <c r="C73" s="35">
        <f t="shared" si="5"/>
        <v>10</v>
      </c>
      <c r="D73" s="92" t="s">
        <v>170</v>
      </c>
      <c r="E73" s="37" t="s">
        <v>111</v>
      </c>
      <c r="F73">
        <v>34.585000000000001</v>
      </c>
      <c r="G73" s="31">
        <f t="shared" si="9"/>
        <v>345.85</v>
      </c>
      <c r="H73">
        <v>3.53</v>
      </c>
      <c r="I73">
        <v>23.79</v>
      </c>
      <c r="J73">
        <v>135.27000000000001</v>
      </c>
      <c r="K73">
        <v>122.08505</v>
      </c>
      <c r="L73">
        <v>822.77715000000001</v>
      </c>
      <c r="M73">
        <v>4678.3129499999995</v>
      </c>
      <c r="N73">
        <v>107.55934999999999</v>
      </c>
      <c r="O73">
        <v>802.71785</v>
      </c>
      <c r="P73">
        <v>1758.64725</v>
      </c>
      <c r="Q73" s="31">
        <f t="shared" si="6"/>
        <v>1075.5934999999999</v>
      </c>
      <c r="R73" s="32">
        <f t="shared" si="7"/>
        <v>8027.1785</v>
      </c>
      <c r="S73" s="33">
        <f t="shared" si="8"/>
        <v>17586.4725</v>
      </c>
      <c r="T73" s="94">
        <f>(F74-F73)/F73</f>
        <v>0.4529420268902703</v>
      </c>
      <c r="U73" s="94">
        <f>(Q74-Q73)/Q73</f>
        <v>0.45294202689027052</v>
      </c>
      <c r="V73" s="94">
        <f>(R74-R73)/R73</f>
        <v>0.57939368110476164</v>
      </c>
      <c r="W73" s="95">
        <f>(S74-S73)/S73</f>
        <v>0.6032365217072384</v>
      </c>
    </row>
    <row r="74" spans="1:23" x14ac:dyDescent="0.25">
      <c r="A74" s="122"/>
      <c r="B74" s="34">
        <v>10000000</v>
      </c>
      <c r="C74" s="35">
        <f t="shared" si="5"/>
        <v>10</v>
      </c>
      <c r="D74" s="92"/>
      <c r="E74" s="37" t="s">
        <v>114</v>
      </c>
      <c r="F74">
        <v>50.25</v>
      </c>
      <c r="G74" s="31">
        <f t="shared" si="9"/>
        <v>502.5</v>
      </c>
      <c r="H74">
        <v>3.53</v>
      </c>
      <c r="I74">
        <v>25.81</v>
      </c>
      <c r="J74">
        <v>140.53</v>
      </c>
      <c r="K74">
        <v>177.38249999999999</v>
      </c>
      <c r="L74">
        <v>1296.9525000000001</v>
      </c>
      <c r="M74">
        <v>7061.6324999999997</v>
      </c>
      <c r="N74">
        <v>156.2775</v>
      </c>
      <c r="O74">
        <v>1267.8074999999999</v>
      </c>
      <c r="P74">
        <v>2819.5275000000001</v>
      </c>
      <c r="Q74" s="31">
        <f t="shared" si="6"/>
        <v>1562.7750000000001</v>
      </c>
      <c r="R74" s="32">
        <f t="shared" si="7"/>
        <v>12678.074999999999</v>
      </c>
      <c r="S74" s="33">
        <f t="shared" si="8"/>
        <v>28195.275000000001</v>
      </c>
      <c r="T74" s="94"/>
      <c r="U74" s="94"/>
      <c r="V74" s="94"/>
      <c r="W74" s="95"/>
    </row>
    <row r="75" spans="1:23" x14ac:dyDescent="0.25">
      <c r="A75" s="122" t="s">
        <v>63</v>
      </c>
      <c r="B75" s="34">
        <v>10000000000</v>
      </c>
      <c r="C75" s="35">
        <f t="shared" si="5"/>
        <v>0.01</v>
      </c>
      <c r="D75" s="113" t="s">
        <v>169</v>
      </c>
      <c r="E75" s="37" t="s">
        <v>111</v>
      </c>
      <c r="F75">
        <v>3.665</v>
      </c>
      <c r="G75" s="31">
        <f t="shared" si="9"/>
        <v>3.6650000000000002E-2</v>
      </c>
      <c r="H75">
        <v>3.58</v>
      </c>
      <c r="I75">
        <v>21.49</v>
      </c>
      <c r="J75">
        <v>148.83000000000001</v>
      </c>
      <c r="K75">
        <v>13.120699999999999</v>
      </c>
      <c r="L75">
        <v>78.760849999999991</v>
      </c>
      <c r="M75">
        <v>545.46195</v>
      </c>
      <c r="N75">
        <v>11.5814</v>
      </c>
      <c r="O75">
        <v>76.635149999999996</v>
      </c>
      <c r="P75">
        <v>187.83125000000001</v>
      </c>
      <c r="Q75" s="31">
        <f t="shared" si="6"/>
        <v>0.115814</v>
      </c>
      <c r="R75" s="32">
        <f t="shared" si="7"/>
        <v>0.76635149999999996</v>
      </c>
      <c r="S75" s="33">
        <f t="shared" si="8"/>
        <v>1.8783125000000001</v>
      </c>
      <c r="T75" s="94">
        <f>(F76-F75)/F75</f>
        <v>1.2856753069577083</v>
      </c>
      <c r="U75" s="94">
        <f>(Q76-Q75)/Q75</f>
        <v>1.2567427081354585</v>
      </c>
      <c r="V75" s="94">
        <f>(R76-R75)/R75</f>
        <v>1.5272507459044582</v>
      </c>
      <c r="W75" s="95">
        <f>(S76-S75)/S75</f>
        <v>1.4591636375736206</v>
      </c>
    </row>
    <row r="76" spans="1:23" x14ac:dyDescent="0.25">
      <c r="A76" s="122"/>
      <c r="B76" s="34">
        <v>10000000000</v>
      </c>
      <c r="C76" s="35">
        <f t="shared" si="5"/>
        <v>0.01</v>
      </c>
      <c r="D76" s="92"/>
      <c r="E76" s="37" t="s">
        <v>114</v>
      </c>
      <c r="F76">
        <v>8.3770000000000007</v>
      </c>
      <c r="G76" s="31">
        <f t="shared" si="9"/>
        <v>8.3770000000000011E-2</v>
      </c>
      <c r="H76">
        <v>3.54</v>
      </c>
      <c r="I76">
        <v>23.7</v>
      </c>
      <c r="J76">
        <v>152.71</v>
      </c>
      <c r="K76">
        <v>29.654579999999999</v>
      </c>
      <c r="L76">
        <v>198.53489999999999</v>
      </c>
      <c r="M76">
        <v>1279.2516700000001</v>
      </c>
      <c r="N76">
        <v>26.136240000000001</v>
      </c>
      <c r="O76">
        <v>193.67624000000001</v>
      </c>
      <c r="P76">
        <v>461.90778000000012</v>
      </c>
      <c r="Q76" s="31">
        <f t="shared" si="6"/>
        <v>0.26136239999999999</v>
      </c>
      <c r="R76" s="32">
        <f t="shared" si="7"/>
        <v>1.9367624000000001</v>
      </c>
      <c r="S76" s="33">
        <f t="shared" si="8"/>
        <v>4.6190778000000012</v>
      </c>
      <c r="T76" s="94"/>
      <c r="U76" s="94"/>
      <c r="V76" s="94"/>
      <c r="W76" s="95"/>
    </row>
    <row r="77" spans="1:23" x14ac:dyDescent="0.25">
      <c r="A77" s="122"/>
      <c r="B77" s="34">
        <v>100000000</v>
      </c>
      <c r="C77" s="35">
        <f t="shared" si="5"/>
        <v>1</v>
      </c>
      <c r="D77" s="92" t="s">
        <v>170</v>
      </c>
      <c r="E77" s="37" t="s">
        <v>111</v>
      </c>
      <c r="F77">
        <v>4.7469999999999999</v>
      </c>
      <c r="G77" s="31">
        <f t="shared" si="9"/>
        <v>4.7469999999999999</v>
      </c>
      <c r="H77">
        <v>3.52</v>
      </c>
      <c r="I77">
        <v>22.32</v>
      </c>
      <c r="J77">
        <v>153.38999999999999</v>
      </c>
      <c r="K77">
        <v>16.709440000000001</v>
      </c>
      <c r="L77">
        <v>105.95304</v>
      </c>
      <c r="M77">
        <v>728.1423299999999</v>
      </c>
      <c r="N77">
        <v>14.7157</v>
      </c>
      <c r="O77">
        <v>103.19978</v>
      </c>
      <c r="P77">
        <v>277.41467999999998</v>
      </c>
      <c r="Q77" s="31">
        <f t="shared" si="6"/>
        <v>14.7157</v>
      </c>
      <c r="R77" s="32">
        <f t="shared" si="7"/>
        <v>103.19978</v>
      </c>
      <c r="S77" s="33">
        <f t="shared" si="8"/>
        <v>277.41467999999998</v>
      </c>
      <c r="T77" s="94">
        <f>(F78-F77)/F77</f>
        <v>4.0446597851274524E-2</v>
      </c>
      <c r="U77" s="94">
        <f>(Q78-Q77)/Q77</f>
        <v>4.0446597851274503E-2</v>
      </c>
      <c r="V77" s="94">
        <f>(R78-R77)/R77</f>
        <v>5.2889841431832479E-2</v>
      </c>
      <c r="W77" s="95">
        <f>(S78-S77)/S77</f>
        <v>6.5193702078058746E-2</v>
      </c>
    </row>
    <row r="78" spans="1:23" x14ac:dyDescent="0.25">
      <c r="A78" s="122"/>
      <c r="B78" s="34">
        <v>100000000</v>
      </c>
      <c r="C78" s="35">
        <f t="shared" si="5"/>
        <v>1</v>
      </c>
      <c r="D78" s="92"/>
      <c r="E78" s="37" t="s">
        <v>114</v>
      </c>
      <c r="F78">
        <v>4.9390000000000001</v>
      </c>
      <c r="G78" s="31">
        <f t="shared" si="9"/>
        <v>4.9390000000000001</v>
      </c>
      <c r="H78">
        <v>3.52</v>
      </c>
      <c r="I78">
        <v>22.58</v>
      </c>
      <c r="J78">
        <v>154.78</v>
      </c>
      <c r="K78">
        <v>17.385280000000002</v>
      </c>
      <c r="L78">
        <v>111.52262</v>
      </c>
      <c r="M78">
        <v>764.45842000000005</v>
      </c>
      <c r="N78">
        <v>15.3109</v>
      </c>
      <c r="O78">
        <v>108.658</v>
      </c>
      <c r="P78">
        <v>295.50036999999998</v>
      </c>
      <c r="Q78" s="31">
        <f t="shared" si="6"/>
        <v>15.3109</v>
      </c>
      <c r="R78" s="32">
        <f t="shared" si="7"/>
        <v>108.658</v>
      </c>
      <c r="S78" s="33">
        <f t="shared" si="8"/>
        <v>295.50036999999998</v>
      </c>
      <c r="T78" s="94"/>
      <c r="U78" s="94"/>
      <c r="V78" s="94"/>
      <c r="W78" s="95"/>
    </row>
    <row r="79" spans="1:23" x14ac:dyDescent="0.25">
      <c r="A79" s="122" t="s">
        <v>65</v>
      </c>
      <c r="B79" s="34">
        <v>10000000000</v>
      </c>
      <c r="C79" s="35">
        <f t="shared" si="5"/>
        <v>0.01</v>
      </c>
      <c r="D79" s="113" t="s">
        <v>169</v>
      </c>
      <c r="E79" s="37" t="s">
        <v>111</v>
      </c>
      <c r="F79">
        <v>1.57</v>
      </c>
      <c r="G79" s="31">
        <f t="shared" si="9"/>
        <v>1.5700000000000002E-2</v>
      </c>
      <c r="H79">
        <v>3.56</v>
      </c>
      <c r="I79">
        <v>19.7</v>
      </c>
      <c r="J79">
        <v>133.16999999999999</v>
      </c>
      <c r="K79">
        <v>5.5891999999999999</v>
      </c>
      <c r="L79">
        <v>30.928999999999998</v>
      </c>
      <c r="M79">
        <v>209.07689999999999</v>
      </c>
      <c r="N79">
        <v>4.9298000000000002</v>
      </c>
      <c r="O79">
        <v>30.0184</v>
      </c>
      <c r="P79">
        <v>66.411000000000001</v>
      </c>
      <c r="Q79" s="31">
        <f t="shared" si="6"/>
        <v>4.9298000000000002E-2</v>
      </c>
      <c r="R79" s="32">
        <f t="shared" si="7"/>
        <v>0.30018400000000001</v>
      </c>
      <c r="S79" s="33">
        <f t="shared" si="8"/>
        <v>0.66410999999999998</v>
      </c>
      <c r="T79" s="94">
        <f>(F80-F79)/F79</f>
        <v>6.3694267515916549E-4</v>
      </c>
      <c r="U79" s="94">
        <f>(Q80-Q79)/Q79</f>
        <v>-5.736541036147646E-3</v>
      </c>
      <c r="V79" s="94">
        <f>(R80-R79)/R79</f>
        <v>3.2536710817365247E-3</v>
      </c>
      <c r="W79" s="95">
        <f>(S80-S79)/S79</f>
        <v>2.429266236015111E-2</v>
      </c>
    </row>
    <row r="80" spans="1:23" x14ac:dyDescent="0.25">
      <c r="A80" s="122"/>
      <c r="B80" s="34">
        <v>10000000000</v>
      </c>
      <c r="C80" s="35">
        <f t="shared" si="5"/>
        <v>0.01</v>
      </c>
      <c r="D80" s="92"/>
      <c r="E80" s="37" t="s">
        <v>114</v>
      </c>
      <c r="F80">
        <v>1.571</v>
      </c>
      <c r="G80" s="31">
        <f t="shared" si="9"/>
        <v>1.5709999999999998E-2</v>
      </c>
      <c r="H80">
        <v>3.54</v>
      </c>
      <c r="I80">
        <v>19.75</v>
      </c>
      <c r="J80">
        <v>134.16999999999999</v>
      </c>
      <c r="K80">
        <v>5.5613400000000004</v>
      </c>
      <c r="L80">
        <v>31.027249999999999</v>
      </c>
      <c r="M80">
        <v>210.78107</v>
      </c>
      <c r="N80">
        <v>4.9015199999999997</v>
      </c>
      <c r="O80">
        <v>30.116070000000001</v>
      </c>
      <c r="P80">
        <v>68.024299999999997</v>
      </c>
      <c r="Q80" s="31">
        <f t="shared" si="6"/>
        <v>4.9015199999999995E-2</v>
      </c>
      <c r="R80" s="32">
        <f t="shared" si="7"/>
        <v>0.3011607</v>
      </c>
      <c r="S80" s="33">
        <f t="shared" si="8"/>
        <v>0.68024299999999993</v>
      </c>
      <c r="T80" s="94"/>
      <c r="U80" s="94"/>
      <c r="V80" s="94"/>
      <c r="W80" s="95"/>
    </row>
    <row r="81" spans="1:23" x14ac:dyDescent="0.25">
      <c r="A81" s="122"/>
      <c r="B81" s="34">
        <v>100000000</v>
      </c>
      <c r="C81" s="35">
        <f t="shared" si="5"/>
        <v>1</v>
      </c>
      <c r="D81" s="92" t="s">
        <v>170</v>
      </c>
      <c r="E81" s="37" t="s">
        <v>111</v>
      </c>
      <c r="F81">
        <v>13.457000000000001</v>
      </c>
      <c r="G81" s="31">
        <f t="shared" si="9"/>
        <v>13.457000000000001</v>
      </c>
      <c r="H81">
        <v>3.53</v>
      </c>
      <c r="I81">
        <v>21.03</v>
      </c>
      <c r="J81">
        <v>129.94</v>
      </c>
      <c r="K81">
        <v>47.503210000000003</v>
      </c>
      <c r="L81">
        <v>283.00071000000003</v>
      </c>
      <c r="M81">
        <v>1748.60258</v>
      </c>
      <c r="N81">
        <v>41.85127</v>
      </c>
      <c r="O81">
        <v>275.19565</v>
      </c>
      <c r="P81">
        <v>584.43750999999997</v>
      </c>
      <c r="Q81" s="31">
        <f t="shared" si="6"/>
        <v>41.85127</v>
      </c>
      <c r="R81" s="32">
        <f t="shared" si="7"/>
        <v>275.19565</v>
      </c>
      <c r="S81" s="33">
        <f t="shared" si="8"/>
        <v>584.43750999999997</v>
      </c>
      <c r="T81" s="94">
        <f>(F82-F81)/F81</f>
        <v>4.0870922196626081E-3</v>
      </c>
      <c r="U81" s="94">
        <f>(Q82-Q81)/Q81</f>
        <v>4.087092219662654E-3</v>
      </c>
      <c r="V81" s="94">
        <f>(R82-R81)/R81</f>
        <v>3.5960960865477959E-3</v>
      </c>
      <c r="W81" s="95">
        <f>(S82-S81)/S81</f>
        <v>1.2641368621257787E-2</v>
      </c>
    </row>
    <row r="82" spans="1:23" x14ac:dyDescent="0.25">
      <c r="A82" s="122"/>
      <c r="B82" s="34">
        <v>100000000</v>
      </c>
      <c r="C82" s="35">
        <f t="shared" si="5"/>
        <v>1</v>
      </c>
      <c r="D82" s="92"/>
      <c r="E82" s="37" t="s">
        <v>114</v>
      </c>
      <c r="F82">
        <v>13.512</v>
      </c>
      <c r="G82" s="31">
        <f t="shared" si="9"/>
        <v>13.512</v>
      </c>
      <c r="H82">
        <v>3.53</v>
      </c>
      <c r="I82">
        <v>21.02</v>
      </c>
      <c r="J82">
        <v>130.31</v>
      </c>
      <c r="K82">
        <v>47.697360000000003</v>
      </c>
      <c r="L82">
        <v>284.02224000000001</v>
      </c>
      <c r="M82">
        <v>1760.74872</v>
      </c>
      <c r="N82">
        <v>42.022320000000001</v>
      </c>
      <c r="O82">
        <v>276.18527999999998</v>
      </c>
      <c r="P82">
        <v>591.82560000000001</v>
      </c>
      <c r="Q82" s="31">
        <f t="shared" si="6"/>
        <v>42.022320000000001</v>
      </c>
      <c r="R82" s="32">
        <f t="shared" si="7"/>
        <v>276.18527999999998</v>
      </c>
      <c r="S82" s="33">
        <f t="shared" si="8"/>
        <v>591.82560000000001</v>
      </c>
      <c r="T82" s="94"/>
      <c r="U82" s="94"/>
      <c r="V82" s="94"/>
      <c r="W82" s="95"/>
    </row>
    <row r="83" spans="1:23" x14ac:dyDescent="0.25">
      <c r="A83" s="122" t="s">
        <v>71</v>
      </c>
      <c r="B83" s="34">
        <v>10000000000</v>
      </c>
      <c r="C83" s="35">
        <f t="shared" si="5"/>
        <v>0.01</v>
      </c>
      <c r="D83" s="113" t="s">
        <v>169</v>
      </c>
      <c r="E83" s="37" t="s">
        <v>111</v>
      </c>
      <c r="F83">
        <v>59.72</v>
      </c>
      <c r="G83" s="31">
        <f t="shared" si="9"/>
        <v>0.59719999999999995</v>
      </c>
      <c r="H83">
        <v>3.46</v>
      </c>
      <c r="I83">
        <v>25.85</v>
      </c>
      <c r="J83">
        <v>138.41</v>
      </c>
      <c r="K83">
        <v>206.63120000000001</v>
      </c>
      <c r="L83">
        <v>1543.7619999999999</v>
      </c>
      <c r="M83">
        <v>8265.8451999999997</v>
      </c>
      <c r="N83">
        <v>181.5488</v>
      </c>
      <c r="O83">
        <v>1509.1243999999999</v>
      </c>
      <c r="P83">
        <v>3260.712</v>
      </c>
      <c r="Q83" s="31">
        <f t="shared" si="6"/>
        <v>1.815488</v>
      </c>
      <c r="R83" s="32">
        <f t="shared" si="7"/>
        <v>15.091244</v>
      </c>
      <c r="S83" s="33">
        <f t="shared" si="8"/>
        <v>32.607120000000002</v>
      </c>
      <c r="T83" s="94">
        <f>(F84-F83)/F83</f>
        <v>-8.740790354989951E-2</v>
      </c>
      <c r="U83" s="94">
        <f>(Q84-Q83)/Q83</f>
        <v>-8.4405955864208404E-2</v>
      </c>
      <c r="V83" s="94">
        <f>(R84-R83)/R83</f>
        <v>-7.8018352893903228E-2</v>
      </c>
      <c r="W83" s="95">
        <f>(S84-S83)/S83</f>
        <v>-6.333954056660028E-2</v>
      </c>
    </row>
    <row r="84" spans="1:23" x14ac:dyDescent="0.25">
      <c r="A84" s="122"/>
      <c r="B84" s="34">
        <v>10000000000</v>
      </c>
      <c r="C84" s="35">
        <f t="shared" si="5"/>
        <v>0.01</v>
      </c>
      <c r="D84" s="92"/>
      <c r="E84" s="37" t="s">
        <v>114</v>
      </c>
      <c r="F84">
        <v>54.5</v>
      </c>
      <c r="G84" s="31">
        <f t="shared" si="9"/>
        <v>0.54500000000000004</v>
      </c>
      <c r="H84">
        <v>3.47</v>
      </c>
      <c r="I84">
        <v>26.11</v>
      </c>
      <c r="J84">
        <v>139.85</v>
      </c>
      <c r="K84">
        <v>189.11500000000001</v>
      </c>
      <c r="L84">
        <v>1422.9949999999999</v>
      </c>
      <c r="M84">
        <v>7621.8249999999998</v>
      </c>
      <c r="N84">
        <v>166.22499999999999</v>
      </c>
      <c r="O84">
        <v>1391.385</v>
      </c>
      <c r="P84">
        <v>3054.18</v>
      </c>
      <c r="Q84" s="31">
        <f t="shared" si="6"/>
        <v>1.66225</v>
      </c>
      <c r="R84" s="32">
        <f t="shared" si="7"/>
        <v>13.91385</v>
      </c>
      <c r="S84" s="33">
        <f t="shared" si="8"/>
        <v>30.541799999999999</v>
      </c>
      <c r="T84" s="94"/>
      <c r="U84" s="94"/>
      <c r="V84" s="94"/>
      <c r="W84" s="95"/>
    </row>
    <row r="85" spans="1:23" x14ac:dyDescent="0.25">
      <c r="A85" s="122"/>
      <c r="B85" s="34">
        <v>100000000</v>
      </c>
      <c r="C85" s="35">
        <f t="shared" si="5"/>
        <v>1</v>
      </c>
      <c r="D85" s="92" t="s">
        <v>170</v>
      </c>
      <c r="E85" s="37" t="s">
        <v>111</v>
      </c>
      <c r="F85">
        <v>22.46</v>
      </c>
      <c r="G85" s="31">
        <f t="shared" si="9"/>
        <v>22.46</v>
      </c>
      <c r="H85">
        <v>3.46</v>
      </c>
      <c r="I85">
        <v>26.85</v>
      </c>
      <c r="J85">
        <v>139.26</v>
      </c>
      <c r="K85">
        <v>77.711600000000004</v>
      </c>
      <c r="L85">
        <v>603.05100000000004</v>
      </c>
      <c r="M85">
        <v>3127.7795999999998</v>
      </c>
      <c r="N85">
        <v>68.278400000000005</v>
      </c>
      <c r="O85">
        <v>590.02420000000006</v>
      </c>
      <c r="P85">
        <v>1313.91</v>
      </c>
      <c r="Q85" s="31">
        <f t="shared" si="6"/>
        <v>68.278400000000005</v>
      </c>
      <c r="R85" s="32">
        <f t="shared" si="7"/>
        <v>590.02420000000006</v>
      </c>
      <c r="S85" s="33">
        <f t="shared" si="8"/>
        <v>1313.91</v>
      </c>
      <c r="T85" s="94">
        <f>(F86-F85)/F85</f>
        <v>-0.16273374888691011</v>
      </c>
      <c r="U85" s="94">
        <f>(Q86-Q85)/Q85</f>
        <v>-0.15447125298776782</v>
      </c>
      <c r="V85" s="94">
        <f>(R86-R85)/R85</f>
        <v>-0.16432732759097013</v>
      </c>
      <c r="W85" s="95">
        <f>(S86-S85)/S85</f>
        <v>-0.1452728116842098</v>
      </c>
    </row>
    <row r="86" spans="1:23" x14ac:dyDescent="0.25">
      <c r="A86" s="122"/>
      <c r="B86" s="34">
        <v>100000000</v>
      </c>
      <c r="C86" s="35">
        <f t="shared" si="5"/>
        <v>1</v>
      </c>
      <c r="D86" s="92"/>
      <c r="E86" s="37" t="s">
        <v>114</v>
      </c>
      <c r="F86">
        <v>18.805</v>
      </c>
      <c r="G86" s="31">
        <f t="shared" si="9"/>
        <v>18.805</v>
      </c>
      <c r="H86">
        <v>3.49</v>
      </c>
      <c r="I86">
        <v>26.8</v>
      </c>
      <c r="J86">
        <v>140.49</v>
      </c>
      <c r="K86">
        <v>65.629450000000006</v>
      </c>
      <c r="L86">
        <v>503.97399999999999</v>
      </c>
      <c r="M86">
        <v>2641.9144500000002</v>
      </c>
      <c r="N86">
        <v>57.731349999999999</v>
      </c>
      <c r="O86">
        <v>493.06709999999998</v>
      </c>
      <c r="P86">
        <v>1123.0346</v>
      </c>
      <c r="Q86" s="31">
        <f t="shared" si="6"/>
        <v>57.731349999999999</v>
      </c>
      <c r="R86" s="32">
        <f t="shared" si="7"/>
        <v>493.06709999999998</v>
      </c>
      <c r="S86" s="33">
        <f t="shared" si="8"/>
        <v>1123.0346</v>
      </c>
      <c r="T86" s="94"/>
      <c r="U86" s="94"/>
      <c r="V86" s="94"/>
      <c r="W86" s="95"/>
    </row>
    <row r="87" spans="1:23" x14ac:dyDescent="0.25">
      <c r="A87" s="122" t="s">
        <v>79</v>
      </c>
      <c r="B87" s="34">
        <v>10000000000</v>
      </c>
      <c r="C87" s="35">
        <f t="shared" si="5"/>
        <v>0.01</v>
      </c>
      <c r="D87" s="113" t="s">
        <v>169</v>
      </c>
      <c r="E87" s="37" t="s">
        <v>111</v>
      </c>
      <c r="F87">
        <v>81.100999999999999</v>
      </c>
      <c r="G87" s="31">
        <f t="shared" si="9"/>
        <v>0.81101000000000001</v>
      </c>
      <c r="H87">
        <v>3.46</v>
      </c>
      <c r="I87">
        <v>27.56</v>
      </c>
      <c r="J87">
        <v>146.28</v>
      </c>
      <c r="K87">
        <v>280.60946000000001</v>
      </c>
      <c r="L87">
        <v>2235.14356</v>
      </c>
      <c r="M87">
        <v>11863.45428</v>
      </c>
      <c r="N87">
        <v>246.54704000000001</v>
      </c>
      <c r="O87">
        <v>2188.1049800000001</v>
      </c>
      <c r="P87">
        <v>5029.8840200000004</v>
      </c>
      <c r="Q87" s="31">
        <f t="shared" si="6"/>
        <v>2.4654704000000001</v>
      </c>
      <c r="R87" s="32">
        <f t="shared" si="7"/>
        <v>21.8810498</v>
      </c>
      <c r="S87" s="33">
        <f t="shared" si="8"/>
        <v>50.298840200000008</v>
      </c>
      <c r="T87" s="94">
        <f>(F88-F87)/F87</f>
        <v>8.7298553655318478E-3</v>
      </c>
      <c r="U87" s="94">
        <f>(Q88-Q87)/Q87</f>
        <v>1.5366235992936751E-2</v>
      </c>
      <c r="V87" s="94">
        <f>(R88-R87)/R87</f>
        <v>6.4865717731697522E-3</v>
      </c>
      <c r="W87" s="95">
        <f>(S88-S87)/S87</f>
        <v>-1.191544372826543E-3</v>
      </c>
    </row>
    <row r="88" spans="1:23" x14ac:dyDescent="0.25">
      <c r="A88" s="122"/>
      <c r="B88" s="34">
        <v>10000000000</v>
      </c>
      <c r="C88" s="35">
        <f t="shared" si="5"/>
        <v>0.01</v>
      </c>
      <c r="D88" s="92"/>
      <c r="E88" s="37" t="s">
        <v>114</v>
      </c>
      <c r="F88">
        <v>81.808999999999997</v>
      </c>
      <c r="G88" s="31">
        <f t="shared" si="9"/>
        <v>0.81808999999999998</v>
      </c>
      <c r="H88">
        <v>3.48</v>
      </c>
      <c r="I88">
        <v>27.5</v>
      </c>
      <c r="J88">
        <v>145.66999999999999</v>
      </c>
      <c r="K88">
        <v>284.69531999999998</v>
      </c>
      <c r="L88">
        <v>2249.7474999999999</v>
      </c>
      <c r="M88">
        <v>11917.117029999999</v>
      </c>
      <c r="N88">
        <v>250.33554000000001</v>
      </c>
      <c r="O88">
        <v>2202.29828</v>
      </c>
      <c r="P88">
        <v>5023.8906899999993</v>
      </c>
      <c r="Q88" s="31">
        <f t="shared" si="6"/>
        <v>2.5033554000000002</v>
      </c>
      <c r="R88" s="32">
        <f t="shared" si="7"/>
        <v>22.022982800000001</v>
      </c>
      <c r="S88" s="33">
        <f t="shared" si="8"/>
        <v>50.238906899999996</v>
      </c>
      <c r="T88" s="94"/>
      <c r="U88" s="94"/>
      <c r="V88" s="94"/>
      <c r="W88" s="95"/>
    </row>
    <row r="89" spans="1:23" x14ac:dyDescent="0.25">
      <c r="A89" s="122"/>
      <c r="B89" s="34">
        <v>10000000</v>
      </c>
      <c r="C89" s="35">
        <f t="shared" si="5"/>
        <v>10</v>
      </c>
      <c r="D89" s="92" t="s">
        <v>170</v>
      </c>
      <c r="E89" s="37" t="s">
        <v>111</v>
      </c>
      <c r="F89">
        <v>20.709</v>
      </c>
      <c r="G89" s="31">
        <f t="shared" si="9"/>
        <v>207.09</v>
      </c>
      <c r="H89">
        <v>3.46</v>
      </c>
      <c r="I89">
        <v>22.53</v>
      </c>
      <c r="J89">
        <v>134.4</v>
      </c>
      <c r="K89">
        <v>71.653139999999993</v>
      </c>
      <c r="L89">
        <v>466.57377000000002</v>
      </c>
      <c r="M89">
        <v>2783.2896000000001</v>
      </c>
      <c r="N89">
        <v>62.955359999999999</v>
      </c>
      <c r="O89">
        <v>454.56254999999999</v>
      </c>
      <c r="P89">
        <v>1009.77084</v>
      </c>
      <c r="Q89" s="31">
        <f t="shared" si="6"/>
        <v>629.55359999999996</v>
      </c>
      <c r="R89" s="32">
        <f t="shared" si="7"/>
        <v>4545.6255000000001</v>
      </c>
      <c r="S89" s="33">
        <f t="shared" si="8"/>
        <v>10097.7084</v>
      </c>
      <c r="T89" s="94">
        <f>(F90-F89)/F89</f>
        <v>-0.74614901733545802</v>
      </c>
      <c r="U89" s="94">
        <f>(Q90-Q89)/Q89</f>
        <v>-0.74364390895389998</v>
      </c>
      <c r="V89" s="94">
        <f>(R90-R89)/R89</f>
        <v>-0.73562489914754303</v>
      </c>
      <c r="W89" s="95">
        <f>(S90-S89)/S89</f>
        <v>-0.71996217478413227</v>
      </c>
    </row>
    <row r="90" spans="1:23" x14ac:dyDescent="0.25">
      <c r="A90" s="122"/>
      <c r="B90" s="34">
        <v>10000000</v>
      </c>
      <c r="C90" s="35">
        <f t="shared" si="5"/>
        <v>10</v>
      </c>
      <c r="D90" s="92"/>
      <c r="E90" s="37" t="s">
        <v>114</v>
      </c>
      <c r="F90">
        <v>5.2569999999999997</v>
      </c>
      <c r="G90" s="31">
        <f t="shared" si="9"/>
        <v>52.569999999999993</v>
      </c>
      <c r="H90">
        <v>3.49</v>
      </c>
      <c r="I90">
        <v>23.44</v>
      </c>
      <c r="J90">
        <v>139.43</v>
      </c>
      <c r="K90">
        <v>18.34693</v>
      </c>
      <c r="L90">
        <v>123.22408</v>
      </c>
      <c r="M90">
        <v>732.98351000000002</v>
      </c>
      <c r="N90">
        <v>16.13899</v>
      </c>
      <c r="O90">
        <v>120.17502</v>
      </c>
      <c r="P90">
        <v>282.77402999999998</v>
      </c>
      <c r="Q90" s="31">
        <f t="shared" si="6"/>
        <v>161.38990000000001</v>
      </c>
      <c r="R90" s="32">
        <f t="shared" si="7"/>
        <v>1201.7501999999999</v>
      </c>
      <c r="S90" s="33">
        <f t="shared" si="8"/>
        <v>2827.7402999999999</v>
      </c>
      <c r="T90" s="94"/>
      <c r="U90" s="94"/>
      <c r="V90" s="94"/>
      <c r="W90" s="95"/>
    </row>
    <row r="91" spans="1:23" x14ac:dyDescent="0.25">
      <c r="A91" s="122" t="s">
        <v>87</v>
      </c>
      <c r="B91" s="34">
        <v>10000000000</v>
      </c>
      <c r="C91" s="35">
        <f t="shared" si="5"/>
        <v>0.01</v>
      </c>
      <c r="D91" s="113" t="s">
        <v>169</v>
      </c>
      <c r="E91" s="37" t="s">
        <v>111</v>
      </c>
      <c r="F91">
        <v>1.571</v>
      </c>
      <c r="G91" s="31">
        <f t="shared" si="9"/>
        <v>1.5709999999999998E-2</v>
      </c>
      <c r="H91">
        <v>3.52</v>
      </c>
      <c r="I91">
        <v>19.55</v>
      </c>
      <c r="J91">
        <v>134.49</v>
      </c>
      <c r="K91">
        <v>5.5299199999999997</v>
      </c>
      <c r="L91">
        <v>30.713049999999999</v>
      </c>
      <c r="M91">
        <v>211.28379000000001</v>
      </c>
      <c r="N91">
        <v>4.8700999999999999</v>
      </c>
      <c r="O91">
        <v>29.801870000000001</v>
      </c>
      <c r="P91">
        <v>67.552999999999997</v>
      </c>
      <c r="Q91" s="31">
        <f t="shared" si="6"/>
        <v>4.8701000000000001E-2</v>
      </c>
      <c r="R91" s="32">
        <f t="shared" si="7"/>
        <v>0.29801870000000003</v>
      </c>
      <c r="S91" s="33">
        <f t="shared" si="8"/>
        <v>0.67552999999999996</v>
      </c>
      <c r="T91" s="94">
        <f>(F92-F91)/F91</f>
        <v>-6.3653723742831947E-4</v>
      </c>
      <c r="U91" s="94">
        <f>(Q92-Q91)/Q91</f>
        <v>-6.3653723742845619E-4</v>
      </c>
      <c r="V91" s="94">
        <f>(R92-R91)/R91</f>
        <v>-8.5387259255879262E-3</v>
      </c>
      <c r="W91" s="95">
        <f>(S92-S91)/S91</f>
        <v>-1.7370064986010687E-2</v>
      </c>
    </row>
    <row r="92" spans="1:23" x14ac:dyDescent="0.25">
      <c r="A92" s="122"/>
      <c r="B92" s="34">
        <v>10000000000</v>
      </c>
      <c r="C92" s="35">
        <f t="shared" si="5"/>
        <v>0.01</v>
      </c>
      <c r="D92" s="92"/>
      <c r="E92" s="37" t="s">
        <v>114</v>
      </c>
      <c r="F92">
        <v>1.57</v>
      </c>
      <c r="G92" s="31">
        <f t="shared" si="9"/>
        <v>1.5700000000000002E-2</v>
      </c>
      <c r="H92">
        <v>3.52</v>
      </c>
      <c r="I92">
        <v>19.399999999999999</v>
      </c>
      <c r="J92">
        <v>133.77000000000001</v>
      </c>
      <c r="K92">
        <v>5.5264000000000006</v>
      </c>
      <c r="L92">
        <v>30.457999999999998</v>
      </c>
      <c r="M92">
        <v>210.0189</v>
      </c>
      <c r="N92">
        <v>4.867</v>
      </c>
      <c r="O92">
        <v>29.5474</v>
      </c>
      <c r="P92">
        <v>66.379600000000011</v>
      </c>
      <c r="Q92" s="31">
        <f t="shared" si="6"/>
        <v>4.8669999999999998E-2</v>
      </c>
      <c r="R92" s="32">
        <f t="shared" si="7"/>
        <v>0.29547400000000001</v>
      </c>
      <c r="S92" s="33">
        <f t="shared" si="8"/>
        <v>0.66379600000000016</v>
      </c>
      <c r="T92" s="94"/>
      <c r="U92" s="94"/>
      <c r="V92" s="94"/>
      <c r="W92" s="95"/>
    </row>
    <row r="93" spans="1:23" x14ac:dyDescent="0.25">
      <c r="A93" s="122"/>
      <c r="B93" s="34">
        <v>100000000</v>
      </c>
      <c r="C93" s="35">
        <f t="shared" si="5"/>
        <v>1</v>
      </c>
      <c r="D93" s="92" t="s">
        <v>170</v>
      </c>
      <c r="E93" s="37" t="s">
        <v>111</v>
      </c>
      <c r="F93">
        <v>4.0490000000000004</v>
      </c>
      <c r="G93" s="31">
        <f t="shared" si="9"/>
        <v>4.0490000000000004</v>
      </c>
      <c r="H93">
        <v>3.52</v>
      </c>
      <c r="I93">
        <v>21.07</v>
      </c>
      <c r="J93">
        <v>134.29</v>
      </c>
      <c r="K93">
        <v>14.25248</v>
      </c>
      <c r="L93">
        <v>85.312430000000006</v>
      </c>
      <c r="M93">
        <v>543.74021000000005</v>
      </c>
      <c r="N93">
        <v>12.5519</v>
      </c>
      <c r="O93">
        <v>82.964010000000002</v>
      </c>
      <c r="P93">
        <v>203.74567999999999</v>
      </c>
      <c r="Q93" s="31">
        <f t="shared" si="6"/>
        <v>12.5519</v>
      </c>
      <c r="R93" s="32">
        <f t="shared" si="7"/>
        <v>82.964010000000002</v>
      </c>
      <c r="S93" s="33">
        <f t="shared" si="8"/>
        <v>203.74567999999999</v>
      </c>
      <c r="T93" s="94">
        <f>(F94-F93)/F93</f>
        <v>-6.4707335144480224E-2</v>
      </c>
      <c r="U93" s="94">
        <f>(Q94-Q93)/Q93</f>
        <v>-6.4707335144480169E-2</v>
      </c>
      <c r="V93" s="94">
        <f>(R94-R93)/R93</f>
        <v>-7.0641354003983234E-2</v>
      </c>
      <c r="W93" s="95">
        <f>(S94-S93)/S93</f>
        <v>-8.1249673612711709E-2</v>
      </c>
    </row>
    <row r="94" spans="1:23" x14ac:dyDescent="0.25">
      <c r="A94" s="122"/>
      <c r="B94" s="34">
        <v>100000000</v>
      </c>
      <c r="C94" s="35">
        <f t="shared" si="5"/>
        <v>1</v>
      </c>
      <c r="D94" s="92"/>
      <c r="E94" s="37" t="s">
        <v>114</v>
      </c>
      <c r="F94">
        <v>3.7869999999999999</v>
      </c>
      <c r="G94" s="31">
        <f t="shared" si="9"/>
        <v>3.7869999999999999</v>
      </c>
      <c r="H94">
        <v>3.52</v>
      </c>
      <c r="I94">
        <v>20.94</v>
      </c>
      <c r="J94">
        <v>133.38999999999999</v>
      </c>
      <c r="K94">
        <v>13.33024</v>
      </c>
      <c r="L94">
        <v>79.299779999999998</v>
      </c>
      <c r="M94">
        <v>505.14792999999992</v>
      </c>
      <c r="N94">
        <v>11.739699999999999</v>
      </c>
      <c r="O94">
        <v>77.103319999999997</v>
      </c>
      <c r="P94">
        <v>187.19140999999999</v>
      </c>
      <c r="Q94" s="31">
        <f t="shared" si="6"/>
        <v>11.739699999999999</v>
      </c>
      <c r="R94" s="32">
        <f t="shared" si="7"/>
        <v>77.103319999999997</v>
      </c>
      <c r="S94" s="33">
        <f t="shared" si="8"/>
        <v>187.19140999999999</v>
      </c>
      <c r="T94" s="94"/>
      <c r="U94" s="94"/>
      <c r="V94" s="94"/>
      <c r="W94" s="95"/>
    </row>
    <row r="95" spans="1:23" x14ac:dyDescent="0.25">
      <c r="A95" s="122" t="s">
        <v>91</v>
      </c>
      <c r="B95" s="34">
        <v>10000000000</v>
      </c>
      <c r="C95" s="35">
        <f t="shared" si="5"/>
        <v>0.01</v>
      </c>
      <c r="D95" s="113" t="s">
        <v>169</v>
      </c>
      <c r="E95" s="37" t="s">
        <v>111</v>
      </c>
      <c r="F95">
        <v>51.969000000000001</v>
      </c>
      <c r="G95" s="31">
        <f t="shared" si="9"/>
        <v>0.51968999999999999</v>
      </c>
      <c r="H95">
        <v>3.49</v>
      </c>
      <c r="I95">
        <v>25.58</v>
      </c>
      <c r="J95">
        <v>153.16</v>
      </c>
      <c r="K95">
        <v>181.37181000000001</v>
      </c>
      <c r="L95">
        <v>1329.3670199999999</v>
      </c>
      <c r="M95">
        <v>7959.57204</v>
      </c>
      <c r="N95">
        <v>159.54482999999999</v>
      </c>
      <c r="O95">
        <v>1299.2249999999999</v>
      </c>
      <c r="P95">
        <v>3075.5254199999999</v>
      </c>
      <c r="Q95" s="31">
        <f t="shared" si="6"/>
        <v>1.5954482999999999</v>
      </c>
      <c r="R95" s="32">
        <f t="shared" si="7"/>
        <v>12.992249999999999</v>
      </c>
      <c r="S95" s="33">
        <f t="shared" si="8"/>
        <v>30.7552542</v>
      </c>
      <c r="T95" s="94">
        <f>(F96-F95)/F95</f>
        <v>-1.8491793184398364E-2</v>
      </c>
      <c r="U95" s="94">
        <f>(Q96-Q95)/Q95</f>
        <v>-1.8491793184398319E-2</v>
      </c>
      <c r="V95" s="94">
        <f>(R96-R95)/R95</f>
        <v>-1.1817537378052039E-2</v>
      </c>
      <c r="W95" s="95">
        <f>(S96-S95)/S95</f>
        <v>-9.0382670288577608E-3</v>
      </c>
    </row>
    <row r="96" spans="1:23" x14ac:dyDescent="0.25">
      <c r="A96" s="122"/>
      <c r="B96" s="34">
        <v>10000000000</v>
      </c>
      <c r="C96" s="35">
        <f t="shared" si="5"/>
        <v>0.01</v>
      </c>
      <c r="D96" s="92"/>
      <c r="E96" s="37" t="s">
        <v>114</v>
      </c>
      <c r="F96">
        <v>51.008000000000003</v>
      </c>
      <c r="G96" s="31">
        <f t="shared" si="9"/>
        <v>0.51008000000000009</v>
      </c>
      <c r="H96">
        <v>3.49</v>
      </c>
      <c r="I96">
        <v>25.75</v>
      </c>
      <c r="J96">
        <v>153.72999999999999</v>
      </c>
      <c r="K96">
        <v>178.01792</v>
      </c>
      <c r="L96">
        <v>1313.4559999999999</v>
      </c>
      <c r="M96">
        <v>7841.4598400000004</v>
      </c>
      <c r="N96">
        <v>156.59456</v>
      </c>
      <c r="O96">
        <v>1283.8713600000001</v>
      </c>
      <c r="P96">
        <v>3047.7280000000001</v>
      </c>
      <c r="Q96" s="31">
        <f t="shared" si="6"/>
        <v>1.5659456</v>
      </c>
      <c r="R96" s="32">
        <f t="shared" si="7"/>
        <v>12.838713600000002</v>
      </c>
      <c r="S96" s="33">
        <f t="shared" si="8"/>
        <v>30.47728</v>
      </c>
      <c r="T96" s="94"/>
      <c r="U96" s="94"/>
      <c r="V96" s="94"/>
      <c r="W96" s="95"/>
    </row>
    <row r="97" spans="1:23" x14ac:dyDescent="0.25">
      <c r="A97" s="122"/>
      <c r="B97" s="34">
        <v>100000000</v>
      </c>
      <c r="C97" s="35">
        <f t="shared" si="5"/>
        <v>1</v>
      </c>
      <c r="D97" s="92" t="s">
        <v>170</v>
      </c>
      <c r="E97" s="37" t="s">
        <v>111</v>
      </c>
      <c r="F97">
        <v>18.853000000000002</v>
      </c>
      <c r="G97" s="31">
        <f t="shared" si="9"/>
        <v>18.853000000000002</v>
      </c>
      <c r="H97">
        <v>3.5</v>
      </c>
      <c r="I97">
        <v>26.56</v>
      </c>
      <c r="J97">
        <v>155.51</v>
      </c>
      <c r="K97">
        <v>65.985500000000002</v>
      </c>
      <c r="L97">
        <v>500.73568</v>
      </c>
      <c r="M97">
        <v>2931.8300300000001</v>
      </c>
      <c r="N97">
        <v>58.067240000000012</v>
      </c>
      <c r="O97">
        <v>489.80094000000003</v>
      </c>
      <c r="P97">
        <v>1084.0474999999999</v>
      </c>
      <c r="Q97" s="31">
        <f t="shared" si="6"/>
        <v>58.067240000000012</v>
      </c>
      <c r="R97" s="32">
        <f t="shared" si="7"/>
        <v>489.80094000000003</v>
      </c>
      <c r="S97" s="33">
        <f t="shared" si="8"/>
        <v>1084.0474999999999</v>
      </c>
      <c r="T97" s="94">
        <f>(F98-F97)/F97</f>
        <v>-0.21821460775473403</v>
      </c>
      <c r="U97" s="94">
        <f>(Q98-Q97)/Q97</f>
        <v>-0.21567634349419762</v>
      </c>
      <c r="V97" s="94">
        <f>(R98-R97)/R97</f>
        <v>-0.21550634427120544</v>
      </c>
      <c r="W97" s="95">
        <f>(S98-S97)/S97</f>
        <v>-0.20992088446308849</v>
      </c>
    </row>
    <row r="98" spans="1:23" x14ac:dyDescent="0.25">
      <c r="A98" s="122"/>
      <c r="B98" s="34">
        <v>100000000</v>
      </c>
      <c r="C98" s="35">
        <f t="shared" si="5"/>
        <v>1</v>
      </c>
      <c r="D98" s="92"/>
      <c r="E98" s="37" t="s">
        <v>114</v>
      </c>
      <c r="F98">
        <v>14.739000000000001</v>
      </c>
      <c r="G98" s="31">
        <f t="shared" si="9"/>
        <v>14.739000000000001</v>
      </c>
      <c r="H98">
        <v>3.51</v>
      </c>
      <c r="I98">
        <v>26.65</v>
      </c>
      <c r="J98">
        <v>156.12</v>
      </c>
      <c r="K98">
        <v>51.733890000000002</v>
      </c>
      <c r="L98">
        <v>392.79435000000001</v>
      </c>
      <c r="M98">
        <v>2301.0526799999998</v>
      </c>
      <c r="N98">
        <v>45.543509999999998</v>
      </c>
      <c r="O98">
        <v>384.24572999999998</v>
      </c>
      <c r="P98">
        <v>856.48329000000001</v>
      </c>
      <c r="Q98" s="31">
        <f t="shared" si="6"/>
        <v>45.543509999999998</v>
      </c>
      <c r="R98" s="32">
        <f t="shared" si="7"/>
        <v>384.24572999999998</v>
      </c>
      <c r="S98" s="33">
        <f t="shared" si="8"/>
        <v>856.48329000000001</v>
      </c>
      <c r="T98" s="94"/>
      <c r="U98" s="94"/>
      <c r="V98" s="94"/>
      <c r="W98" s="95"/>
    </row>
    <row r="99" spans="1:23" x14ac:dyDescent="0.25">
      <c r="A99" s="122" t="s">
        <v>93</v>
      </c>
      <c r="B99" s="34">
        <v>100000000</v>
      </c>
      <c r="C99" s="35">
        <f t="shared" si="5"/>
        <v>1</v>
      </c>
      <c r="D99" s="113" t="s">
        <v>169</v>
      </c>
      <c r="E99" s="37" t="s">
        <v>111</v>
      </c>
      <c r="F99">
        <v>225.60300000000001</v>
      </c>
      <c r="G99" s="31">
        <f t="shared" si="9"/>
        <v>225.60300000000001</v>
      </c>
      <c r="H99">
        <v>3.48</v>
      </c>
      <c r="I99">
        <v>29.97</v>
      </c>
      <c r="J99">
        <v>168.34</v>
      </c>
      <c r="K99">
        <v>785.09843999999998</v>
      </c>
      <c r="L99">
        <v>6761.3219099999997</v>
      </c>
      <c r="M99">
        <v>37978.009019999998</v>
      </c>
      <c r="N99">
        <v>690.34518000000003</v>
      </c>
      <c r="O99">
        <v>6630.47217</v>
      </c>
      <c r="P99">
        <v>15873.427079999999</v>
      </c>
      <c r="Q99" s="31">
        <f t="shared" si="6"/>
        <v>690.34518000000003</v>
      </c>
      <c r="R99" s="32">
        <f t="shared" si="7"/>
        <v>6630.47217</v>
      </c>
      <c r="S99" s="33">
        <f t="shared" si="8"/>
        <v>15873.427079999999</v>
      </c>
      <c r="T99" s="94">
        <f>(F100-F99)/F99</f>
        <v>-0.25906127134834206</v>
      </c>
      <c r="U99" s="94">
        <f>(Q100-Q99)/Q99</f>
        <v>-0.26390400813691495</v>
      </c>
      <c r="V99" s="94">
        <f>(R100-R99)/R99</f>
        <v>-0.22427068116326929</v>
      </c>
      <c r="W99" s="95">
        <f>(S100-S99)/S99</f>
        <v>-0.20725031988492304</v>
      </c>
    </row>
    <row r="100" spans="1:23" x14ac:dyDescent="0.25">
      <c r="A100" s="122"/>
      <c r="B100" s="34">
        <v>100000000</v>
      </c>
      <c r="C100" s="35">
        <f t="shared" si="5"/>
        <v>1</v>
      </c>
      <c r="D100" s="92"/>
      <c r="E100" s="37" t="s">
        <v>114</v>
      </c>
      <c r="F100">
        <v>167.15799999999999</v>
      </c>
      <c r="G100" s="31">
        <f t="shared" si="9"/>
        <v>167.15799999999999</v>
      </c>
      <c r="H100">
        <v>3.46</v>
      </c>
      <c r="I100">
        <v>31.35</v>
      </c>
      <c r="J100">
        <v>173.26</v>
      </c>
      <c r="K100">
        <v>578.36667999999997</v>
      </c>
      <c r="L100">
        <v>5240.4032999999999</v>
      </c>
      <c r="M100">
        <v>28961.79508</v>
      </c>
      <c r="N100">
        <v>508.16032000000001</v>
      </c>
      <c r="O100">
        <v>5143.4516599999997</v>
      </c>
      <c r="P100">
        <v>12583.65424</v>
      </c>
      <c r="Q100" s="31">
        <f t="shared" si="6"/>
        <v>508.16032000000001</v>
      </c>
      <c r="R100" s="32">
        <f t="shared" si="7"/>
        <v>5143.4516599999997</v>
      </c>
      <c r="S100" s="33">
        <f t="shared" si="8"/>
        <v>12583.65424</v>
      </c>
      <c r="T100" s="94"/>
      <c r="U100" s="94"/>
      <c r="V100" s="94"/>
      <c r="W100" s="95"/>
    </row>
    <row r="101" spans="1:23" x14ac:dyDescent="0.25">
      <c r="A101" s="122"/>
      <c r="B101" s="34">
        <v>10000000</v>
      </c>
      <c r="C101" s="35">
        <f t="shared" si="5"/>
        <v>10</v>
      </c>
      <c r="D101" s="92" t="s">
        <v>170</v>
      </c>
      <c r="E101" s="37" t="s">
        <v>111</v>
      </c>
      <c r="F101">
        <v>222.958</v>
      </c>
      <c r="G101" s="31">
        <f t="shared" si="9"/>
        <v>2229.58</v>
      </c>
      <c r="H101">
        <v>3.49</v>
      </c>
      <c r="I101">
        <v>28.21</v>
      </c>
      <c r="J101">
        <v>162.11000000000001</v>
      </c>
      <c r="K101">
        <v>778.12342000000001</v>
      </c>
      <c r="L101">
        <v>6289.6451800000004</v>
      </c>
      <c r="M101">
        <v>36143.721380000003</v>
      </c>
      <c r="N101">
        <v>684.48105999999996</v>
      </c>
      <c r="O101">
        <v>6160.3295399999997</v>
      </c>
      <c r="P101">
        <v>14755.36044</v>
      </c>
      <c r="Q101" s="31">
        <f t="shared" si="6"/>
        <v>6844.8105999999998</v>
      </c>
      <c r="R101" s="32">
        <f t="shared" si="7"/>
        <v>61603.295399999995</v>
      </c>
      <c r="S101" s="33">
        <f t="shared" si="8"/>
        <v>147553.60440000001</v>
      </c>
      <c r="T101" s="94">
        <f>(F102-F101)/F101</f>
        <v>-0.48792597708985547</v>
      </c>
      <c r="U101" s="94">
        <f>(Q102-Q101)/Q101</f>
        <v>-0.48792597708985547</v>
      </c>
      <c r="V101" s="94">
        <f>(R102-R101)/R101</f>
        <v>-0.4801420071433386</v>
      </c>
      <c r="W101" s="95">
        <f>(S102-S101)/S101</f>
        <v>-0.4776349760250248</v>
      </c>
    </row>
    <row r="102" spans="1:23" x14ac:dyDescent="0.25">
      <c r="A102" s="122"/>
      <c r="B102" s="34">
        <v>10000000</v>
      </c>
      <c r="C102" s="35">
        <f t="shared" si="5"/>
        <v>10</v>
      </c>
      <c r="D102" s="92"/>
      <c r="E102" s="37" t="s">
        <v>114</v>
      </c>
      <c r="F102">
        <v>114.17100000000001</v>
      </c>
      <c r="G102" s="31">
        <f t="shared" si="9"/>
        <v>1141.71</v>
      </c>
      <c r="H102">
        <v>3.49</v>
      </c>
      <c r="I102">
        <v>28.63</v>
      </c>
      <c r="J102">
        <v>163.44</v>
      </c>
      <c r="K102">
        <v>398.45679000000013</v>
      </c>
      <c r="L102">
        <v>3268.7157299999999</v>
      </c>
      <c r="M102">
        <v>18660.108240000001</v>
      </c>
      <c r="N102">
        <v>350.50497000000001</v>
      </c>
      <c r="O102">
        <v>3202.4965499999998</v>
      </c>
      <c r="P102">
        <v>7707.6842100000013</v>
      </c>
      <c r="Q102" s="31">
        <f t="shared" si="6"/>
        <v>3505.0497</v>
      </c>
      <c r="R102" s="32">
        <f t="shared" si="7"/>
        <v>32024.965499999998</v>
      </c>
      <c r="S102" s="33">
        <f t="shared" si="8"/>
        <v>77076.842100000009</v>
      </c>
      <c r="T102" s="94"/>
      <c r="U102" s="94"/>
      <c r="V102" s="94"/>
      <c r="W102" s="95"/>
    </row>
    <row r="103" spans="1:23" x14ac:dyDescent="0.25">
      <c r="A103" s="122" t="s">
        <v>95</v>
      </c>
      <c r="B103" s="34">
        <v>100000000</v>
      </c>
      <c r="C103" s="35">
        <f t="shared" si="5"/>
        <v>1</v>
      </c>
      <c r="D103" s="113" t="s">
        <v>169</v>
      </c>
      <c r="E103" s="37" t="s">
        <v>111</v>
      </c>
      <c r="F103">
        <v>30.221</v>
      </c>
      <c r="G103" s="31">
        <f t="shared" si="9"/>
        <v>30.221</v>
      </c>
      <c r="H103">
        <v>3.5</v>
      </c>
      <c r="I103">
        <v>29.42</v>
      </c>
      <c r="J103">
        <v>165.07</v>
      </c>
      <c r="K103">
        <v>105.7735</v>
      </c>
      <c r="L103">
        <v>889.10182000000009</v>
      </c>
      <c r="M103">
        <v>4988.5804699999999</v>
      </c>
      <c r="N103">
        <v>93.080680000000001</v>
      </c>
      <c r="O103">
        <v>871.57363999999995</v>
      </c>
      <c r="P103">
        <v>2023.59816</v>
      </c>
      <c r="Q103" s="31">
        <f t="shared" si="6"/>
        <v>93.080680000000001</v>
      </c>
      <c r="R103" s="32">
        <f t="shared" si="7"/>
        <v>871.57363999999995</v>
      </c>
      <c r="S103" s="33">
        <f t="shared" si="8"/>
        <v>2023.59816</v>
      </c>
      <c r="T103" s="94">
        <f>(F104-F103)/F103</f>
        <v>-0.18232354984944249</v>
      </c>
      <c r="U103" s="94">
        <f>(Q104-Q103)/Q103</f>
        <v>-0.17966875618012249</v>
      </c>
      <c r="V103" s="94">
        <f>(R104-R103)/R103</f>
        <v>-0.18997863450757876</v>
      </c>
      <c r="W103" s="95">
        <f>(S104-S103)/S103</f>
        <v>-0.18366680566659535</v>
      </c>
    </row>
    <row r="104" spans="1:23" x14ac:dyDescent="0.25">
      <c r="A104" s="122"/>
      <c r="B104" s="34">
        <v>100000000</v>
      </c>
      <c r="C104" s="35">
        <f t="shared" si="5"/>
        <v>1</v>
      </c>
      <c r="D104" s="92"/>
      <c r="E104" s="37" t="s">
        <v>114</v>
      </c>
      <c r="F104">
        <v>24.710999999999999</v>
      </c>
      <c r="G104" s="31">
        <f t="shared" si="9"/>
        <v>24.710999999999999</v>
      </c>
      <c r="H104">
        <v>3.51</v>
      </c>
      <c r="I104">
        <v>29.15</v>
      </c>
      <c r="J104">
        <v>164.96</v>
      </c>
      <c r="K104">
        <v>86.735609999999994</v>
      </c>
      <c r="L104">
        <v>720.32564999999988</v>
      </c>
      <c r="M104">
        <v>4076.32656</v>
      </c>
      <c r="N104">
        <v>76.356989999999996</v>
      </c>
      <c r="O104">
        <v>705.99326999999994</v>
      </c>
      <c r="P104">
        <v>1651.9303500000001</v>
      </c>
      <c r="Q104" s="31">
        <f t="shared" si="6"/>
        <v>76.356989999999996</v>
      </c>
      <c r="R104" s="32">
        <f t="shared" si="7"/>
        <v>705.99326999999994</v>
      </c>
      <c r="S104" s="33">
        <f t="shared" si="8"/>
        <v>1651.9303500000001</v>
      </c>
      <c r="T104" s="94"/>
      <c r="U104" s="94"/>
      <c r="V104" s="94"/>
      <c r="W104" s="95"/>
    </row>
    <row r="105" spans="1:23" x14ac:dyDescent="0.25">
      <c r="A105" s="122"/>
      <c r="B105" s="34">
        <v>10000000</v>
      </c>
      <c r="C105" s="35">
        <f t="shared" si="5"/>
        <v>10</v>
      </c>
      <c r="D105" s="92" t="s">
        <v>170</v>
      </c>
      <c r="E105" s="37" t="s">
        <v>111</v>
      </c>
      <c r="F105">
        <v>145.733</v>
      </c>
      <c r="G105" s="31">
        <f t="shared" si="9"/>
        <v>1457.33</v>
      </c>
      <c r="H105">
        <v>3.5</v>
      </c>
      <c r="I105">
        <v>26.03</v>
      </c>
      <c r="J105">
        <v>155.09</v>
      </c>
      <c r="K105">
        <v>510.06549999999999</v>
      </c>
      <c r="L105">
        <v>3793.4299900000001</v>
      </c>
      <c r="M105">
        <v>22601.730970000001</v>
      </c>
      <c r="N105">
        <v>448.85764</v>
      </c>
      <c r="O105">
        <v>3708.9048499999999</v>
      </c>
      <c r="P105">
        <v>8405.8794400000006</v>
      </c>
      <c r="Q105" s="31">
        <f t="shared" si="6"/>
        <v>4488.5763999999999</v>
      </c>
      <c r="R105" s="32">
        <f t="shared" si="7"/>
        <v>37089.048499999997</v>
      </c>
      <c r="S105" s="33">
        <f t="shared" si="8"/>
        <v>84058.794400000013</v>
      </c>
      <c r="T105" s="94">
        <f>(F106-F105)/F105</f>
        <v>-0.40075343264737573</v>
      </c>
      <c r="U105" s="94">
        <f>(Q106-Q105)/Q105</f>
        <v>-0.40075343264737562</v>
      </c>
      <c r="V105" s="94">
        <f>(R106-R105)/R105</f>
        <v>-0.3833293674276923</v>
      </c>
      <c r="W105" s="95">
        <f>(S106-S105)/S105</f>
        <v>-0.3629369016979383</v>
      </c>
    </row>
    <row r="106" spans="1:23" x14ac:dyDescent="0.25">
      <c r="A106" s="122"/>
      <c r="B106" s="34">
        <v>10000000</v>
      </c>
      <c r="C106" s="35">
        <f t="shared" si="5"/>
        <v>10</v>
      </c>
      <c r="D106" s="92"/>
      <c r="E106" s="37" t="s">
        <v>114</v>
      </c>
      <c r="F106">
        <v>87.33</v>
      </c>
      <c r="G106" s="31">
        <f t="shared" si="9"/>
        <v>873.3</v>
      </c>
      <c r="H106">
        <v>3.5</v>
      </c>
      <c r="I106">
        <v>26.77</v>
      </c>
      <c r="J106">
        <v>158.72999999999999</v>
      </c>
      <c r="K106">
        <v>305.65499999999997</v>
      </c>
      <c r="L106">
        <v>2337.8240999999998</v>
      </c>
      <c r="M106">
        <v>13861.8909</v>
      </c>
      <c r="N106">
        <v>268.97640000000001</v>
      </c>
      <c r="O106">
        <v>2287.1727000000001</v>
      </c>
      <c r="P106">
        <v>5355.0756000000001</v>
      </c>
      <c r="Q106" s="31">
        <f t="shared" si="6"/>
        <v>2689.7640000000001</v>
      </c>
      <c r="R106" s="32">
        <f t="shared" si="7"/>
        <v>22871.726999999999</v>
      </c>
      <c r="S106" s="33">
        <f t="shared" si="8"/>
        <v>53550.756000000001</v>
      </c>
      <c r="T106" s="97"/>
      <c r="U106" s="94"/>
      <c r="V106" s="94"/>
      <c r="W106" s="95"/>
    </row>
  </sheetData>
  <mergeCells count="298">
    <mergeCell ref="G1:G2"/>
    <mergeCell ref="H1:J1"/>
    <mergeCell ref="K1:M1"/>
    <mergeCell ref="N1:P1"/>
    <mergeCell ref="Q1:S1"/>
    <mergeCell ref="T1:W1"/>
    <mergeCell ref="A1:A2"/>
    <mergeCell ref="B1:B2"/>
    <mergeCell ref="C1:C2"/>
    <mergeCell ref="D1:D2"/>
    <mergeCell ref="E1:E2"/>
    <mergeCell ref="F1:F2"/>
    <mergeCell ref="W5:W6"/>
    <mergeCell ref="A7:A10"/>
    <mergeCell ref="D7:D8"/>
    <mergeCell ref="T7:T8"/>
    <mergeCell ref="U7:U8"/>
    <mergeCell ref="V7:V8"/>
    <mergeCell ref="W7:W8"/>
    <mergeCell ref="D9:D10"/>
    <mergeCell ref="T9:T10"/>
    <mergeCell ref="U9:U10"/>
    <mergeCell ref="A3:A6"/>
    <mergeCell ref="D3:D4"/>
    <mergeCell ref="T3:T4"/>
    <mergeCell ref="U3:U4"/>
    <mergeCell ref="V3:V4"/>
    <mergeCell ref="W3:W4"/>
    <mergeCell ref="D5:D6"/>
    <mergeCell ref="T5:T6"/>
    <mergeCell ref="U5:U6"/>
    <mergeCell ref="V5:V6"/>
    <mergeCell ref="V9:V10"/>
    <mergeCell ref="W9:W10"/>
    <mergeCell ref="A11:A14"/>
    <mergeCell ref="D11:D12"/>
    <mergeCell ref="T11:T12"/>
    <mergeCell ref="U11:U12"/>
    <mergeCell ref="V11:V12"/>
    <mergeCell ref="W11:W12"/>
    <mergeCell ref="D13:D14"/>
    <mergeCell ref="T13:T14"/>
    <mergeCell ref="U13:U14"/>
    <mergeCell ref="V13:V14"/>
    <mergeCell ref="W13:W14"/>
    <mergeCell ref="A15:A18"/>
    <mergeCell ref="D15:D16"/>
    <mergeCell ref="T15:T16"/>
    <mergeCell ref="U15:U16"/>
    <mergeCell ref="V15:V16"/>
    <mergeCell ref="W15:W16"/>
    <mergeCell ref="D17:D18"/>
    <mergeCell ref="A23:A26"/>
    <mergeCell ref="D23:D24"/>
    <mergeCell ref="T23:T24"/>
    <mergeCell ref="U23:U24"/>
    <mergeCell ref="V23:V24"/>
    <mergeCell ref="T17:T18"/>
    <mergeCell ref="U17:U18"/>
    <mergeCell ref="V17:V18"/>
    <mergeCell ref="W17:W18"/>
    <mergeCell ref="A19:A22"/>
    <mergeCell ref="D19:D20"/>
    <mergeCell ref="T19:T20"/>
    <mergeCell ref="U19:U20"/>
    <mergeCell ref="V19:V20"/>
    <mergeCell ref="W19:W20"/>
    <mergeCell ref="W23:W24"/>
    <mergeCell ref="D25:D26"/>
    <mergeCell ref="T25:T26"/>
    <mergeCell ref="U25:U26"/>
    <mergeCell ref="V25:V26"/>
    <mergeCell ref="W25:W26"/>
    <mergeCell ref="D21:D22"/>
    <mergeCell ref="T21:T22"/>
    <mergeCell ref="U21:U22"/>
    <mergeCell ref="V21:V22"/>
    <mergeCell ref="W21:W22"/>
    <mergeCell ref="W29:W30"/>
    <mergeCell ref="A31:A34"/>
    <mergeCell ref="D31:D32"/>
    <mergeCell ref="T31:T32"/>
    <mergeCell ref="U31:U32"/>
    <mergeCell ref="V31:V32"/>
    <mergeCell ref="W31:W32"/>
    <mergeCell ref="D33:D34"/>
    <mergeCell ref="T33:T34"/>
    <mergeCell ref="U33:U34"/>
    <mergeCell ref="A27:A30"/>
    <mergeCell ref="D27:D28"/>
    <mergeCell ref="T27:T28"/>
    <mergeCell ref="U27:U28"/>
    <mergeCell ref="V27:V28"/>
    <mergeCell ref="W27:W28"/>
    <mergeCell ref="D29:D30"/>
    <mergeCell ref="T29:T30"/>
    <mergeCell ref="U29:U30"/>
    <mergeCell ref="V29:V30"/>
    <mergeCell ref="V33:V34"/>
    <mergeCell ref="W33:W34"/>
    <mergeCell ref="A35:A38"/>
    <mergeCell ref="D35:D36"/>
    <mergeCell ref="T35:T36"/>
    <mergeCell ref="U35:U36"/>
    <mergeCell ref="V35:V36"/>
    <mergeCell ref="W35:W36"/>
    <mergeCell ref="D37:D38"/>
    <mergeCell ref="T37:T38"/>
    <mergeCell ref="U37:U38"/>
    <mergeCell ref="V37:V38"/>
    <mergeCell ref="W37:W38"/>
    <mergeCell ref="A39:A42"/>
    <mergeCell ref="D39:D40"/>
    <mergeCell ref="T39:T40"/>
    <mergeCell ref="U39:U40"/>
    <mergeCell ref="V39:V40"/>
    <mergeCell ref="W39:W40"/>
    <mergeCell ref="D41:D42"/>
    <mergeCell ref="A47:A50"/>
    <mergeCell ref="D47:D48"/>
    <mergeCell ref="T47:T48"/>
    <mergeCell ref="U47:U48"/>
    <mergeCell ref="V47:V48"/>
    <mergeCell ref="T41:T42"/>
    <mergeCell ref="U41:U42"/>
    <mergeCell ref="V41:V42"/>
    <mergeCell ref="W41:W42"/>
    <mergeCell ref="A43:A46"/>
    <mergeCell ref="D43:D44"/>
    <mergeCell ref="T43:T44"/>
    <mergeCell ref="U43:U44"/>
    <mergeCell ref="V43:V44"/>
    <mergeCell ref="W43:W44"/>
    <mergeCell ref="W47:W48"/>
    <mergeCell ref="D49:D50"/>
    <mergeCell ref="T49:T50"/>
    <mergeCell ref="U49:U50"/>
    <mergeCell ref="V49:V50"/>
    <mergeCell ref="W49:W50"/>
    <mergeCell ref="D45:D46"/>
    <mergeCell ref="T45:T46"/>
    <mergeCell ref="U45:U46"/>
    <mergeCell ref="V45:V46"/>
    <mergeCell ref="W45:W46"/>
    <mergeCell ref="W53:W54"/>
    <mergeCell ref="A55:A58"/>
    <mergeCell ref="D55:D56"/>
    <mergeCell ref="T55:T56"/>
    <mergeCell ref="U55:U56"/>
    <mergeCell ref="V55:V56"/>
    <mergeCell ref="W55:W56"/>
    <mergeCell ref="D57:D58"/>
    <mergeCell ref="T57:T58"/>
    <mergeCell ref="U57:U58"/>
    <mergeCell ref="A51:A54"/>
    <mergeCell ref="D51:D52"/>
    <mergeCell ref="T51:T52"/>
    <mergeCell ref="U51:U52"/>
    <mergeCell ref="V51:V52"/>
    <mergeCell ref="W51:W52"/>
    <mergeCell ref="D53:D54"/>
    <mergeCell ref="T53:T54"/>
    <mergeCell ref="U53:U54"/>
    <mergeCell ref="V53:V54"/>
    <mergeCell ref="V57:V58"/>
    <mergeCell ref="W57:W58"/>
    <mergeCell ref="A59:A62"/>
    <mergeCell ref="D59:D60"/>
    <mergeCell ref="T59:T60"/>
    <mergeCell ref="U59:U60"/>
    <mergeCell ref="V59:V60"/>
    <mergeCell ref="W59:W60"/>
    <mergeCell ref="D61:D62"/>
    <mergeCell ref="T61:T62"/>
    <mergeCell ref="U61:U62"/>
    <mergeCell ref="V61:V62"/>
    <mergeCell ref="W61:W62"/>
    <mergeCell ref="A63:A66"/>
    <mergeCell ref="D63:D64"/>
    <mergeCell ref="T63:T64"/>
    <mergeCell ref="U63:U64"/>
    <mergeCell ref="V63:V64"/>
    <mergeCell ref="W63:W64"/>
    <mergeCell ref="D65:D66"/>
    <mergeCell ref="A71:A74"/>
    <mergeCell ref="D71:D72"/>
    <mergeCell ref="T71:T72"/>
    <mergeCell ref="U71:U72"/>
    <mergeCell ref="V71:V72"/>
    <mergeCell ref="T65:T66"/>
    <mergeCell ref="U65:U66"/>
    <mergeCell ref="V65:V66"/>
    <mergeCell ref="W65:W66"/>
    <mergeCell ref="A67:A70"/>
    <mergeCell ref="D67:D68"/>
    <mergeCell ref="T67:T68"/>
    <mergeCell ref="U67:U68"/>
    <mergeCell ref="V67:V68"/>
    <mergeCell ref="W67:W68"/>
    <mergeCell ref="W71:W72"/>
    <mergeCell ref="D73:D74"/>
    <mergeCell ref="T73:T74"/>
    <mergeCell ref="U73:U74"/>
    <mergeCell ref="V73:V74"/>
    <mergeCell ref="W73:W74"/>
    <mergeCell ref="D69:D70"/>
    <mergeCell ref="T69:T70"/>
    <mergeCell ref="U69:U70"/>
    <mergeCell ref="V69:V70"/>
    <mergeCell ref="W69:W70"/>
    <mergeCell ref="W77:W78"/>
    <mergeCell ref="A79:A82"/>
    <mergeCell ref="D79:D80"/>
    <mergeCell ref="T79:T80"/>
    <mergeCell ref="U79:U80"/>
    <mergeCell ref="V79:V80"/>
    <mergeCell ref="W79:W80"/>
    <mergeCell ref="D81:D82"/>
    <mergeCell ref="T81:T82"/>
    <mergeCell ref="U81:U82"/>
    <mergeCell ref="A75:A78"/>
    <mergeCell ref="D75:D76"/>
    <mergeCell ref="T75:T76"/>
    <mergeCell ref="U75:U76"/>
    <mergeCell ref="V75:V76"/>
    <mergeCell ref="W75:W76"/>
    <mergeCell ref="D77:D78"/>
    <mergeCell ref="T77:T78"/>
    <mergeCell ref="U77:U78"/>
    <mergeCell ref="V77:V78"/>
    <mergeCell ref="V81:V82"/>
    <mergeCell ref="W81:W82"/>
    <mergeCell ref="A83:A86"/>
    <mergeCell ref="D83:D84"/>
    <mergeCell ref="T83:T84"/>
    <mergeCell ref="U83:U84"/>
    <mergeCell ref="V83:V84"/>
    <mergeCell ref="W83:W84"/>
    <mergeCell ref="D85:D86"/>
    <mergeCell ref="T85:T86"/>
    <mergeCell ref="U85:U86"/>
    <mergeCell ref="V85:V86"/>
    <mergeCell ref="W85:W86"/>
    <mergeCell ref="A87:A90"/>
    <mergeCell ref="D87:D88"/>
    <mergeCell ref="T87:T88"/>
    <mergeCell ref="U87:U88"/>
    <mergeCell ref="V87:V88"/>
    <mergeCell ref="W87:W88"/>
    <mergeCell ref="D89:D90"/>
    <mergeCell ref="A95:A98"/>
    <mergeCell ref="D95:D96"/>
    <mergeCell ref="T95:T96"/>
    <mergeCell ref="U95:U96"/>
    <mergeCell ref="V95:V96"/>
    <mergeCell ref="T89:T90"/>
    <mergeCell ref="U89:U90"/>
    <mergeCell ref="V89:V90"/>
    <mergeCell ref="W89:W90"/>
    <mergeCell ref="A91:A94"/>
    <mergeCell ref="D91:D92"/>
    <mergeCell ref="T91:T92"/>
    <mergeCell ref="U91:U92"/>
    <mergeCell ref="V91:V92"/>
    <mergeCell ref="W91:W92"/>
    <mergeCell ref="W95:W96"/>
    <mergeCell ref="D97:D98"/>
    <mergeCell ref="T97:T98"/>
    <mergeCell ref="U97:U98"/>
    <mergeCell ref="V97:V98"/>
    <mergeCell ref="W97:W98"/>
    <mergeCell ref="D93:D94"/>
    <mergeCell ref="T93:T94"/>
    <mergeCell ref="U93:U94"/>
    <mergeCell ref="V93:V94"/>
    <mergeCell ref="W93:W94"/>
    <mergeCell ref="V105:V106"/>
    <mergeCell ref="W105:W106"/>
    <mergeCell ref="W101:W102"/>
    <mergeCell ref="A103:A106"/>
    <mergeCell ref="D103:D104"/>
    <mergeCell ref="T103:T104"/>
    <mergeCell ref="U103:U104"/>
    <mergeCell ref="V103:V104"/>
    <mergeCell ref="W103:W104"/>
    <mergeCell ref="D105:D106"/>
    <mergeCell ref="T105:T106"/>
    <mergeCell ref="U105:U106"/>
    <mergeCell ref="A99:A102"/>
    <mergeCell ref="D99:D100"/>
    <mergeCell ref="T99:T100"/>
    <mergeCell ref="U99:U100"/>
    <mergeCell ref="V99:V100"/>
    <mergeCell ref="W99:W100"/>
    <mergeCell ref="D101:D102"/>
    <mergeCell ref="T101:T102"/>
    <mergeCell ref="U101:U102"/>
    <mergeCell ref="V101:V102"/>
  </mergeCells>
  <conditionalFormatting sqref="T3:W106">
    <cfRule type="colorScale" priority="1">
      <colorScale>
        <cfvo type="num" val="-1"/>
        <cfvo type="num" val="0"/>
        <cfvo type="num" val="1"/>
        <color rgb="FF92D050"/>
        <color rgb="FFFFC000"/>
        <color rgb="FFFF0000"/>
      </colorScale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90636-4135-4828-9C3F-0979540A8F2C}">
  <dimension ref="A1:W107"/>
  <sheetViews>
    <sheetView topLeftCell="A43" workbookViewId="0">
      <selection activeCell="H3" sqref="H3:P106"/>
    </sheetView>
  </sheetViews>
  <sheetFormatPr baseColWidth="10" defaultRowHeight="15" x14ac:dyDescent="0.25"/>
  <cols>
    <col min="2" max="2" width="12" bestFit="1" customWidth="1"/>
    <col min="7" max="7" width="18.85546875" bestFit="1" customWidth="1"/>
    <col min="19" max="19" width="9.5703125" bestFit="1" customWidth="1"/>
  </cols>
  <sheetData>
    <row r="1" spans="1:23" x14ac:dyDescent="0.25">
      <c r="A1" s="88" t="s">
        <v>97</v>
      </c>
      <c r="B1" s="111" t="s">
        <v>165</v>
      </c>
      <c r="C1" s="111" t="s">
        <v>166</v>
      </c>
      <c r="D1" s="88" t="s">
        <v>98</v>
      </c>
      <c r="E1" s="120" t="s">
        <v>117</v>
      </c>
      <c r="F1" s="88" t="s">
        <v>100</v>
      </c>
      <c r="G1" s="88" t="s">
        <v>167</v>
      </c>
      <c r="H1" s="88" t="s">
        <v>101</v>
      </c>
      <c r="I1" s="88"/>
      <c r="J1" s="88"/>
      <c r="K1" s="88" t="s">
        <v>102</v>
      </c>
      <c r="L1" s="88"/>
      <c r="M1" s="88"/>
      <c r="N1" s="88" t="s">
        <v>103</v>
      </c>
      <c r="O1" s="88"/>
      <c r="P1" s="88"/>
      <c r="Q1" s="99" t="s">
        <v>168</v>
      </c>
      <c r="R1" s="99"/>
      <c r="S1" s="99"/>
      <c r="T1" s="88" t="s">
        <v>104</v>
      </c>
      <c r="U1" s="88"/>
      <c r="V1" s="88"/>
      <c r="W1" s="88"/>
    </row>
    <row r="2" spans="1:23" x14ac:dyDescent="0.25">
      <c r="A2" s="88"/>
      <c r="B2" s="112"/>
      <c r="C2" s="116"/>
      <c r="D2" s="88"/>
      <c r="E2" s="121"/>
      <c r="F2" s="88"/>
      <c r="G2" s="88"/>
      <c r="H2" s="15" t="s">
        <v>105</v>
      </c>
      <c r="I2" s="15" t="s">
        <v>106</v>
      </c>
      <c r="J2" s="15" t="s">
        <v>107</v>
      </c>
      <c r="K2" s="15" t="s">
        <v>108</v>
      </c>
      <c r="L2" s="15" t="s">
        <v>109</v>
      </c>
      <c r="M2" s="15" t="s">
        <v>110</v>
      </c>
      <c r="N2" s="15" t="s">
        <v>108</v>
      </c>
      <c r="O2" s="15" t="s">
        <v>109</v>
      </c>
      <c r="P2" s="15" t="s">
        <v>110</v>
      </c>
      <c r="Q2" s="29" t="s">
        <v>108</v>
      </c>
      <c r="R2" s="29" t="s">
        <v>109</v>
      </c>
      <c r="S2" s="29" t="s">
        <v>110</v>
      </c>
      <c r="T2" s="15" t="s">
        <v>100</v>
      </c>
      <c r="U2" s="15" t="s">
        <v>108</v>
      </c>
      <c r="V2" s="15" t="s">
        <v>109</v>
      </c>
      <c r="W2" s="15" t="s">
        <v>110</v>
      </c>
    </row>
    <row r="3" spans="1:23" x14ac:dyDescent="0.25">
      <c r="A3" s="122" t="s">
        <v>150</v>
      </c>
      <c r="B3" s="34">
        <v>10000000000</v>
      </c>
      <c r="C3" s="35">
        <f>100000000/B3</f>
        <v>0.01</v>
      </c>
      <c r="D3" s="92" t="s">
        <v>111</v>
      </c>
      <c r="E3" s="6" t="s">
        <v>169</v>
      </c>
      <c r="F3">
        <v>41.823</v>
      </c>
      <c r="G3" s="30">
        <f>F3*C3</f>
        <v>0.41822999999999999</v>
      </c>
      <c r="H3" s="32">
        <v>3.47</v>
      </c>
      <c r="I3" s="32">
        <v>21.53</v>
      </c>
      <c r="J3" s="32">
        <v>144.66999999999999</v>
      </c>
      <c r="K3" s="31">
        <v>145.12581</v>
      </c>
      <c r="L3" s="32">
        <v>900.44919000000004</v>
      </c>
      <c r="M3" s="32">
        <v>6050.5334099999991</v>
      </c>
      <c r="N3" s="31">
        <v>127.56014999999999</v>
      </c>
      <c r="O3" s="32">
        <v>876.19184999999993</v>
      </c>
      <c r="P3" s="32">
        <v>2001.64878</v>
      </c>
      <c r="Q3" s="31">
        <f>N3*C3</f>
        <v>1.2756015000000001</v>
      </c>
      <c r="R3" s="32">
        <f>O3*C3</f>
        <v>8.7619185000000002</v>
      </c>
      <c r="S3" s="33">
        <f>P3*C3</f>
        <v>20.0164878</v>
      </c>
      <c r="T3" s="117">
        <f>(G3-G4)/G4</f>
        <v>-0.9955912210240031</v>
      </c>
      <c r="U3" s="118">
        <f>(Q3-Q4)/Q4</f>
        <v>-0.99554742520636075</v>
      </c>
      <c r="V3" s="118">
        <f>(R3-R4)/R4</f>
        <v>-0.99585997671236504</v>
      </c>
      <c r="W3" s="119">
        <f>(S3-S4)/S4</f>
        <v>-0.99617260725936496</v>
      </c>
    </row>
    <row r="4" spans="1:23" x14ac:dyDescent="0.25">
      <c r="A4" s="122"/>
      <c r="B4" s="34">
        <v>100000000</v>
      </c>
      <c r="C4" s="35">
        <f t="shared" ref="C4:C67" si="0">100000000/B4</f>
        <v>1</v>
      </c>
      <c r="D4" s="92"/>
      <c r="E4" s="6" t="s">
        <v>170</v>
      </c>
      <c r="F4">
        <v>94.863</v>
      </c>
      <c r="G4" s="30">
        <f t="shared" ref="G4:G67" si="1">F4*C4</f>
        <v>94.863</v>
      </c>
      <c r="H4" s="16">
        <v>3.44</v>
      </c>
      <c r="I4" s="16">
        <v>22.89</v>
      </c>
      <c r="J4" s="16">
        <v>152.68</v>
      </c>
      <c r="K4" s="17">
        <v>326.32871999999998</v>
      </c>
      <c r="L4" s="16">
        <v>2171.4140699999998</v>
      </c>
      <c r="M4" s="16">
        <v>14483.682839999999</v>
      </c>
      <c r="N4" s="17">
        <v>286.48626000000002</v>
      </c>
      <c r="O4" s="16">
        <v>2116.3935299999998</v>
      </c>
      <c r="P4" s="16">
        <v>5229.7971900000002</v>
      </c>
      <c r="Q4" s="31">
        <f t="shared" ref="Q4:Q67" si="2">N4*C4</f>
        <v>286.48626000000002</v>
      </c>
      <c r="R4" s="32">
        <f t="shared" ref="R4:R67" si="3">O4*C4</f>
        <v>2116.3935299999998</v>
      </c>
      <c r="S4" s="33">
        <f t="shared" ref="S4:S67" si="4">P4*C4</f>
        <v>5229.7971900000002</v>
      </c>
      <c r="T4" s="93"/>
      <c r="U4" s="94"/>
      <c r="V4" s="94"/>
      <c r="W4" s="95"/>
    </row>
    <row r="5" spans="1:23" x14ac:dyDescent="0.25">
      <c r="A5" s="122"/>
      <c r="B5" s="34">
        <v>10000000000</v>
      </c>
      <c r="C5" s="35">
        <f t="shared" si="0"/>
        <v>0.01</v>
      </c>
      <c r="D5" s="92" t="s">
        <v>114</v>
      </c>
      <c r="E5" s="6" t="s">
        <v>169</v>
      </c>
      <c r="F5">
        <v>42.03</v>
      </c>
      <c r="G5" s="30">
        <f t="shared" si="1"/>
        <v>0.42030000000000001</v>
      </c>
      <c r="H5" s="16">
        <v>3.46</v>
      </c>
      <c r="I5" s="16">
        <v>21.34</v>
      </c>
      <c r="J5" s="16">
        <v>143.31</v>
      </c>
      <c r="K5" s="17">
        <v>145.4238</v>
      </c>
      <c r="L5" s="16">
        <v>896.92020000000002</v>
      </c>
      <c r="M5" s="16">
        <v>6023.3193000000001</v>
      </c>
      <c r="N5" s="17">
        <v>127.77119999999999</v>
      </c>
      <c r="O5" s="16">
        <v>872.54280000000006</v>
      </c>
      <c r="P5" s="16">
        <v>1954.395</v>
      </c>
      <c r="Q5" s="31">
        <f t="shared" si="2"/>
        <v>1.277712</v>
      </c>
      <c r="R5" s="32">
        <f t="shared" si="3"/>
        <v>8.7254280000000008</v>
      </c>
      <c r="S5" s="33">
        <f t="shared" si="4"/>
        <v>19.543949999999999</v>
      </c>
      <c r="T5" s="117">
        <f>(G5-G6)/G6</f>
        <v>-0.97849357826331673</v>
      </c>
      <c r="U5" s="118">
        <f>(Q5-Q6)/Q6</f>
        <v>-0.9784225999737568</v>
      </c>
      <c r="V5" s="118">
        <f>(R5-R6)/R6</f>
        <v>-0.98216959603620024</v>
      </c>
      <c r="W5" s="119">
        <f>(S5-S6)/S6</f>
        <v>-0.9834784633940894</v>
      </c>
    </row>
    <row r="6" spans="1:23" x14ac:dyDescent="0.25">
      <c r="A6" s="122"/>
      <c r="B6" s="34">
        <v>100000000</v>
      </c>
      <c r="C6" s="35">
        <f t="shared" si="0"/>
        <v>1</v>
      </c>
      <c r="D6" s="92"/>
      <c r="E6" s="6" t="s">
        <v>170</v>
      </c>
      <c r="F6">
        <v>19.542999999999999</v>
      </c>
      <c r="G6" s="30">
        <f t="shared" si="1"/>
        <v>19.542999999999999</v>
      </c>
      <c r="H6" s="16">
        <v>3.45</v>
      </c>
      <c r="I6" s="16">
        <v>25.62</v>
      </c>
      <c r="J6" s="16">
        <v>158.08000000000001</v>
      </c>
      <c r="K6" s="17">
        <v>67.423349999999999</v>
      </c>
      <c r="L6" s="16">
        <v>500.69166000000001</v>
      </c>
      <c r="M6" s="16">
        <v>3089.3574400000002</v>
      </c>
      <c r="N6" s="17">
        <v>59.215290000000003</v>
      </c>
      <c r="O6" s="16">
        <v>489.35671999999988</v>
      </c>
      <c r="P6" s="16">
        <v>1182.9377899999999</v>
      </c>
      <c r="Q6" s="31">
        <f t="shared" si="2"/>
        <v>59.215290000000003</v>
      </c>
      <c r="R6" s="32">
        <f t="shared" si="3"/>
        <v>489.35671999999988</v>
      </c>
      <c r="S6" s="33">
        <f t="shared" si="4"/>
        <v>1182.9377899999999</v>
      </c>
      <c r="T6" s="93"/>
      <c r="U6" s="94"/>
      <c r="V6" s="94"/>
      <c r="W6" s="95"/>
    </row>
    <row r="7" spans="1:23" x14ac:dyDescent="0.25">
      <c r="A7" s="122" t="s">
        <v>151</v>
      </c>
      <c r="B7" s="34">
        <v>100000000</v>
      </c>
      <c r="C7" s="35">
        <f t="shared" si="0"/>
        <v>1</v>
      </c>
      <c r="D7" s="92" t="s">
        <v>111</v>
      </c>
      <c r="E7" s="6" t="s">
        <v>169</v>
      </c>
      <c r="F7">
        <v>133.154</v>
      </c>
      <c r="G7" s="30">
        <f t="shared" si="1"/>
        <v>133.154</v>
      </c>
      <c r="H7" s="16">
        <v>3.45</v>
      </c>
      <c r="I7" s="16">
        <v>26.05</v>
      </c>
      <c r="J7" s="16">
        <v>159.63</v>
      </c>
      <c r="K7" s="17">
        <v>459.38130000000001</v>
      </c>
      <c r="L7" s="16">
        <v>3468.6617000000001</v>
      </c>
      <c r="M7" s="16">
        <v>21255.373019999999</v>
      </c>
      <c r="N7" s="17">
        <v>403.45661999999999</v>
      </c>
      <c r="O7" s="16">
        <v>3391.4323800000002</v>
      </c>
      <c r="P7" s="16">
        <v>7886.7114199999996</v>
      </c>
      <c r="Q7" s="31">
        <f t="shared" si="2"/>
        <v>403.45661999999999</v>
      </c>
      <c r="R7" s="32">
        <f t="shared" si="3"/>
        <v>3391.4323800000002</v>
      </c>
      <c r="S7" s="33">
        <f t="shared" si="4"/>
        <v>7886.7114199999996</v>
      </c>
      <c r="T7" s="117">
        <f>(G7-G8)/G8</f>
        <v>-0.95010062021023445</v>
      </c>
      <c r="U7" s="118">
        <f>(Q7-Q8)/Q8</f>
        <v>-0.95075077499576877</v>
      </c>
      <c r="V7" s="118">
        <f>(R7-R8)/R8</f>
        <v>-0.95285841234253232</v>
      </c>
      <c r="W7" s="119">
        <f>(S7-S8)/S8</f>
        <v>-0.9522298324721542</v>
      </c>
    </row>
    <row r="8" spans="1:23" x14ac:dyDescent="0.25">
      <c r="A8" s="122"/>
      <c r="B8" s="34">
        <v>10000000</v>
      </c>
      <c r="C8" s="35">
        <f t="shared" si="0"/>
        <v>10</v>
      </c>
      <c r="D8" s="92"/>
      <c r="E8" s="6" t="s">
        <v>170</v>
      </c>
      <c r="F8">
        <v>266.84500000000003</v>
      </c>
      <c r="G8" s="30">
        <f t="shared" si="1"/>
        <v>2668.4500000000003</v>
      </c>
      <c r="H8" s="1">
        <v>3.49</v>
      </c>
      <c r="I8" s="16">
        <v>27.54</v>
      </c>
      <c r="J8" s="16">
        <v>164.82</v>
      </c>
      <c r="K8" s="17">
        <v>931.2890500000002</v>
      </c>
      <c r="L8" s="16">
        <v>7348.9113000000007</v>
      </c>
      <c r="M8" s="16">
        <v>43981.392900000013</v>
      </c>
      <c r="N8" s="17">
        <v>819.21415000000002</v>
      </c>
      <c r="O8" s="16">
        <v>7194.1412000000009</v>
      </c>
      <c r="P8" s="16">
        <v>16509.700150000001</v>
      </c>
      <c r="Q8" s="31">
        <f t="shared" si="2"/>
        <v>8192.1414999999997</v>
      </c>
      <c r="R8" s="32">
        <f t="shared" si="3"/>
        <v>71941.412000000011</v>
      </c>
      <c r="S8" s="33">
        <f t="shared" si="4"/>
        <v>165097.00150000001</v>
      </c>
      <c r="T8" s="93"/>
      <c r="U8" s="94"/>
      <c r="V8" s="94"/>
      <c r="W8" s="95"/>
    </row>
    <row r="9" spans="1:23" x14ac:dyDescent="0.25">
      <c r="A9" s="122"/>
      <c r="B9" s="34">
        <v>100000000</v>
      </c>
      <c r="C9" s="35">
        <f t="shared" si="0"/>
        <v>1</v>
      </c>
      <c r="D9" s="92" t="s">
        <v>114</v>
      </c>
      <c r="E9" s="6" t="s">
        <v>169</v>
      </c>
      <c r="F9">
        <v>41.545999999999999</v>
      </c>
      <c r="G9" s="30">
        <f t="shared" si="1"/>
        <v>41.545999999999999</v>
      </c>
      <c r="H9" s="16">
        <v>3.44</v>
      </c>
      <c r="I9" s="16">
        <v>25.17</v>
      </c>
      <c r="J9" s="18">
        <v>158.47999999999999</v>
      </c>
      <c r="K9" s="17">
        <v>142.91824</v>
      </c>
      <c r="L9" s="16">
        <v>1045.71282</v>
      </c>
      <c r="M9" s="16">
        <v>6584.2100799999998</v>
      </c>
      <c r="N9" s="17">
        <v>125.46892</v>
      </c>
      <c r="O9" s="16">
        <v>1021.61614</v>
      </c>
      <c r="P9" s="16">
        <v>2412.9916800000001</v>
      </c>
      <c r="Q9" s="31">
        <f t="shared" si="2"/>
        <v>125.46892</v>
      </c>
      <c r="R9" s="32">
        <f t="shared" si="3"/>
        <v>1021.61614</v>
      </c>
      <c r="S9" s="33">
        <f t="shared" si="4"/>
        <v>2412.9916800000001</v>
      </c>
      <c r="T9" s="117">
        <f>(G9-G10)/G10</f>
        <v>-0.98328122044756727</v>
      </c>
      <c r="U9" s="118">
        <f>(Q9-Q10)/Q10</f>
        <v>-0.98349976658550742</v>
      </c>
      <c r="V9" s="118">
        <f>(R9-R10)/R10</f>
        <v>-0.98488548569138523</v>
      </c>
      <c r="W9" s="119">
        <f>(S9-S10)/S10</f>
        <v>-0.98421864592222819</v>
      </c>
    </row>
    <row r="10" spans="1:23" x14ac:dyDescent="0.25">
      <c r="A10" s="122"/>
      <c r="B10" s="34">
        <v>10000000</v>
      </c>
      <c r="C10" s="35">
        <f t="shared" si="0"/>
        <v>10</v>
      </c>
      <c r="D10" s="92"/>
      <c r="E10" s="6" t="s">
        <v>170</v>
      </c>
      <c r="F10">
        <v>248.499</v>
      </c>
      <c r="G10" s="30">
        <f t="shared" si="1"/>
        <v>2484.9899999999998</v>
      </c>
      <c r="H10" s="16">
        <v>3.48</v>
      </c>
      <c r="I10" s="16">
        <v>27.78</v>
      </c>
      <c r="J10" s="18">
        <v>164.48</v>
      </c>
      <c r="K10" s="17">
        <v>864.77652</v>
      </c>
      <c r="L10" s="16">
        <v>6903.3022199999996</v>
      </c>
      <c r="M10" s="16">
        <v>40873.115519999999</v>
      </c>
      <c r="N10" s="17">
        <v>760.40693999999996</v>
      </c>
      <c r="O10" s="16">
        <v>6759.1727999999994</v>
      </c>
      <c r="P10" s="16">
        <v>15290.143470000001</v>
      </c>
      <c r="Q10" s="31">
        <f t="shared" si="2"/>
        <v>7604.0693999999994</v>
      </c>
      <c r="R10" s="32">
        <f t="shared" si="3"/>
        <v>67591.727999999988</v>
      </c>
      <c r="S10" s="33">
        <f t="shared" si="4"/>
        <v>152901.43470000001</v>
      </c>
      <c r="T10" s="93"/>
      <c r="U10" s="94"/>
      <c r="V10" s="94"/>
      <c r="W10" s="95"/>
    </row>
    <row r="11" spans="1:23" x14ac:dyDescent="0.25">
      <c r="A11" s="122" t="s">
        <v>152</v>
      </c>
      <c r="B11" s="34">
        <v>10000000000</v>
      </c>
      <c r="C11" s="35">
        <f t="shared" si="0"/>
        <v>0.01</v>
      </c>
      <c r="D11" s="92" t="s">
        <v>111</v>
      </c>
      <c r="E11" s="6" t="s">
        <v>169</v>
      </c>
      <c r="F11">
        <v>2.0939999999999999</v>
      </c>
      <c r="G11" s="30">
        <f t="shared" si="1"/>
        <v>2.094E-2</v>
      </c>
      <c r="H11" s="16">
        <v>3.49</v>
      </c>
      <c r="I11" s="16">
        <v>21.66</v>
      </c>
      <c r="J11" s="16">
        <v>156.4</v>
      </c>
      <c r="K11" s="17">
        <v>7.3080600000000002</v>
      </c>
      <c r="L11" s="16">
        <v>45.35604</v>
      </c>
      <c r="M11" s="16">
        <v>327.5016</v>
      </c>
      <c r="N11" s="17">
        <v>6.4285799999999993</v>
      </c>
      <c r="O11" s="16">
        <v>44.141519999999993</v>
      </c>
      <c r="P11" s="16">
        <v>109.13928</v>
      </c>
      <c r="Q11" s="31">
        <f t="shared" si="2"/>
        <v>6.428579999999999E-2</v>
      </c>
      <c r="R11" s="32">
        <f t="shared" si="3"/>
        <v>0.44141519999999995</v>
      </c>
      <c r="S11" s="33">
        <f t="shared" si="4"/>
        <v>1.0913927999999999</v>
      </c>
      <c r="T11" s="117">
        <f>(G11-G12)/G12</f>
        <v>-0.99560545645330523</v>
      </c>
      <c r="U11" s="118">
        <f>(Q11-Q12)/Q12</f>
        <v>-0.99561972445183355</v>
      </c>
      <c r="V11" s="118">
        <f>(R11-R12)/R12</f>
        <v>-0.99563650598378139</v>
      </c>
      <c r="W11" s="119">
        <f>(S11-S12)/S12</f>
        <v>-0.99587606032312348</v>
      </c>
    </row>
    <row r="12" spans="1:23" x14ac:dyDescent="0.25">
      <c r="A12" s="122"/>
      <c r="B12" s="34">
        <v>100000000</v>
      </c>
      <c r="C12" s="35">
        <f t="shared" si="0"/>
        <v>1</v>
      </c>
      <c r="D12" s="92"/>
      <c r="E12" s="6" t="s">
        <v>170</v>
      </c>
      <c r="F12">
        <v>4.7649999999999997</v>
      </c>
      <c r="G12" s="30">
        <f t="shared" si="1"/>
        <v>4.7649999999999997</v>
      </c>
      <c r="H12" s="16">
        <v>3.5</v>
      </c>
      <c r="I12" s="16">
        <v>21.81</v>
      </c>
      <c r="J12" s="16">
        <v>149.84</v>
      </c>
      <c r="K12" s="17">
        <v>16.677499999999998</v>
      </c>
      <c r="L12" s="16">
        <v>103.92465</v>
      </c>
      <c r="M12" s="16">
        <v>713.98759999999993</v>
      </c>
      <c r="N12" s="17">
        <v>14.6762</v>
      </c>
      <c r="O12" s="16">
        <v>101.16095</v>
      </c>
      <c r="P12" s="16">
        <v>264.6481</v>
      </c>
      <c r="Q12" s="31">
        <f t="shared" si="2"/>
        <v>14.6762</v>
      </c>
      <c r="R12" s="32">
        <f t="shared" si="3"/>
        <v>101.16095</v>
      </c>
      <c r="S12" s="33">
        <f t="shared" si="4"/>
        <v>264.6481</v>
      </c>
      <c r="T12" s="93"/>
      <c r="U12" s="94"/>
      <c r="V12" s="94"/>
      <c r="W12" s="95"/>
    </row>
    <row r="13" spans="1:23" x14ac:dyDescent="0.25">
      <c r="A13" s="122"/>
      <c r="B13" s="34">
        <v>10000000000</v>
      </c>
      <c r="C13" s="35">
        <f t="shared" si="0"/>
        <v>0.01</v>
      </c>
      <c r="D13" s="92" t="s">
        <v>114</v>
      </c>
      <c r="E13" s="6" t="s">
        <v>169</v>
      </c>
      <c r="F13">
        <v>2.0939999999999999</v>
      </c>
      <c r="G13" s="30">
        <f t="shared" si="1"/>
        <v>2.094E-2</v>
      </c>
      <c r="H13" s="16">
        <v>3.52</v>
      </c>
      <c r="I13" s="16">
        <v>21.74</v>
      </c>
      <c r="J13" s="16">
        <v>156.02000000000001</v>
      </c>
      <c r="K13" s="17">
        <v>7.3708799999999997</v>
      </c>
      <c r="L13" s="16">
        <v>45.523560000000003</v>
      </c>
      <c r="M13" s="16">
        <v>326.70587999999998</v>
      </c>
      <c r="N13" s="17">
        <v>6.4913999999999996</v>
      </c>
      <c r="O13" s="16">
        <v>44.309040000000003</v>
      </c>
      <c r="P13" s="16">
        <v>108.34356</v>
      </c>
      <c r="Q13" s="31">
        <f t="shared" si="2"/>
        <v>6.4913999999999999E-2</v>
      </c>
      <c r="R13" s="32">
        <f t="shared" si="3"/>
        <v>0.44309040000000005</v>
      </c>
      <c r="S13" s="33">
        <f t="shared" si="4"/>
        <v>1.0834356000000001</v>
      </c>
      <c r="T13" s="117">
        <f>(G13-G14)/G14</f>
        <v>-0.99560545645330523</v>
      </c>
      <c r="U13" s="118">
        <f>(Q13-Q14)/Q14</f>
        <v>-0.99556251303102494</v>
      </c>
      <c r="V13" s="118">
        <f>(R13-R14)/R14</f>
        <v>-0.99545065844187575</v>
      </c>
      <c r="W13" s="119">
        <f>(S13-S14)/S14</f>
        <v>-0.99578391093814234</v>
      </c>
    </row>
    <row r="14" spans="1:23" x14ac:dyDescent="0.25">
      <c r="A14" s="122"/>
      <c r="B14" s="34">
        <v>100000000</v>
      </c>
      <c r="C14" s="35">
        <f t="shared" si="0"/>
        <v>1</v>
      </c>
      <c r="D14" s="92"/>
      <c r="E14" s="6" t="s">
        <v>170</v>
      </c>
      <c r="F14">
        <v>4.7649999999999997</v>
      </c>
      <c r="G14" s="30">
        <f t="shared" si="1"/>
        <v>4.7649999999999997</v>
      </c>
      <c r="H14" s="16">
        <v>3.49</v>
      </c>
      <c r="I14" s="16">
        <v>21.02</v>
      </c>
      <c r="J14" s="16">
        <v>148.22</v>
      </c>
      <c r="K14" s="17">
        <v>16.629850000000001</v>
      </c>
      <c r="L14" s="16">
        <v>100.16030000000001</v>
      </c>
      <c r="M14" s="16">
        <v>706.26829999999995</v>
      </c>
      <c r="N14" s="17">
        <v>14.628550000000001</v>
      </c>
      <c r="O14" s="16">
        <v>97.396600000000007</v>
      </c>
      <c r="P14" s="16">
        <v>256.97645</v>
      </c>
      <c r="Q14" s="31">
        <f t="shared" si="2"/>
        <v>14.628550000000001</v>
      </c>
      <c r="R14" s="32">
        <f t="shared" si="3"/>
        <v>97.396600000000007</v>
      </c>
      <c r="S14" s="33">
        <f t="shared" si="4"/>
        <v>256.97645</v>
      </c>
      <c r="T14" s="93"/>
      <c r="U14" s="94"/>
      <c r="V14" s="94"/>
      <c r="W14" s="95"/>
    </row>
    <row r="15" spans="1:23" x14ac:dyDescent="0.25">
      <c r="A15" s="122" t="s">
        <v>154</v>
      </c>
      <c r="B15" s="34">
        <v>10000000000</v>
      </c>
      <c r="C15" s="35">
        <f t="shared" si="0"/>
        <v>0.01</v>
      </c>
      <c r="D15" s="92" t="s">
        <v>111</v>
      </c>
      <c r="E15" s="6" t="s">
        <v>169</v>
      </c>
      <c r="F15">
        <v>241.971</v>
      </c>
      <c r="G15" s="30">
        <f t="shared" si="1"/>
        <v>2.4197100000000002</v>
      </c>
      <c r="H15" s="16">
        <v>3.44</v>
      </c>
      <c r="I15" s="16">
        <v>27.17</v>
      </c>
      <c r="J15" s="16">
        <v>157.63</v>
      </c>
      <c r="K15" s="17">
        <v>832.38023999999996</v>
      </c>
      <c r="L15" s="16">
        <v>6574.3520700000008</v>
      </c>
      <c r="M15" s="16">
        <v>38141.888729999999</v>
      </c>
      <c r="N15" s="17">
        <v>810.60284999999999</v>
      </c>
      <c r="O15" s="16">
        <v>6434.0088900000001</v>
      </c>
      <c r="P15" s="16">
        <v>14755.39158</v>
      </c>
      <c r="Q15" s="31">
        <f t="shared" si="2"/>
        <v>8.1060285000000007</v>
      </c>
      <c r="R15" s="32">
        <f t="shared" si="3"/>
        <v>64.340088899999998</v>
      </c>
      <c r="S15" s="33">
        <f t="shared" si="4"/>
        <v>147.5539158</v>
      </c>
      <c r="T15" s="117">
        <f>(G15-G16)/G16</f>
        <v>-0.98620619085623074</v>
      </c>
      <c r="U15" s="118">
        <f>(Q15-Q16)/Q16</f>
        <v>-0.98469892032065331</v>
      </c>
      <c r="V15" s="118">
        <f>(R15-R16)/R16</f>
        <v>-0.98420424697963727</v>
      </c>
      <c r="W15" s="119">
        <f>(S15-S16)/S16</f>
        <v>-0.98450927289894952</v>
      </c>
    </row>
    <row r="16" spans="1:23" x14ac:dyDescent="0.25">
      <c r="A16" s="122"/>
      <c r="B16" s="34">
        <v>10000000</v>
      </c>
      <c r="C16" s="35">
        <f t="shared" si="0"/>
        <v>10</v>
      </c>
      <c r="D16" s="92"/>
      <c r="E16" s="6" t="s">
        <v>170</v>
      </c>
      <c r="F16">
        <v>17.542000000000002</v>
      </c>
      <c r="G16" s="30">
        <f t="shared" si="1"/>
        <v>175.42000000000002</v>
      </c>
      <c r="H16" s="16">
        <v>3.44</v>
      </c>
      <c r="I16" s="16">
        <v>23.8</v>
      </c>
      <c r="J16" s="16">
        <v>150.16999999999999</v>
      </c>
      <c r="K16" s="17">
        <v>60.344479999999997</v>
      </c>
      <c r="L16" s="16">
        <v>417.49959999999999</v>
      </c>
      <c r="M16" s="16">
        <v>2634.2821399999998</v>
      </c>
      <c r="N16" s="17">
        <v>52.976840000000003</v>
      </c>
      <c r="O16" s="16">
        <v>407.32524000000001</v>
      </c>
      <c r="P16" s="16">
        <v>952.53060000000005</v>
      </c>
      <c r="Q16" s="31">
        <f t="shared" si="2"/>
        <v>529.76840000000004</v>
      </c>
      <c r="R16" s="32">
        <f t="shared" si="3"/>
        <v>4073.2524000000003</v>
      </c>
      <c r="S16" s="33">
        <f t="shared" si="4"/>
        <v>9525.3060000000005</v>
      </c>
      <c r="T16" s="93"/>
      <c r="U16" s="94"/>
      <c r="V16" s="94"/>
      <c r="W16" s="95"/>
    </row>
    <row r="17" spans="1:23" x14ac:dyDescent="0.25">
      <c r="A17" s="122"/>
      <c r="B17" s="34">
        <v>10000000000</v>
      </c>
      <c r="C17" s="35">
        <f t="shared" si="0"/>
        <v>0.01</v>
      </c>
      <c r="D17" s="92" t="s">
        <v>114</v>
      </c>
      <c r="E17" s="6" t="s">
        <v>169</v>
      </c>
      <c r="F17">
        <v>20.864999999999998</v>
      </c>
      <c r="G17" s="30">
        <f t="shared" si="1"/>
        <v>0.20865</v>
      </c>
      <c r="H17" s="16">
        <v>3.45</v>
      </c>
      <c r="I17" s="16">
        <v>24.93</v>
      </c>
      <c r="J17" s="16">
        <v>151.58000000000001</v>
      </c>
      <c r="K17" s="17">
        <v>71.984250000000003</v>
      </c>
      <c r="L17" s="16">
        <v>520.16444999999999</v>
      </c>
      <c r="M17" s="16">
        <v>3162.7166999999999</v>
      </c>
      <c r="N17" s="17">
        <v>70.106399999999994</v>
      </c>
      <c r="O17" s="16">
        <v>508.06274999999999</v>
      </c>
      <c r="P17" s="16">
        <v>1146.11445</v>
      </c>
      <c r="Q17" s="31">
        <f t="shared" si="2"/>
        <v>0.70106399999999991</v>
      </c>
      <c r="R17" s="32">
        <f t="shared" si="3"/>
        <v>5.0806275000000003</v>
      </c>
      <c r="S17" s="33">
        <f t="shared" si="4"/>
        <v>11.461144500000001</v>
      </c>
      <c r="T17" s="117">
        <f>(G17-G18)/G18</f>
        <v>-0.99376233183856511</v>
      </c>
      <c r="U17" s="118">
        <f>(Q17-Q18)/Q18</f>
        <v>-0.99317310585588869</v>
      </c>
      <c r="V17" s="118">
        <f>(R17-R18)/R18</f>
        <v>-0.99230171212716967</v>
      </c>
      <c r="W17" s="119">
        <f>(S17-S18)/S18</f>
        <v>-0.99300601934869104</v>
      </c>
    </row>
    <row r="18" spans="1:23" x14ac:dyDescent="0.25">
      <c r="A18" s="122"/>
      <c r="B18" s="34">
        <v>10000000</v>
      </c>
      <c r="C18" s="35">
        <f t="shared" si="0"/>
        <v>10</v>
      </c>
      <c r="D18" s="92"/>
      <c r="E18" s="6" t="s">
        <v>170</v>
      </c>
      <c r="F18">
        <v>3.3450000000000002</v>
      </c>
      <c r="G18" s="30">
        <f t="shared" si="1"/>
        <v>33.450000000000003</v>
      </c>
      <c r="H18" s="16">
        <v>3.49</v>
      </c>
      <c r="I18" s="16">
        <v>20.309999999999999</v>
      </c>
      <c r="J18" s="16">
        <v>144.87</v>
      </c>
      <c r="K18" s="17">
        <v>11.674049999999999</v>
      </c>
      <c r="L18" s="16">
        <v>67.936949999999996</v>
      </c>
      <c r="M18" s="16">
        <v>484.59015000000011</v>
      </c>
      <c r="N18" s="17">
        <v>10.26915</v>
      </c>
      <c r="O18" s="16">
        <v>65.996850000000009</v>
      </c>
      <c r="P18" s="16">
        <v>163.87155000000001</v>
      </c>
      <c r="Q18" s="31">
        <f t="shared" si="2"/>
        <v>102.69149999999999</v>
      </c>
      <c r="R18" s="32">
        <f t="shared" si="3"/>
        <v>659.96850000000006</v>
      </c>
      <c r="S18" s="33">
        <f t="shared" si="4"/>
        <v>1638.7155000000002</v>
      </c>
      <c r="T18" s="93"/>
      <c r="U18" s="94"/>
      <c r="V18" s="94"/>
      <c r="W18" s="95"/>
    </row>
    <row r="19" spans="1:23" x14ac:dyDescent="0.25">
      <c r="A19" s="122" t="s">
        <v>153</v>
      </c>
      <c r="B19" s="34">
        <v>10000000000</v>
      </c>
      <c r="C19" s="35">
        <f t="shared" si="0"/>
        <v>0.01</v>
      </c>
      <c r="D19" s="92" t="s">
        <v>111</v>
      </c>
      <c r="E19" s="6" t="s">
        <v>169</v>
      </c>
      <c r="F19">
        <v>2.0939999999999999</v>
      </c>
      <c r="G19" s="30">
        <f t="shared" si="1"/>
        <v>2.094E-2</v>
      </c>
      <c r="H19" s="16">
        <v>3.48</v>
      </c>
      <c r="I19" s="16">
        <v>22.33</v>
      </c>
      <c r="J19" s="16">
        <v>141.75</v>
      </c>
      <c r="K19" s="17">
        <v>7.2871199999999998</v>
      </c>
      <c r="L19" s="16">
        <v>46.759019999999992</v>
      </c>
      <c r="M19" s="16">
        <v>296.8245</v>
      </c>
      <c r="N19" s="17">
        <v>6.4076399999999998</v>
      </c>
      <c r="O19" s="16">
        <v>45.544499999999999</v>
      </c>
      <c r="P19" s="16">
        <v>101.32866</v>
      </c>
      <c r="Q19" s="31">
        <f t="shared" si="2"/>
        <v>6.4076400000000006E-2</v>
      </c>
      <c r="R19" s="32">
        <f t="shared" si="3"/>
        <v>0.45544499999999999</v>
      </c>
      <c r="S19" s="33">
        <f t="shared" si="4"/>
        <v>1.0132866</v>
      </c>
      <c r="T19" s="117">
        <f>(G19-G20)/G20</f>
        <v>-0.99441897654584221</v>
      </c>
      <c r="U19" s="118">
        <f>(Q19-Q20)/Q20</f>
        <v>-0.99440067810828769</v>
      </c>
      <c r="V19" s="118">
        <f>(R19-R20)/R20</f>
        <v>-0.99396083282945613</v>
      </c>
      <c r="W19" s="119">
        <f>(S19-S20)/S20</f>
        <v>-0.99480642836640976</v>
      </c>
    </row>
    <row r="20" spans="1:23" x14ac:dyDescent="0.25">
      <c r="A20" s="122"/>
      <c r="B20" s="34">
        <v>100000000</v>
      </c>
      <c r="C20" s="35">
        <f t="shared" si="0"/>
        <v>1</v>
      </c>
      <c r="D20" s="92"/>
      <c r="E20" s="6" t="s">
        <v>170</v>
      </c>
      <c r="F20">
        <v>3.7519999999999998</v>
      </c>
      <c r="G20" s="30">
        <f t="shared" si="1"/>
        <v>3.7519999999999998</v>
      </c>
      <c r="H20" s="16">
        <v>3.47</v>
      </c>
      <c r="I20" s="16">
        <v>20.68</v>
      </c>
      <c r="J20" s="16">
        <v>135.30000000000001</v>
      </c>
      <c r="K20" s="17">
        <v>13.019439999999999</v>
      </c>
      <c r="L20" s="16">
        <v>77.591359999999995</v>
      </c>
      <c r="M20" s="16">
        <v>507.6456</v>
      </c>
      <c r="N20" s="17">
        <v>11.4436</v>
      </c>
      <c r="O20" s="16">
        <v>75.415199999999999</v>
      </c>
      <c r="P20" s="16">
        <v>195.10400000000001</v>
      </c>
      <c r="Q20" s="31">
        <f t="shared" si="2"/>
        <v>11.4436</v>
      </c>
      <c r="R20" s="32">
        <f t="shared" si="3"/>
        <v>75.415199999999999</v>
      </c>
      <c r="S20" s="33">
        <f t="shared" si="4"/>
        <v>195.10400000000001</v>
      </c>
      <c r="T20" s="93"/>
      <c r="U20" s="94"/>
      <c r="V20" s="94"/>
      <c r="W20" s="95"/>
    </row>
    <row r="21" spans="1:23" x14ac:dyDescent="0.25">
      <c r="A21" s="122"/>
      <c r="B21" s="34">
        <v>10000000000</v>
      </c>
      <c r="C21" s="35">
        <f t="shared" si="0"/>
        <v>0.01</v>
      </c>
      <c r="D21" s="92" t="s">
        <v>114</v>
      </c>
      <c r="E21" s="6" t="s">
        <v>169</v>
      </c>
      <c r="F21">
        <v>2.0939999999999999</v>
      </c>
      <c r="G21" s="30">
        <f t="shared" si="1"/>
        <v>2.094E-2</v>
      </c>
      <c r="H21" s="16">
        <v>3.5</v>
      </c>
      <c r="I21" s="16">
        <v>22.38</v>
      </c>
      <c r="J21" s="16">
        <v>142.15</v>
      </c>
      <c r="K21" s="17">
        <v>7.3289999999999997</v>
      </c>
      <c r="L21" s="16">
        <v>46.863719999999986</v>
      </c>
      <c r="M21" s="16">
        <v>297.66210000000001</v>
      </c>
      <c r="N21" s="17">
        <v>6.4495199999999997</v>
      </c>
      <c r="O21" s="16">
        <v>45.6492</v>
      </c>
      <c r="P21" s="16">
        <v>102.1872</v>
      </c>
      <c r="Q21" s="31">
        <f t="shared" si="2"/>
        <v>6.4495200000000003E-2</v>
      </c>
      <c r="R21" s="32">
        <f t="shared" si="3"/>
        <v>0.45649200000000001</v>
      </c>
      <c r="S21" s="33">
        <f t="shared" si="4"/>
        <v>1.0218720000000001</v>
      </c>
      <c r="T21" s="117">
        <f>(G21-G22)/G22</f>
        <v>-0.99457091003370501</v>
      </c>
      <c r="U21" s="118">
        <f>(Q21-Q22)/Q22</f>
        <v>-0.99457091003370501</v>
      </c>
      <c r="V21" s="118">
        <f>(R21-R22)/R22</f>
        <v>-0.99410586846288684</v>
      </c>
      <c r="W21" s="119">
        <f>(S21-S22)/S22</f>
        <v>-0.9944117361241257</v>
      </c>
    </row>
    <row r="22" spans="1:23" x14ac:dyDescent="0.25">
      <c r="A22" s="122"/>
      <c r="B22" s="34">
        <v>100000000</v>
      </c>
      <c r="C22" s="35">
        <f t="shared" si="0"/>
        <v>1</v>
      </c>
      <c r="D22" s="92"/>
      <c r="E22" s="6" t="s">
        <v>170</v>
      </c>
      <c r="F22">
        <v>3.8570000000000002</v>
      </c>
      <c r="G22" s="30">
        <f t="shared" si="1"/>
        <v>3.8570000000000002</v>
      </c>
      <c r="H22" s="16">
        <v>3.5</v>
      </c>
      <c r="I22" s="16">
        <v>20.66</v>
      </c>
      <c r="J22" s="16">
        <v>130.69999999999999</v>
      </c>
      <c r="K22" s="17">
        <v>13.499499999999999</v>
      </c>
      <c r="L22" s="16">
        <v>79.68562</v>
      </c>
      <c r="M22" s="16">
        <v>504.10989999999998</v>
      </c>
      <c r="N22" s="17">
        <v>11.87956</v>
      </c>
      <c r="O22" s="16">
        <v>77.448560000000001</v>
      </c>
      <c r="P22" s="16">
        <v>182.86036999999999</v>
      </c>
      <c r="Q22" s="31">
        <f t="shared" si="2"/>
        <v>11.87956</v>
      </c>
      <c r="R22" s="32">
        <f t="shared" si="3"/>
        <v>77.448560000000001</v>
      </c>
      <c r="S22" s="33">
        <f t="shared" si="4"/>
        <v>182.86036999999999</v>
      </c>
      <c r="T22" s="93"/>
      <c r="U22" s="94"/>
      <c r="V22" s="94"/>
      <c r="W22" s="95"/>
    </row>
    <row r="23" spans="1:23" x14ac:dyDescent="0.25">
      <c r="A23" s="122" t="s">
        <v>19</v>
      </c>
      <c r="B23" s="34">
        <v>100000000</v>
      </c>
      <c r="C23" s="35">
        <f t="shared" si="0"/>
        <v>1</v>
      </c>
      <c r="D23" s="92" t="s">
        <v>111</v>
      </c>
      <c r="E23" s="6" t="s">
        <v>169</v>
      </c>
      <c r="F23">
        <v>37.091999999999999</v>
      </c>
      <c r="G23" s="30">
        <f t="shared" si="1"/>
        <v>37.091999999999999</v>
      </c>
      <c r="H23" s="16">
        <v>3.51</v>
      </c>
      <c r="I23" s="16">
        <v>30.85</v>
      </c>
      <c r="J23" s="16">
        <v>167.98</v>
      </c>
      <c r="K23" s="17">
        <v>130.19291999999999</v>
      </c>
      <c r="L23" s="16">
        <v>1144.2882</v>
      </c>
      <c r="M23" s="16">
        <v>6230.7141600000004</v>
      </c>
      <c r="N23" s="17">
        <v>114.61427999999999</v>
      </c>
      <c r="O23" s="16">
        <v>1122.77484</v>
      </c>
      <c r="P23" s="16">
        <v>2571.95928</v>
      </c>
      <c r="Q23" s="31">
        <f t="shared" si="2"/>
        <v>114.61427999999999</v>
      </c>
      <c r="R23" s="32">
        <f t="shared" si="3"/>
        <v>1122.77484</v>
      </c>
      <c r="S23" s="33">
        <f t="shared" si="4"/>
        <v>2571.95928</v>
      </c>
      <c r="T23" s="117">
        <f>(G23-G24)/G24</f>
        <v>-0.58557350673727959</v>
      </c>
      <c r="U23" s="118">
        <f>(Q23-Q24)/Q24</f>
        <v>-0.582873659875633</v>
      </c>
      <c r="V23" s="118">
        <f>(R23-R24)/R24</f>
        <v>-0.55036953580420978</v>
      </c>
      <c r="W23" s="119">
        <f>(S23-S24)/S24</f>
        <v>-0.51310855569574665</v>
      </c>
    </row>
    <row r="24" spans="1:23" x14ac:dyDescent="0.25">
      <c r="A24" s="122"/>
      <c r="B24" s="34">
        <v>100000000</v>
      </c>
      <c r="C24" s="35">
        <f t="shared" si="0"/>
        <v>1</v>
      </c>
      <c r="D24" s="92"/>
      <c r="E24" s="6" t="s">
        <v>170</v>
      </c>
      <c r="F24">
        <v>89.501999999999995</v>
      </c>
      <c r="G24" s="30">
        <f t="shared" si="1"/>
        <v>89.501999999999995</v>
      </c>
      <c r="H24" s="16">
        <v>3.49</v>
      </c>
      <c r="I24" s="16">
        <v>28.48</v>
      </c>
      <c r="J24" s="16">
        <v>148.94999999999999</v>
      </c>
      <c r="K24" s="17">
        <v>312.36198000000002</v>
      </c>
      <c r="L24" s="16">
        <v>2549.0169599999999</v>
      </c>
      <c r="M24" s="16">
        <v>13331.322899999999</v>
      </c>
      <c r="N24" s="17">
        <v>274.77113999999989</v>
      </c>
      <c r="O24" s="16">
        <v>2497.1057999999998</v>
      </c>
      <c r="P24" s="16">
        <v>5282.4080400000003</v>
      </c>
      <c r="Q24" s="31">
        <f t="shared" si="2"/>
        <v>274.77113999999989</v>
      </c>
      <c r="R24" s="32">
        <f t="shared" si="3"/>
        <v>2497.1057999999998</v>
      </c>
      <c r="S24" s="33">
        <f t="shared" si="4"/>
        <v>5282.4080400000003</v>
      </c>
      <c r="T24" s="93"/>
      <c r="U24" s="94"/>
      <c r="V24" s="94"/>
      <c r="W24" s="95"/>
    </row>
    <row r="25" spans="1:23" x14ac:dyDescent="0.25">
      <c r="A25" s="122"/>
      <c r="B25" s="34">
        <v>10000000000</v>
      </c>
      <c r="C25" s="35">
        <f t="shared" si="0"/>
        <v>0.01</v>
      </c>
      <c r="D25" s="92" t="s">
        <v>114</v>
      </c>
      <c r="E25" s="6" t="s">
        <v>169</v>
      </c>
      <c r="F25">
        <v>2.1030000000000002</v>
      </c>
      <c r="G25" s="30">
        <f t="shared" si="1"/>
        <v>2.1030000000000004E-2</v>
      </c>
      <c r="H25" s="16">
        <v>3.57</v>
      </c>
      <c r="I25" s="16">
        <v>21.64</v>
      </c>
      <c r="J25" s="16">
        <v>152.53</v>
      </c>
      <c r="K25" s="17">
        <v>7.5077100000000003</v>
      </c>
      <c r="L25" s="16">
        <v>45.508920000000003</v>
      </c>
      <c r="M25" s="16">
        <v>320.77059000000003</v>
      </c>
      <c r="N25" s="17">
        <v>6.6244500000000004</v>
      </c>
      <c r="O25" s="16">
        <v>44.289180000000002</v>
      </c>
      <c r="P25" s="16">
        <v>113.35169999999999</v>
      </c>
      <c r="Q25" s="31">
        <f t="shared" si="2"/>
        <v>6.6244500000000012E-2</v>
      </c>
      <c r="R25" s="32">
        <f t="shared" si="3"/>
        <v>0.4428918</v>
      </c>
      <c r="S25" s="33">
        <f t="shared" si="4"/>
        <v>1.1335169999999999</v>
      </c>
      <c r="T25" s="117">
        <f>(G25-G26)/G26</f>
        <v>-0.99502130681818191</v>
      </c>
      <c r="U25" s="118">
        <f>(Q25-Q26)/Q26</f>
        <v>-0.99497343476835665</v>
      </c>
      <c r="V25" s="118">
        <f>(R25-R26)/R26</f>
        <v>-0.99496633324968364</v>
      </c>
      <c r="W25" s="119">
        <f>(S25-S26)/S26</f>
        <v>-0.9941535607298474</v>
      </c>
    </row>
    <row r="26" spans="1:23" x14ac:dyDescent="0.25">
      <c r="A26" s="122"/>
      <c r="B26" s="34">
        <v>100000000</v>
      </c>
      <c r="C26" s="35">
        <f t="shared" si="0"/>
        <v>1</v>
      </c>
      <c r="D26" s="92"/>
      <c r="E26" s="6" t="s">
        <v>170</v>
      </c>
      <c r="F26">
        <v>4.2240000000000002</v>
      </c>
      <c r="G26" s="30">
        <f t="shared" si="1"/>
        <v>4.2240000000000002</v>
      </c>
      <c r="H26" s="16">
        <v>3.54</v>
      </c>
      <c r="I26" s="16">
        <v>21.41</v>
      </c>
      <c r="J26" s="16">
        <v>135.82</v>
      </c>
      <c r="K26" s="17">
        <v>14.952959999999999</v>
      </c>
      <c r="L26" s="16">
        <v>90.435839999999999</v>
      </c>
      <c r="M26" s="16">
        <v>573.70367999999996</v>
      </c>
      <c r="N26" s="17">
        <v>13.178879999999999</v>
      </c>
      <c r="O26" s="16">
        <v>87.985919999999993</v>
      </c>
      <c r="P26" s="16">
        <v>193.88159999999999</v>
      </c>
      <c r="Q26" s="31">
        <f t="shared" si="2"/>
        <v>13.178879999999999</v>
      </c>
      <c r="R26" s="32">
        <f t="shared" si="3"/>
        <v>87.985919999999993</v>
      </c>
      <c r="S26" s="33">
        <f t="shared" si="4"/>
        <v>193.88159999999999</v>
      </c>
      <c r="T26" s="93"/>
      <c r="U26" s="94"/>
      <c r="V26" s="94"/>
      <c r="W26" s="95"/>
    </row>
    <row r="27" spans="1:23" x14ac:dyDescent="0.25">
      <c r="A27" s="122" t="s">
        <v>21</v>
      </c>
      <c r="B27" s="34">
        <v>10000000000</v>
      </c>
      <c r="C27" s="35">
        <f t="shared" si="0"/>
        <v>0.01</v>
      </c>
      <c r="D27" s="92" t="s">
        <v>111</v>
      </c>
      <c r="E27" s="6" t="s">
        <v>169</v>
      </c>
      <c r="F27">
        <v>2.0939999999999999</v>
      </c>
      <c r="G27" s="30">
        <f t="shared" si="1"/>
        <v>2.094E-2</v>
      </c>
      <c r="H27" s="16">
        <v>3.51</v>
      </c>
      <c r="I27" s="16">
        <v>22.21</v>
      </c>
      <c r="J27" s="16">
        <v>136.91</v>
      </c>
      <c r="K27" s="17">
        <v>7.3499399999999993</v>
      </c>
      <c r="L27" s="16">
        <v>46.507739999999998</v>
      </c>
      <c r="M27" s="16">
        <v>286.68954000000002</v>
      </c>
      <c r="N27" s="17">
        <v>6.4704599999999992</v>
      </c>
      <c r="O27" s="16">
        <v>45.293219999999998</v>
      </c>
      <c r="P27" s="16">
        <v>90.000119999999981</v>
      </c>
      <c r="Q27" s="31">
        <f t="shared" si="2"/>
        <v>6.4704599999999987E-2</v>
      </c>
      <c r="R27" s="32">
        <f t="shared" si="3"/>
        <v>0.45293220000000001</v>
      </c>
      <c r="S27" s="33">
        <f t="shared" si="4"/>
        <v>0.90000119999999983</v>
      </c>
      <c r="T27" s="117">
        <f>(G27-G28)/G28</f>
        <v>-0.99859189025620343</v>
      </c>
      <c r="U27" s="118">
        <f>(Q27-Q28)/Q28</f>
        <v>-0.99860542977297062</v>
      </c>
      <c r="V27" s="118">
        <f>(R27-R28)/R28</f>
        <v>-0.99881534757843937</v>
      </c>
      <c r="W27" s="119">
        <f>(S27-S28)/S28</f>
        <v>-0.99896687339043388</v>
      </c>
    </row>
    <row r="28" spans="1:23" x14ac:dyDescent="0.25">
      <c r="A28" s="122"/>
      <c r="B28" s="34">
        <v>100000000</v>
      </c>
      <c r="C28" s="35">
        <f t="shared" si="0"/>
        <v>1</v>
      </c>
      <c r="D28" s="92"/>
      <c r="E28" s="6" t="s">
        <v>170</v>
      </c>
      <c r="F28">
        <v>14.871</v>
      </c>
      <c r="G28" s="30">
        <f t="shared" si="1"/>
        <v>14.871</v>
      </c>
      <c r="H28" s="16">
        <v>3.54</v>
      </c>
      <c r="I28" s="16">
        <v>26.29</v>
      </c>
      <c r="J28" s="16">
        <v>157.58000000000001</v>
      </c>
      <c r="K28" s="17">
        <v>52.643340000000002</v>
      </c>
      <c r="L28" s="16">
        <v>390.95859000000002</v>
      </c>
      <c r="M28" s="16">
        <v>2343.3721799999998</v>
      </c>
      <c r="N28" s="17">
        <v>46.39752</v>
      </c>
      <c r="O28" s="16">
        <v>382.33341000000001</v>
      </c>
      <c r="P28" s="16">
        <v>871.14318000000003</v>
      </c>
      <c r="Q28" s="31">
        <f t="shared" si="2"/>
        <v>46.39752</v>
      </c>
      <c r="R28" s="32">
        <f t="shared" si="3"/>
        <v>382.33341000000001</v>
      </c>
      <c r="S28" s="33">
        <f t="shared" si="4"/>
        <v>871.14318000000003</v>
      </c>
      <c r="T28" s="93"/>
      <c r="U28" s="94"/>
      <c r="V28" s="94"/>
      <c r="W28" s="95"/>
    </row>
    <row r="29" spans="1:23" x14ac:dyDescent="0.25">
      <c r="A29" s="122"/>
      <c r="B29" s="34">
        <v>10000000000</v>
      </c>
      <c r="C29" s="35">
        <f t="shared" si="0"/>
        <v>0.01</v>
      </c>
      <c r="D29" s="92" t="s">
        <v>114</v>
      </c>
      <c r="E29" s="6" t="s">
        <v>169</v>
      </c>
      <c r="F29">
        <v>2.0939999999999999</v>
      </c>
      <c r="G29" s="30">
        <f t="shared" si="1"/>
        <v>2.094E-2</v>
      </c>
      <c r="H29" s="16">
        <v>3.53</v>
      </c>
      <c r="I29" s="16">
        <v>22.3</v>
      </c>
      <c r="J29" s="16">
        <v>138.69999999999999</v>
      </c>
      <c r="K29" s="17">
        <v>7.3918199999999992</v>
      </c>
      <c r="L29" s="16">
        <v>46.696199999999997</v>
      </c>
      <c r="M29" s="16">
        <v>290.43779999999998</v>
      </c>
      <c r="N29" s="17">
        <v>6.5123399999999991</v>
      </c>
      <c r="O29" s="16">
        <v>45.481679999999997</v>
      </c>
      <c r="P29" s="16">
        <v>93.748379999999997</v>
      </c>
      <c r="Q29" s="31">
        <f t="shared" si="2"/>
        <v>6.5123399999999998E-2</v>
      </c>
      <c r="R29" s="32">
        <f t="shared" si="3"/>
        <v>0.45481679999999997</v>
      </c>
      <c r="S29" s="33">
        <f t="shared" si="4"/>
        <v>0.93748379999999998</v>
      </c>
      <c r="T29" s="117">
        <f>(G29-G30)/G30</f>
        <v>-0.99790516206482593</v>
      </c>
      <c r="U29" s="118">
        <f>(Q29-Q30)/Q30</f>
        <v>-0.99791854761073751</v>
      </c>
      <c r="V29" s="118">
        <f>(R29-R30)/R30</f>
        <v>-0.9982364387615511</v>
      </c>
      <c r="W29" s="119">
        <f>(S29-S30)/S30</f>
        <v>-0.99836695291036492</v>
      </c>
    </row>
    <row r="30" spans="1:23" x14ac:dyDescent="0.25">
      <c r="A30" s="122"/>
      <c r="B30" s="34">
        <v>100000000</v>
      </c>
      <c r="C30" s="35">
        <f t="shared" si="0"/>
        <v>1</v>
      </c>
      <c r="D30" s="92"/>
      <c r="E30" s="6" t="s">
        <v>170</v>
      </c>
      <c r="F30">
        <v>9.9960000000000004</v>
      </c>
      <c r="G30" s="30">
        <f t="shared" si="1"/>
        <v>9.9960000000000004</v>
      </c>
      <c r="H30" s="16">
        <v>3.55</v>
      </c>
      <c r="I30" s="16">
        <v>26.38</v>
      </c>
      <c r="J30" s="16">
        <v>156.41999999999999</v>
      </c>
      <c r="K30" s="17">
        <v>35.485799999999998</v>
      </c>
      <c r="L30" s="16">
        <v>263.69448</v>
      </c>
      <c r="M30" s="16">
        <v>1563.5743199999999</v>
      </c>
      <c r="N30" s="17">
        <v>31.287479999999999</v>
      </c>
      <c r="O30" s="16">
        <v>257.89679999999998</v>
      </c>
      <c r="P30" s="16">
        <v>574.07028000000003</v>
      </c>
      <c r="Q30" s="31">
        <f t="shared" si="2"/>
        <v>31.287479999999999</v>
      </c>
      <c r="R30" s="32">
        <f t="shared" si="3"/>
        <v>257.89679999999998</v>
      </c>
      <c r="S30" s="33">
        <f t="shared" si="4"/>
        <v>574.07028000000003</v>
      </c>
      <c r="T30" s="93"/>
      <c r="U30" s="94"/>
      <c r="V30" s="94"/>
      <c r="W30" s="95"/>
    </row>
    <row r="31" spans="1:23" x14ac:dyDescent="0.25">
      <c r="A31" s="122" t="s">
        <v>23</v>
      </c>
      <c r="B31" s="34">
        <v>10000000000</v>
      </c>
      <c r="C31" s="35">
        <f t="shared" si="0"/>
        <v>0.01</v>
      </c>
      <c r="D31" s="92" t="s">
        <v>111</v>
      </c>
      <c r="E31" s="6" t="s">
        <v>169</v>
      </c>
      <c r="F31">
        <v>2.0939999999999999</v>
      </c>
      <c r="G31" s="30">
        <f t="shared" si="1"/>
        <v>2.094E-2</v>
      </c>
      <c r="H31" s="16">
        <v>3.52</v>
      </c>
      <c r="I31" s="16">
        <v>21.83</v>
      </c>
      <c r="J31" s="16">
        <v>134.87</v>
      </c>
      <c r="K31" s="17">
        <v>7.3708799999999997</v>
      </c>
      <c r="L31" s="16">
        <v>45.712020000000003</v>
      </c>
      <c r="M31" s="16">
        <v>282.41777999999999</v>
      </c>
      <c r="N31" s="17">
        <v>6.4913999999999996</v>
      </c>
      <c r="O31" s="16">
        <v>44.497500000000002</v>
      </c>
      <c r="P31" s="16">
        <v>96.826560000000001</v>
      </c>
      <c r="Q31" s="31">
        <f t="shared" si="2"/>
        <v>6.4913999999999999E-2</v>
      </c>
      <c r="R31" s="32">
        <f t="shared" si="3"/>
        <v>0.44497500000000001</v>
      </c>
      <c r="S31" s="33">
        <f t="shared" si="4"/>
        <v>0.96826560000000006</v>
      </c>
      <c r="T31" s="117">
        <f>(G31-G32)/G32</f>
        <v>-0.99843975858728862</v>
      </c>
      <c r="U31" s="118">
        <f>(Q31-Q32)/Q32</f>
        <v>-0.99841936327470404</v>
      </c>
      <c r="V31" s="118">
        <f>(R31-R32)/R32</f>
        <v>-0.99837713509446313</v>
      </c>
      <c r="W31" s="119">
        <f>(S31-S32)/S32</f>
        <v>-0.99841263887956488</v>
      </c>
    </row>
    <row r="32" spans="1:23" x14ac:dyDescent="0.25">
      <c r="A32" s="122"/>
      <c r="B32" s="34">
        <v>100000000</v>
      </c>
      <c r="C32" s="35">
        <f t="shared" si="0"/>
        <v>1</v>
      </c>
      <c r="D32" s="92"/>
      <c r="E32" s="6" t="s">
        <v>170</v>
      </c>
      <c r="F32">
        <v>13.420999999999999</v>
      </c>
      <c r="G32" s="30">
        <f t="shared" si="1"/>
        <v>13.420999999999999</v>
      </c>
      <c r="H32" s="16">
        <v>3.48</v>
      </c>
      <c r="I32" s="16">
        <v>21.01</v>
      </c>
      <c r="J32" s="16">
        <v>126.93</v>
      </c>
      <c r="K32" s="17">
        <v>46.705080000000002</v>
      </c>
      <c r="L32" s="16">
        <v>281.97521</v>
      </c>
      <c r="M32" s="16">
        <v>1703.5275300000001</v>
      </c>
      <c r="N32" s="17">
        <v>41.068260000000002</v>
      </c>
      <c r="O32" s="16">
        <v>274.19103000000001</v>
      </c>
      <c r="P32" s="16">
        <v>609.98445000000004</v>
      </c>
      <c r="Q32" s="31">
        <f t="shared" si="2"/>
        <v>41.068260000000002</v>
      </c>
      <c r="R32" s="32">
        <f t="shared" si="3"/>
        <v>274.19103000000001</v>
      </c>
      <c r="S32" s="33">
        <f t="shared" si="4"/>
        <v>609.98445000000004</v>
      </c>
      <c r="T32" s="93"/>
      <c r="U32" s="94"/>
      <c r="V32" s="94"/>
      <c r="W32" s="95"/>
    </row>
    <row r="33" spans="1:23" x14ac:dyDescent="0.25">
      <c r="A33" s="122"/>
      <c r="B33" s="34">
        <v>10000000000</v>
      </c>
      <c r="C33" s="35">
        <f t="shared" si="0"/>
        <v>0.01</v>
      </c>
      <c r="D33" s="92" t="s">
        <v>114</v>
      </c>
      <c r="E33" s="6" t="s">
        <v>169</v>
      </c>
      <c r="F33">
        <v>2.0939999999999999</v>
      </c>
      <c r="G33" s="30">
        <f t="shared" si="1"/>
        <v>2.094E-2</v>
      </c>
      <c r="H33" s="16">
        <v>3.52</v>
      </c>
      <c r="I33" s="16">
        <v>21.83</v>
      </c>
      <c r="J33" s="16">
        <v>134.69</v>
      </c>
      <c r="K33" s="17">
        <v>7.3708799999999997</v>
      </c>
      <c r="L33" s="16">
        <v>45.712020000000003</v>
      </c>
      <c r="M33" s="16">
        <v>282.04086000000001</v>
      </c>
      <c r="N33" s="17">
        <v>6.4913999999999996</v>
      </c>
      <c r="O33" s="16">
        <v>44.497500000000002</v>
      </c>
      <c r="P33" s="16">
        <v>96.449640000000002</v>
      </c>
      <c r="Q33" s="31">
        <f t="shared" si="2"/>
        <v>6.4913999999999999E-2</v>
      </c>
      <c r="R33" s="32">
        <f t="shared" si="3"/>
        <v>0.44497500000000001</v>
      </c>
      <c r="S33" s="33">
        <f t="shared" si="4"/>
        <v>0.96449640000000003</v>
      </c>
      <c r="T33" s="117">
        <f>(G33-G34)/G34</f>
        <v>-0.99766685236768804</v>
      </c>
      <c r="U33" s="118">
        <f>(Q33-Q34)/Q34</f>
        <v>-0.99763635370582771</v>
      </c>
      <c r="V33" s="118">
        <f>(R33-R34)/R34</f>
        <v>-0.99754192428425237</v>
      </c>
      <c r="W33" s="119">
        <f>(S33-S34)/S34</f>
        <v>-0.99760817315948613</v>
      </c>
    </row>
    <row r="34" spans="1:23" x14ac:dyDescent="0.25">
      <c r="A34" s="122"/>
      <c r="B34" s="34">
        <v>100000000</v>
      </c>
      <c r="C34" s="35">
        <f t="shared" si="0"/>
        <v>1</v>
      </c>
      <c r="D34" s="92"/>
      <c r="E34" s="6" t="s">
        <v>170</v>
      </c>
      <c r="F34">
        <v>8.9749999999999996</v>
      </c>
      <c r="G34" s="30">
        <f t="shared" si="1"/>
        <v>8.9749999999999996</v>
      </c>
      <c r="H34" s="16">
        <v>3.48</v>
      </c>
      <c r="I34" s="16">
        <v>20.75</v>
      </c>
      <c r="J34" s="16">
        <v>126.42</v>
      </c>
      <c r="K34" s="17">
        <v>31.233000000000001</v>
      </c>
      <c r="L34" s="16">
        <v>186.23124999999999</v>
      </c>
      <c r="M34" s="16">
        <v>1134.6195</v>
      </c>
      <c r="N34" s="17">
        <v>27.4635</v>
      </c>
      <c r="O34" s="16">
        <v>181.02574999999999</v>
      </c>
      <c r="P34" s="16">
        <v>403.24675000000002</v>
      </c>
      <c r="Q34" s="31">
        <f t="shared" si="2"/>
        <v>27.4635</v>
      </c>
      <c r="R34" s="32">
        <f t="shared" si="3"/>
        <v>181.02574999999999</v>
      </c>
      <c r="S34" s="33">
        <f t="shared" si="4"/>
        <v>403.24675000000002</v>
      </c>
      <c r="T34" s="93"/>
      <c r="U34" s="94"/>
      <c r="V34" s="94"/>
      <c r="W34" s="95"/>
    </row>
    <row r="35" spans="1:23" x14ac:dyDescent="0.25">
      <c r="A35" s="122" t="s">
        <v>25</v>
      </c>
      <c r="B35" s="34">
        <v>10000000000</v>
      </c>
      <c r="C35" s="35">
        <f t="shared" si="0"/>
        <v>0.01</v>
      </c>
      <c r="D35" s="92" t="s">
        <v>111</v>
      </c>
      <c r="E35" s="6" t="s">
        <v>169</v>
      </c>
      <c r="F35">
        <v>10.994</v>
      </c>
      <c r="G35" s="30">
        <f t="shared" si="1"/>
        <v>0.10994</v>
      </c>
      <c r="H35" s="16">
        <v>3.47</v>
      </c>
      <c r="I35" s="16">
        <v>21.98</v>
      </c>
      <c r="J35" s="16">
        <v>133.63999999999999</v>
      </c>
      <c r="K35" s="17">
        <v>38.149180000000001</v>
      </c>
      <c r="L35" s="16">
        <v>241.64812000000001</v>
      </c>
      <c r="M35" s="16">
        <v>1469.2381600000001</v>
      </c>
      <c r="N35" s="17">
        <v>33.531700000000001</v>
      </c>
      <c r="O35" s="16">
        <v>235.27160000000001</v>
      </c>
      <c r="P35" s="16">
        <v>524.85356000000002</v>
      </c>
      <c r="Q35" s="31">
        <f t="shared" si="2"/>
        <v>0.33531700000000003</v>
      </c>
      <c r="R35" s="32">
        <f t="shared" si="3"/>
        <v>2.352716</v>
      </c>
      <c r="S35" s="33">
        <f t="shared" si="4"/>
        <v>5.2485356000000003</v>
      </c>
      <c r="T35" s="117">
        <f>(G35-G36)/G36</f>
        <v>-0.9995082304526749</v>
      </c>
      <c r="U35" s="118">
        <f>(Q35-Q36)/Q36</f>
        <v>-0.9995082304526749</v>
      </c>
      <c r="V35" s="118">
        <f>(R35-R36)/R36</f>
        <v>-0.99952531040537851</v>
      </c>
      <c r="W35" s="119">
        <f>(S35-S36)/S36</f>
        <v>-0.9995607656091805</v>
      </c>
    </row>
    <row r="36" spans="1:23" x14ac:dyDescent="0.25">
      <c r="A36" s="122"/>
      <c r="B36" s="34">
        <v>10000000</v>
      </c>
      <c r="C36" s="35">
        <f t="shared" si="0"/>
        <v>10</v>
      </c>
      <c r="D36" s="92"/>
      <c r="E36" s="6" t="s">
        <v>170</v>
      </c>
      <c r="F36">
        <v>22.356000000000002</v>
      </c>
      <c r="G36" s="30">
        <f t="shared" si="1"/>
        <v>223.56</v>
      </c>
      <c r="H36" s="16">
        <v>3.47</v>
      </c>
      <c r="I36" s="16">
        <v>22.75</v>
      </c>
      <c r="J36" s="16">
        <v>133.75</v>
      </c>
      <c r="K36" s="17">
        <v>77.575320000000005</v>
      </c>
      <c r="L36" s="16">
        <v>508.59899999999999</v>
      </c>
      <c r="M36" s="16">
        <v>2990.1149999999998</v>
      </c>
      <c r="N36" s="17">
        <v>68.1858</v>
      </c>
      <c r="O36" s="16">
        <v>495.63252000000011</v>
      </c>
      <c r="P36" s="16">
        <v>1194.9282000000001</v>
      </c>
      <c r="Q36" s="31">
        <f t="shared" si="2"/>
        <v>681.85799999999995</v>
      </c>
      <c r="R36" s="32">
        <f t="shared" si="3"/>
        <v>4956.3252000000011</v>
      </c>
      <c r="S36" s="33">
        <f t="shared" si="4"/>
        <v>11949.282000000001</v>
      </c>
      <c r="T36" s="93"/>
      <c r="U36" s="94"/>
      <c r="V36" s="94"/>
      <c r="W36" s="95"/>
    </row>
    <row r="37" spans="1:23" x14ac:dyDescent="0.25">
      <c r="A37" s="122"/>
      <c r="B37" s="34">
        <v>10000000000</v>
      </c>
      <c r="C37" s="35">
        <f t="shared" si="0"/>
        <v>0.01</v>
      </c>
      <c r="D37" s="92" t="s">
        <v>114</v>
      </c>
      <c r="E37" s="6" t="s">
        <v>169</v>
      </c>
      <c r="F37">
        <v>2.6179999999999999</v>
      </c>
      <c r="G37" s="30">
        <f t="shared" si="1"/>
        <v>2.6179999999999998E-2</v>
      </c>
      <c r="H37" s="16">
        <v>3.48</v>
      </c>
      <c r="I37" s="16">
        <v>22.52</v>
      </c>
      <c r="J37" s="16">
        <v>137.52000000000001</v>
      </c>
      <c r="K37" s="17">
        <v>9.1106400000000001</v>
      </c>
      <c r="L37" s="16">
        <v>58.957359999999987</v>
      </c>
      <c r="M37" s="16">
        <v>360.02735999999999</v>
      </c>
      <c r="N37" s="17">
        <v>8.0110799999999998</v>
      </c>
      <c r="O37" s="16">
        <v>57.438920000000003</v>
      </c>
      <c r="P37" s="16">
        <v>135.14116000000001</v>
      </c>
      <c r="Q37" s="31">
        <f t="shared" si="2"/>
        <v>8.0110799999999996E-2</v>
      </c>
      <c r="R37" s="32">
        <f t="shared" si="3"/>
        <v>0.57438920000000004</v>
      </c>
      <c r="S37" s="33">
        <f t="shared" si="4"/>
        <v>1.3514116000000003</v>
      </c>
      <c r="T37" s="117">
        <f>(G37-G38)/G38</f>
        <v>-0.9998863961813842</v>
      </c>
      <c r="U37" s="118">
        <f>(Q37-Q38)/Q38</f>
        <v>-0.9998856487878407</v>
      </c>
      <c r="V37" s="118">
        <f>(R37-R38)/R38</f>
        <v>-0.99988498072079235</v>
      </c>
      <c r="W37" s="119">
        <f>(S37-S38)/S38</f>
        <v>-0.99988553134653624</v>
      </c>
    </row>
    <row r="38" spans="1:23" x14ac:dyDescent="0.25">
      <c r="A38" s="122"/>
      <c r="B38" s="34">
        <v>10000000</v>
      </c>
      <c r="C38" s="35">
        <f t="shared" si="0"/>
        <v>10</v>
      </c>
      <c r="D38" s="92"/>
      <c r="E38" s="6" t="s">
        <v>170</v>
      </c>
      <c r="F38">
        <v>23.045000000000002</v>
      </c>
      <c r="G38" s="30">
        <f t="shared" si="1"/>
        <v>230.45000000000002</v>
      </c>
      <c r="H38" s="16">
        <v>3.46</v>
      </c>
      <c r="I38" s="16">
        <v>22.25</v>
      </c>
      <c r="J38" s="16">
        <v>131.53</v>
      </c>
      <c r="K38" s="17">
        <v>79.735700000000008</v>
      </c>
      <c r="L38" s="16">
        <v>512.75125000000003</v>
      </c>
      <c r="M38" s="16">
        <v>3031.1088500000001</v>
      </c>
      <c r="N38" s="17">
        <v>70.05680000000001</v>
      </c>
      <c r="O38" s="16">
        <v>499.38515000000012</v>
      </c>
      <c r="P38" s="16">
        <v>1180.5953500000001</v>
      </c>
      <c r="Q38" s="31">
        <f t="shared" si="2"/>
        <v>700.5680000000001</v>
      </c>
      <c r="R38" s="32">
        <f t="shared" si="3"/>
        <v>4993.8515000000016</v>
      </c>
      <c r="S38" s="33">
        <f t="shared" si="4"/>
        <v>11805.9535</v>
      </c>
      <c r="T38" s="93"/>
      <c r="U38" s="94"/>
      <c r="V38" s="94"/>
      <c r="W38" s="95"/>
    </row>
    <row r="39" spans="1:23" x14ac:dyDescent="0.25">
      <c r="A39" s="122" t="s">
        <v>31</v>
      </c>
      <c r="B39" s="34">
        <v>10000000000</v>
      </c>
      <c r="C39" s="35">
        <f t="shared" si="0"/>
        <v>0.01</v>
      </c>
      <c r="D39" s="92" t="s">
        <v>111</v>
      </c>
      <c r="E39" s="6" t="s">
        <v>169</v>
      </c>
      <c r="F39">
        <v>2.0939999999999999</v>
      </c>
      <c r="G39" s="30">
        <f t="shared" si="1"/>
        <v>2.094E-2</v>
      </c>
      <c r="H39" s="16">
        <v>3.48</v>
      </c>
      <c r="I39" s="16">
        <v>21.73</v>
      </c>
      <c r="J39" s="16">
        <v>135.72999999999999</v>
      </c>
      <c r="K39" s="17">
        <v>7.2871199999999998</v>
      </c>
      <c r="L39" s="16">
        <v>45.50262</v>
      </c>
      <c r="M39" s="16">
        <v>284.21861999999999</v>
      </c>
      <c r="N39" s="17">
        <v>6.4076399999999998</v>
      </c>
      <c r="O39" s="16">
        <v>44.288099999999993</v>
      </c>
      <c r="P39" s="16">
        <v>96.868439999999993</v>
      </c>
      <c r="Q39" s="31">
        <f t="shared" si="2"/>
        <v>6.4076400000000006E-2</v>
      </c>
      <c r="R39" s="32">
        <f t="shared" si="3"/>
        <v>0.44288099999999991</v>
      </c>
      <c r="S39" s="33">
        <f t="shared" si="4"/>
        <v>0.9686844</v>
      </c>
      <c r="T39" s="117">
        <f>(G39-G40)/G40</f>
        <v>-0.99770570833789862</v>
      </c>
      <c r="U39" s="118">
        <f>(Q39-Q40)/Q40</f>
        <v>-0.99769061431380568</v>
      </c>
      <c r="V39" s="118">
        <f>(R39-R40)/R40</f>
        <v>-0.99765129386962992</v>
      </c>
      <c r="W39" s="119">
        <f>(S39-S40)/S40</f>
        <v>-0.99785240930212848</v>
      </c>
    </row>
    <row r="40" spans="1:23" x14ac:dyDescent="0.25">
      <c r="A40" s="122"/>
      <c r="B40" s="34">
        <v>100000000</v>
      </c>
      <c r="C40" s="35">
        <f t="shared" si="0"/>
        <v>1</v>
      </c>
      <c r="D40" s="92"/>
      <c r="E40" s="6" t="s">
        <v>170</v>
      </c>
      <c r="F40">
        <v>9.1270000000000007</v>
      </c>
      <c r="G40" s="30">
        <f t="shared" si="1"/>
        <v>9.1270000000000007</v>
      </c>
      <c r="H40" s="16">
        <v>3.46</v>
      </c>
      <c r="I40" s="16">
        <v>21.24</v>
      </c>
      <c r="J40" s="16">
        <v>129.19</v>
      </c>
      <c r="K40" s="17">
        <v>31.579419999999999</v>
      </c>
      <c r="L40" s="16">
        <v>193.85748000000001</v>
      </c>
      <c r="M40" s="16">
        <v>1179.1171300000001</v>
      </c>
      <c r="N40" s="17">
        <v>27.746079999999999</v>
      </c>
      <c r="O40" s="16">
        <v>188.56381999999999</v>
      </c>
      <c r="P40" s="16">
        <v>451.05633999999998</v>
      </c>
      <c r="Q40" s="31">
        <f t="shared" si="2"/>
        <v>27.746079999999999</v>
      </c>
      <c r="R40" s="32">
        <f t="shared" si="3"/>
        <v>188.56381999999999</v>
      </c>
      <c r="S40" s="33">
        <f t="shared" si="4"/>
        <v>451.05633999999998</v>
      </c>
      <c r="T40" s="93"/>
      <c r="U40" s="94"/>
      <c r="V40" s="94"/>
      <c r="W40" s="95"/>
    </row>
    <row r="41" spans="1:23" x14ac:dyDescent="0.25">
      <c r="A41" s="122"/>
      <c r="B41" s="34">
        <v>10000000000</v>
      </c>
      <c r="C41" s="35">
        <f t="shared" si="0"/>
        <v>0.01</v>
      </c>
      <c r="D41" s="92" t="s">
        <v>114</v>
      </c>
      <c r="E41" s="6" t="s">
        <v>169</v>
      </c>
      <c r="F41">
        <v>2.0950000000000002</v>
      </c>
      <c r="G41" s="30">
        <f t="shared" si="1"/>
        <v>2.0950000000000003E-2</v>
      </c>
      <c r="H41" s="16">
        <v>3.49</v>
      </c>
      <c r="I41" s="16">
        <v>21.65</v>
      </c>
      <c r="J41" s="16">
        <v>135.33000000000001</v>
      </c>
      <c r="K41" s="17">
        <v>7.3115500000000013</v>
      </c>
      <c r="L41" s="16">
        <v>45.356749999999998</v>
      </c>
      <c r="M41" s="16">
        <v>283.51634999999999</v>
      </c>
      <c r="N41" s="17">
        <v>6.4316500000000003</v>
      </c>
      <c r="O41" s="16">
        <v>44.141650000000013</v>
      </c>
      <c r="P41" s="16">
        <v>96.076700000000002</v>
      </c>
      <c r="Q41" s="31">
        <f t="shared" si="2"/>
        <v>6.4316499999999999E-2</v>
      </c>
      <c r="R41" s="32">
        <f t="shared" si="3"/>
        <v>0.44141650000000016</v>
      </c>
      <c r="S41" s="33">
        <f t="shared" si="4"/>
        <v>0.96076700000000004</v>
      </c>
      <c r="T41" s="117">
        <f>(G41-G42)/G42</f>
        <v>-0.99768942318297127</v>
      </c>
      <c r="U41" s="118">
        <f>(Q41-Q42)/Q42</f>
        <v>-0.99768187227834038</v>
      </c>
      <c r="V41" s="118">
        <f>(R41-R42)/R42</f>
        <v>-0.99759704572878594</v>
      </c>
      <c r="W41" s="119">
        <f>(S41-S42)/S42</f>
        <v>-0.9978056936668267</v>
      </c>
    </row>
    <row r="42" spans="1:23" x14ac:dyDescent="0.25">
      <c r="A42" s="122"/>
      <c r="B42" s="34">
        <v>100000000</v>
      </c>
      <c r="C42" s="35">
        <f t="shared" si="0"/>
        <v>1</v>
      </c>
      <c r="D42" s="92"/>
      <c r="E42" s="6" t="s">
        <v>170</v>
      </c>
      <c r="F42">
        <v>9.0670000000000002</v>
      </c>
      <c r="G42" s="30">
        <f t="shared" si="1"/>
        <v>9.0670000000000002</v>
      </c>
      <c r="H42" s="16">
        <v>3.48</v>
      </c>
      <c r="I42" s="16">
        <v>20.84</v>
      </c>
      <c r="J42" s="16">
        <v>128.06</v>
      </c>
      <c r="K42" s="17">
        <v>31.553159999999998</v>
      </c>
      <c r="L42" s="16">
        <v>188.95627999999999</v>
      </c>
      <c r="M42" s="16">
        <v>1161.1200200000001</v>
      </c>
      <c r="N42" s="17">
        <v>27.74502</v>
      </c>
      <c r="O42" s="16">
        <v>183.69741999999999</v>
      </c>
      <c r="P42" s="16">
        <v>437.84543000000002</v>
      </c>
      <c r="Q42" s="31">
        <f t="shared" si="2"/>
        <v>27.74502</v>
      </c>
      <c r="R42" s="32">
        <f t="shared" si="3"/>
        <v>183.69741999999999</v>
      </c>
      <c r="S42" s="33">
        <f t="shared" si="4"/>
        <v>437.84543000000002</v>
      </c>
      <c r="T42" s="93"/>
      <c r="U42" s="94"/>
      <c r="V42" s="94"/>
      <c r="W42" s="95"/>
    </row>
    <row r="43" spans="1:23" x14ac:dyDescent="0.25">
      <c r="A43" s="122" t="s">
        <v>33</v>
      </c>
      <c r="B43" s="34">
        <v>10000000000</v>
      </c>
      <c r="C43" s="35">
        <f t="shared" si="0"/>
        <v>0.01</v>
      </c>
      <c r="D43" s="92" t="s">
        <v>111</v>
      </c>
      <c r="E43" s="6" t="s">
        <v>169</v>
      </c>
      <c r="F43">
        <v>2.0939999999999999</v>
      </c>
      <c r="G43" s="30">
        <f t="shared" si="1"/>
        <v>2.094E-2</v>
      </c>
      <c r="H43" s="16">
        <v>3.48</v>
      </c>
      <c r="I43" s="16">
        <v>21.48</v>
      </c>
      <c r="J43" s="16">
        <v>132.24</v>
      </c>
      <c r="K43" s="17">
        <v>7.2871199999999998</v>
      </c>
      <c r="L43" s="16">
        <v>44.979119999999988</v>
      </c>
      <c r="M43" s="16">
        <v>276.91055999999998</v>
      </c>
      <c r="N43" s="17">
        <v>6.4076399999999998</v>
      </c>
      <c r="O43" s="16">
        <v>43.764599999999987</v>
      </c>
      <c r="P43" s="16">
        <v>89.476619999999983</v>
      </c>
      <c r="Q43" s="31">
        <f t="shared" si="2"/>
        <v>6.4076400000000006E-2</v>
      </c>
      <c r="R43" s="32">
        <f t="shared" si="3"/>
        <v>0.43764599999999987</v>
      </c>
      <c r="S43" s="33">
        <f t="shared" si="4"/>
        <v>0.89476619999999985</v>
      </c>
      <c r="T43" s="117">
        <f>(G43-G44)/G44</f>
        <v>-0.99766555183946493</v>
      </c>
      <c r="U43" s="118">
        <f>(Q43-Q44)/Q44</f>
        <v>-0.99765789791106962</v>
      </c>
      <c r="V43" s="118">
        <f>(R43-R44)/R44</f>
        <v>-0.99754082829862989</v>
      </c>
      <c r="W43" s="119">
        <f>(S43-S44)/S44</f>
        <v>-0.99781391694280819</v>
      </c>
    </row>
    <row r="44" spans="1:23" x14ac:dyDescent="0.25">
      <c r="A44" s="122"/>
      <c r="B44" s="34">
        <v>100000000</v>
      </c>
      <c r="C44" s="35">
        <f t="shared" si="0"/>
        <v>1</v>
      </c>
      <c r="D44" s="92"/>
      <c r="E44" s="6" t="s">
        <v>170</v>
      </c>
      <c r="F44">
        <v>8.9700000000000006</v>
      </c>
      <c r="G44" s="30">
        <f t="shared" si="1"/>
        <v>8.9700000000000006</v>
      </c>
      <c r="H44" s="16">
        <v>3.47</v>
      </c>
      <c r="I44" s="16">
        <v>20.420000000000002</v>
      </c>
      <c r="J44" s="16">
        <v>128.22</v>
      </c>
      <c r="K44" s="17">
        <v>31.125900000000009</v>
      </c>
      <c r="L44" s="16">
        <v>183.16739999999999</v>
      </c>
      <c r="M44" s="16">
        <v>1150.1333999999999</v>
      </c>
      <c r="N44" s="17">
        <v>27.358499999999999</v>
      </c>
      <c r="O44" s="16">
        <v>177.9648</v>
      </c>
      <c r="P44" s="16">
        <v>409.30110000000008</v>
      </c>
      <c r="Q44" s="31">
        <f t="shared" si="2"/>
        <v>27.358499999999999</v>
      </c>
      <c r="R44" s="32">
        <f t="shared" si="3"/>
        <v>177.9648</v>
      </c>
      <c r="S44" s="33">
        <f t="shared" si="4"/>
        <v>409.30110000000008</v>
      </c>
      <c r="T44" s="93"/>
      <c r="U44" s="94"/>
      <c r="V44" s="94"/>
      <c r="W44" s="95"/>
    </row>
    <row r="45" spans="1:23" x14ac:dyDescent="0.25">
      <c r="A45" s="122"/>
      <c r="B45" s="34">
        <v>10000000000</v>
      </c>
      <c r="C45" s="35">
        <f t="shared" si="0"/>
        <v>0.01</v>
      </c>
      <c r="D45" s="92" t="s">
        <v>114</v>
      </c>
      <c r="E45" s="6" t="s">
        <v>169</v>
      </c>
      <c r="F45">
        <v>2.0939999999999999</v>
      </c>
      <c r="G45" s="30">
        <f t="shared" si="1"/>
        <v>2.094E-2</v>
      </c>
      <c r="H45" s="16">
        <v>3.47</v>
      </c>
      <c r="I45" s="16">
        <v>21.5</v>
      </c>
      <c r="J45" s="16">
        <v>131.44999999999999</v>
      </c>
      <c r="K45" s="17">
        <v>7.2661800000000003</v>
      </c>
      <c r="L45" s="16">
        <v>45.020999999999987</v>
      </c>
      <c r="M45" s="16">
        <v>275.25630000000001</v>
      </c>
      <c r="N45" s="17">
        <v>6.3866999999999994</v>
      </c>
      <c r="O45" s="16">
        <v>43.806480000000001</v>
      </c>
      <c r="P45" s="16">
        <v>87.822359999999989</v>
      </c>
      <c r="Q45" s="31">
        <f t="shared" si="2"/>
        <v>6.3866999999999993E-2</v>
      </c>
      <c r="R45" s="32">
        <f t="shared" si="3"/>
        <v>0.43806480000000003</v>
      </c>
      <c r="S45" s="33">
        <f t="shared" si="4"/>
        <v>0.87822359999999988</v>
      </c>
      <c r="T45" s="117">
        <f>(G45-G46)/G46</f>
        <v>-0.99769965945292771</v>
      </c>
      <c r="U45" s="118">
        <f>(Q45-Q46)/Q46</f>
        <v>-0.99769209254323332</v>
      </c>
      <c r="V45" s="118">
        <f>(R45-R46)/R46</f>
        <v>-0.99763406468806515</v>
      </c>
      <c r="W45" s="119">
        <f>(S45-S46)/S46</f>
        <v>-0.99795644391984284</v>
      </c>
    </row>
    <row r="46" spans="1:23" x14ac:dyDescent="0.25">
      <c r="A46" s="122"/>
      <c r="B46" s="34">
        <v>100000000</v>
      </c>
      <c r="C46" s="35">
        <f t="shared" si="0"/>
        <v>1</v>
      </c>
      <c r="D46" s="92"/>
      <c r="E46" s="6" t="s">
        <v>170</v>
      </c>
      <c r="F46">
        <v>9.1029999999999998</v>
      </c>
      <c r="G46" s="30">
        <f t="shared" si="1"/>
        <v>9.1029999999999998</v>
      </c>
      <c r="H46" s="16">
        <v>3.46</v>
      </c>
      <c r="I46" s="16">
        <v>20.92</v>
      </c>
      <c r="J46" s="16">
        <v>129.80000000000001</v>
      </c>
      <c r="K46" s="17">
        <v>31.496379999999998</v>
      </c>
      <c r="L46" s="16">
        <v>190.43476000000001</v>
      </c>
      <c r="M46" s="16">
        <v>1181.5694000000001</v>
      </c>
      <c r="N46" s="17">
        <v>27.673120000000001</v>
      </c>
      <c r="O46" s="16">
        <v>185.15502000000001</v>
      </c>
      <c r="P46" s="16">
        <v>429.75263000000001</v>
      </c>
      <c r="Q46" s="31">
        <f t="shared" si="2"/>
        <v>27.673120000000001</v>
      </c>
      <c r="R46" s="32">
        <f t="shared" si="3"/>
        <v>185.15502000000001</v>
      </c>
      <c r="S46" s="33">
        <f t="shared" si="4"/>
        <v>429.75263000000001</v>
      </c>
      <c r="T46" s="93"/>
      <c r="U46" s="94"/>
      <c r="V46" s="94"/>
      <c r="W46" s="95"/>
    </row>
    <row r="47" spans="1:23" x14ac:dyDescent="0.25">
      <c r="A47" s="123" t="s">
        <v>37</v>
      </c>
      <c r="B47" s="34">
        <v>100000000</v>
      </c>
      <c r="C47" s="35">
        <f t="shared" si="0"/>
        <v>1</v>
      </c>
      <c r="D47" s="92" t="s">
        <v>111</v>
      </c>
      <c r="E47" s="6" t="s">
        <v>169</v>
      </c>
      <c r="F47">
        <v>2.0070000000000001</v>
      </c>
      <c r="G47" s="30">
        <f t="shared" si="1"/>
        <v>2.0070000000000001</v>
      </c>
      <c r="H47" s="16">
        <v>3.48</v>
      </c>
      <c r="I47" s="16">
        <v>17.600000000000001</v>
      </c>
      <c r="J47" s="16">
        <v>125.04</v>
      </c>
      <c r="K47" s="17">
        <v>6.9843600000000006</v>
      </c>
      <c r="L47" s="16">
        <v>35.323200000000007</v>
      </c>
      <c r="M47" s="16">
        <v>250.95527999999999</v>
      </c>
      <c r="N47" s="17">
        <v>6.1414200000000001</v>
      </c>
      <c r="O47" s="16">
        <v>34.159140000000001</v>
      </c>
      <c r="P47" s="16">
        <v>91.378710000000012</v>
      </c>
      <c r="Q47" s="31">
        <f t="shared" si="2"/>
        <v>6.1414200000000001</v>
      </c>
      <c r="R47" s="32">
        <f t="shared" si="3"/>
        <v>34.159140000000001</v>
      </c>
      <c r="S47" s="33">
        <f t="shared" si="4"/>
        <v>91.378710000000012</v>
      </c>
      <c r="T47" s="117">
        <f>(G47-G48)/G48</f>
        <v>-0.96659009188973233</v>
      </c>
      <c r="U47" s="118">
        <f>(Q47-Q48)/Q48</f>
        <v>-0.9659218937275269</v>
      </c>
      <c r="V47" s="118">
        <f>(R47-R48)/R48</f>
        <v>-0.97853391332439577</v>
      </c>
      <c r="W47" s="119">
        <f>(S47-S48)/S48</f>
        <v>-0.97326150261451072</v>
      </c>
    </row>
    <row r="48" spans="1:23" x14ac:dyDescent="0.25">
      <c r="A48" s="124"/>
      <c r="B48" s="34">
        <v>100000000</v>
      </c>
      <c r="C48" s="35">
        <f t="shared" si="0"/>
        <v>1</v>
      </c>
      <c r="D48" s="92"/>
      <c r="E48" s="6" t="s">
        <v>170</v>
      </c>
      <c r="F48">
        <v>60.072000000000003</v>
      </c>
      <c r="G48" s="30">
        <f t="shared" si="1"/>
        <v>60.072000000000003</v>
      </c>
      <c r="H48" s="16">
        <v>3.42</v>
      </c>
      <c r="I48" s="16">
        <v>27.07</v>
      </c>
      <c r="J48" s="16">
        <v>143.58000000000001</v>
      </c>
      <c r="K48" s="17">
        <v>205.44623999999999</v>
      </c>
      <c r="L48" s="16">
        <v>1626.14904</v>
      </c>
      <c r="M48" s="16">
        <v>8625.1377600000014</v>
      </c>
      <c r="N48" s="17">
        <v>180.21600000000001</v>
      </c>
      <c r="O48" s="16">
        <v>1591.30728</v>
      </c>
      <c r="P48" s="16">
        <v>3417.4960799999999</v>
      </c>
      <c r="Q48" s="31">
        <f t="shared" si="2"/>
        <v>180.21600000000001</v>
      </c>
      <c r="R48" s="32">
        <f t="shared" si="3"/>
        <v>1591.30728</v>
      </c>
      <c r="S48" s="33">
        <f t="shared" si="4"/>
        <v>3417.4960799999999</v>
      </c>
      <c r="T48" s="93"/>
      <c r="U48" s="94"/>
      <c r="V48" s="94"/>
      <c r="W48" s="95"/>
    </row>
    <row r="49" spans="1:23" x14ac:dyDescent="0.25">
      <c r="A49" s="124"/>
      <c r="B49" s="34">
        <v>100000000</v>
      </c>
      <c r="C49" s="35">
        <f t="shared" si="0"/>
        <v>1</v>
      </c>
      <c r="D49" s="92" t="s">
        <v>114</v>
      </c>
      <c r="E49" s="6" t="s">
        <v>169</v>
      </c>
      <c r="F49">
        <v>1.571</v>
      </c>
      <c r="G49" s="30">
        <f t="shared" si="1"/>
        <v>1.571</v>
      </c>
      <c r="H49" s="16">
        <v>3.48</v>
      </c>
      <c r="I49" s="16">
        <v>20.07</v>
      </c>
      <c r="J49" s="16">
        <v>131.18</v>
      </c>
      <c r="K49" s="17">
        <v>5.4670800000000002</v>
      </c>
      <c r="L49" s="16">
        <v>31.529969999999999</v>
      </c>
      <c r="M49" s="16">
        <v>206.08377999999999</v>
      </c>
      <c r="N49" s="17">
        <v>4.8072600000000003</v>
      </c>
      <c r="O49" s="16">
        <v>30.618790000000001</v>
      </c>
      <c r="P49" s="16">
        <v>81.173569999999998</v>
      </c>
      <c r="Q49" s="31">
        <f t="shared" si="2"/>
        <v>4.8072600000000003</v>
      </c>
      <c r="R49" s="32">
        <f t="shared" si="3"/>
        <v>30.618790000000001</v>
      </c>
      <c r="S49" s="33">
        <f t="shared" si="4"/>
        <v>81.173569999999998</v>
      </c>
      <c r="T49" s="117">
        <f>(G49-G50)/G50</f>
        <v>-0.97298087506879471</v>
      </c>
      <c r="U49" s="118">
        <f>(Q49-Q50)/Q50</f>
        <v>-0.97244049257017051</v>
      </c>
      <c r="V49" s="118">
        <f>(R49-R50)/R50</f>
        <v>-0.97964426962082751</v>
      </c>
      <c r="W49" s="119">
        <f>(S49-S50)/S50</f>
        <v>-0.9747818246893899</v>
      </c>
    </row>
    <row r="50" spans="1:23" x14ac:dyDescent="0.25">
      <c r="A50" s="125"/>
      <c r="B50" s="34">
        <v>100000000</v>
      </c>
      <c r="C50" s="35">
        <f t="shared" si="0"/>
        <v>1</v>
      </c>
      <c r="D50" s="92"/>
      <c r="E50" s="6" t="s">
        <v>170</v>
      </c>
      <c r="F50">
        <v>58.143999999999998</v>
      </c>
      <c r="G50" s="30">
        <f t="shared" si="1"/>
        <v>58.143999999999998</v>
      </c>
      <c r="H50" s="16">
        <v>3.42</v>
      </c>
      <c r="I50" s="16">
        <v>26.45</v>
      </c>
      <c r="J50" s="16">
        <v>142.05000000000001</v>
      </c>
      <c r="K50" s="17">
        <v>198.85248000000001</v>
      </c>
      <c r="L50" s="16">
        <v>1537.9087999999999</v>
      </c>
      <c r="M50" s="16">
        <v>8259.3552</v>
      </c>
      <c r="N50" s="17">
        <v>174.43199999999999</v>
      </c>
      <c r="O50" s="16">
        <v>1504.1852799999999</v>
      </c>
      <c r="P50" s="16">
        <v>3218.8518399999998</v>
      </c>
      <c r="Q50" s="31">
        <f t="shared" si="2"/>
        <v>174.43199999999999</v>
      </c>
      <c r="R50" s="32">
        <f t="shared" si="3"/>
        <v>1504.1852799999999</v>
      </c>
      <c r="S50" s="33">
        <f t="shared" si="4"/>
        <v>3218.8518399999998</v>
      </c>
      <c r="T50" s="93"/>
      <c r="U50" s="94"/>
      <c r="V50" s="94"/>
      <c r="W50" s="95"/>
    </row>
    <row r="51" spans="1:23" x14ac:dyDescent="0.25">
      <c r="A51" s="122" t="s">
        <v>39</v>
      </c>
      <c r="B51" s="34">
        <v>10000000000</v>
      </c>
      <c r="C51" s="35">
        <f t="shared" si="0"/>
        <v>0.01</v>
      </c>
      <c r="D51" s="92" t="s">
        <v>111</v>
      </c>
      <c r="E51" s="6" t="s">
        <v>169</v>
      </c>
      <c r="F51">
        <v>49.692</v>
      </c>
      <c r="G51" s="30">
        <f t="shared" si="1"/>
        <v>0.49692000000000003</v>
      </c>
      <c r="H51" s="16">
        <v>3.44</v>
      </c>
      <c r="I51" s="16">
        <v>24.91</v>
      </c>
      <c r="J51" s="16">
        <v>138.57</v>
      </c>
      <c r="K51" s="17">
        <v>170.94048000000001</v>
      </c>
      <c r="L51" s="16">
        <v>1237.82772</v>
      </c>
      <c r="M51" s="16">
        <v>6885.8204400000004</v>
      </c>
      <c r="N51" s="17">
        <v>150.06984</v>
      </c>
      <c r="O51" s="16">
        <v>1209.0063600000001</v>
      </c>
      <c r="P51" s="16">
        <v>2725.1092800000001</v>
      </c>
      <c r="Q51" s="31">
        <f t="shared" si="2"/>
        <v>1.5006984000000001</v>
      </c>
      <c r="R51" s="32">
        <f t="shared" si="3"/>
        <v>12.090063600000001</v>
      </c>
      <c r="S51" s="33">
        <f t="shared" si="4"/>
        <v>27.251092800000002</v>
      </c>
      <c r="T51" s="117">
        <f>(G51-G52)/G52</f>
        <v>-0.9829955856688225</v>
      </c>
      <c r="U51" s="118">
        <f>(Q51-Q52)/Q52</f>
        <v>-0.98293909259795476</v>
      </c>
      <c r="V51" s="118">
        <f>(R51-R52)/R52</f>
        <v>-0.98447006754213406</v>
      </c>
      <c r="W51" s="119">
        <f>(S51-S52)/S52</f>
        <v>-0.98381880822624035</v>
      </c>
    </row>
    <row r="52" spans="1:23" x14ac:dyDescent="0.25">
      <c r="A52" s="122"/>
      <c r="B52" s="34">
        <v>100000000</v>
      </c>
      <c r="C52" s="35">
        <f t="shared" si="0"/>
        <v>1</v>
      </c>
      <c r="D52" s="92"/>
      <c r="E52" s="6" t="s">
        <v>170</v>
      </c>
      <c r="F52">
        <v>29.222999999999999</v>
      </c>
      <c r="G52" s="30">
        <f t="shared" si="1"/>
        <v>29.222999999999999</v>
      </c>
      <c r="H52" s="16">
        <v>3.43</v>
      </c>
      <c r="I52" s="16">
        <v>27.22</v>
      </c>
      <c r="J52" s="16">
        <v>143.99</v>
      </c>
      <c r="K52" s="17">
        <v>100.23488999999999</v>
      </c>
      <c r="L52" s="16">
        <v>795.45005999999989</v>
      </c>
      <c r="M52" s="16">
        <v>4207.8197700000001</v>
      </c>
      <c r="N52" s="17">
        <v>87.961229999999986</v>
      </c>
      <c r="O52" s="16">
        <v>778.50072</v>
      </c>
      <c r="P52" s="16">
        <v>1684.12149</v>
      </c>
      <c r="Q52" s="31">
        <f t="shared" si="2"/>
        <v>87.961229999999986</v>
      </c>
      <c r="R52" s="32">
        <f t="shared" si="3"/>
        <v>778.50072</v>
      </c>
      <c r="S52" s="33">
        <f t="shared" si="4"/>
        <v>1684.12149</v>
      </c>
      <c r="T52" s="93"/>
      <c r="U52" s="94"/>
      <c r="V52" s="94"/>
      <c r="W52" s="95"/>
    </row>
    <row r="53" spans="1:23" x14ac:dyDescent="0.25">
      <c r="A53" s="122"/>
      <c r="B53" s="34">
        <v>10000000000</v>
      </c>
      <c r="C53" s="35">
        <f t="shared" si="0"/>
        <v>0.01</v>
      </c>
      <c r="D53" s="92" t="s">
        <v>114</v>
      </c>
      <c r="E53" s="6" t="s">
        <v>169</v>
      </c>
      <c r="F53">
        <v>108.03100000000001</v>
      </c>
      <c r="G53" s="30">
        <f t="shared" si="1"/>
        <v>1.0803100000000001</v>
      </c>
      <c r="H53" s="16">
        <v>3.43</v>
      </c>
      <c r="I53" s="16">
        <v>20.16</v>
      </c>
      <c r="J53" s="16">
        <v>129.54</v>
      </c>
      <c r="K53" s="17">
        <v>370.54633000000001</v>
      </c>
      <c r="L53" s="16">
        <v>2177.9049599999998</v>
      </c>
      <c r="M53" s="16">
        <v>13994.33574</v>
      </c>
      <c r="N53" s="17">
        <v>325.17331000000001</v>
      </c>
      <c r="O53" s="16">
        <v>2115.2469799999999</v>
      </c>
      <c r="P53" s="16">
        <v>4948.9001099999996</v>
      </c>
      <c r="Q53" s="31">
        <f t="shared" si="2"/>
        <v>3.2517331</v>
      </c>
      <c r="R53" s="32">
        <f t="shared" si="3"/>
        <v>21.152469799999999</v>
      </c>
      <c r="S53" s="33">
        <f t="shared" si="4"/>
        <v>49.489001099999996</v>
      </c>
      <c r="T53" s="117">
        <f>(G53-G54)/G54</f>
        <v>-0.94771512922272771</v>
      </c>
      <c r="U53" s="118">
        <f>(Q53-Q54)/Q54</f>
        <v>-0.94788825793391074</v>
      </c>
      <c r="V53" s="118">
        <f>(R53-R54)/R54</f>
        <v>-0.96147016297256349</v>
      </c>
      <c r="W53" s="119">
        <f>(S53-S54)/S54</f>
        <v>-0.95928658965992109</v>
      </c>
    </row>
    <row r="54" spans="1:23" x14ac:dyDescent="0.25">
      <c r="A54" s="122"/>
      <c r="B54" s="34">
        <v>100000000</v>
      </c>
      <c r="C54" s="35">
        <f t="shared" si="0"/>
        <v>1</v>
      </c>
      <c r="D54" s="92"/>
      <c r="E54" s="6" t="s">
        <v>170</v>
      </c>
      <c r="F54">
        <v>20.661999999999999</v>
      </c>
      <c r="G54" s="30">
        <f t="shared" si="1"/>
        <v>20.661999999999999</v>
      </c>
      <c r="H54" s="16">
        <v>3.44</v>
      </c>
      <c r="I54" s="16">
        <v>27.15</v>
      </c>
      <c r="J54" s="16">
        <v>145.18</v>
      </c>
      <c r="K54" s="17">
        <v>71.077280000000002</v>
      </c>
      <c r="L54" s="16">
        <v>560.97329999999999</v>
      </c>
      <c r="M54" s="16">
        <v>2999.7091599999999</v>
      </c>
      <c r="N54" s="17">
        <v>62.399239999999999</v>
      </c>
      <c r="O54" s="16">
        <v>548.98933999999997</v>
      </c>
      <c r="P54" s="16">
        <v>1215.54546</v>
      </c>
      <c r="Q54" s="31">
        <f t="shared" si="2"/>
        <v>62.399239999999999</v>
      </c>
      <c r="R54" s="32">
        <f t="shared" si="3"/>
        <v>548.98933999999997</v>
      </c>
      <c r="S54" s="33">
        <f t="shared" si="4"/>
        <v>1215.54546</v>
      </c>
      <c r="T54" s="93"/>
      <c r="U54" s="94"/>
      <c r="V54" s="94"/>
      <c r="W54" s="95"/>
    </row>
    <row r="55" spans="1:23" x14ac:dyDescent="0.25">
      <c r="A55" s="122" t="s">
        <v>49</v>
      </c>
      <c r="B55" s="34">
        <v>100000000</v>
      </c>
      <c r="C55" s="35">
        <f t="shared" si="0"/>
        <v>1</v>
      </c>
      <c r="D55" s="92" t="s">
        <v>111</v>
      </c>
      <c r="E55" s="6" t="s">
        <v>169</v>
      </c>
      <c r="F55">
        <v>1.0469999999999999</v>
      </c>
      <c r="G55" s="30">
        <f t="shared" si="1"/>
        <v>1.0469999999999999</v>
      </c>
      <c r="H55" s="16">
        <v>3.5</v>
      </c>
      <c r="I55" s="16">
        <v>18.95</v>
      </c>
      <c r="J55" s="16">
        <v>135.85</v>
      </c>
      <c r="K55" s="17">
        <v>3.6644999999999999</v>
      </c>
      <c r="L55" s="16">
        <v>19.84065</v>
      </c>
      <c r="M55" s="16">
        <v>142.23495</v>
      </c>
      <c r="N55" s="17">
        <v>3.2247599999999998</v>
      </c>
      <c r="O55" s="16">
        <v>19.23339</v>
      </c>
      <c r="P55" s="16">
        <v>44.926769999999991</v>
      </c>
      <c r="Q55" s="31">
        <f t="shared" si="2"/>
        <v>3.2247599999999998</v>
      </c>
      <c r="R55" s="32">
        <f t="shared" si="3"/>
        <v>19.23339</v>
      </c>
      <c r="S55" s="33">
        <f t="shared" si="4"/>
        <v>44.926769999999991</v>
      </c>
      <c r="T55" s="117">
        <f>(G55-G56)/G56</f>
        <v>-0.9851227691258384</v>
      </c>
      <c r="U55" s="118">
        <f>(Q55-Q56)/Q56</f>
        <v>-0.98477678701248572</v>
      </c>
      <c r="V55" s="118">
        <f>(R55-R56)/R56</f>
        <v>-0.9896204051971762</v>
      </c>
      <c r="W55" s="119">
        <f>(S55-S56)/S56</f>
        <v>-0.98850383618205873</v>
      </c>
    </row>
    <row r="56" spans="1:23" x14ac:dyDescent="0.25">
      <c r="A56" s="122"/>
      <c r="B56" s="34">
        <v>100000000</v>
      </c>
      <c r="C56" s="35">
        <f t="shared" si="0"/>
        <v>1</v>
      </c>
      <c r="D56" s="92"/>
      <c r="E56" s="6" t="s">
        <v>170</v>
      </c>
      <c r="F56">
        <v>70.376000000000005</v>
      </c>
      <c r="G56" s="30">
        <f t="shared" si="1"/>
        <v>70.376000000000005</v>
      </c>
      <c r="H56" s="16">
        <v>3.43</v>
      </c>
      <c r="I56" s="16">
        <v>26.91</v>
      </c>
      <c r="J56" s="16">
        <v>143.27000000000001</v>
      </c>
      <c r="K56" s="17">
        <v>241.38968</v>
      </c>
      <c r="L56" s="16">
        <v>1893.81816</v>
      </c>
      <c r="M56" s="16">
        <v>10082.76952</v>
      </c>
      <c r="N56" s="17">
        <v>211.83176</v>
      </c>
      <c r="O56" s="16">
        <v>1853.00008</v>
      </c>
      <c r="P56" s="16">
        <v>3907.97928</v>
      </c>
      <c r="Q56" s="31">
        <f t="shared" si="2"/>
        <v>211.83176</v>
      </c>
      <c r="R56" s="32">
        <f t="shared" si="3"/>
        <v>1853.00008</v>
      </c>
      <c r="S56" s="33">
        <f t="shared" si="4"/>
        <v>3907.97928</v>
      </c>
      <c r="T56" s="93"/>
      <c r="U56" s="94"/>
      <c r="V56" s="94"/>
      <c r="W56" s="95"/>
    </row>
    <row r="57" spans="1:23" x14ac:dyDescent="0.25">
      <c r="A57" s="122"/>
      <c r="B57" s="34">
        <v>100000000</v>
      </c>
      <c r="C57" s="35">
        <f t="shared" si="0"/>
        <v>1</v>
      </c>
      <c r="D57" s="92" t="s">
        <v>114</v>
      </c>
      <c r="E57" s="6" t="s">
        <v>169</v>
      </c>
      <c r="F57">
        <v>1.0469999999999999</v>
      </c>
      <c r="G57" s="30">
        <f t="shared" si="1"/>
        <v>1.0469999999999999</v>
      </c>
      <c r="H57" s="16">
        <v>3.49</v>
      </c>
      <c r="I57" s="16">
        <v>19.850000000000001</v>
      </c>
      <c r="J57" s="16">
        <v>136.84</v>
      </c>
      <c r="K57" s="17">
        <v>3.6540300000000001</v>
      </c>
      <c r="L57" s="16">
        <v>20.78295</v>
      </c>
      <c r="M57" s="16">
        <v>143.27148</v>
      </c>
      <c r="N57" s="17">
        <v>3.2142900000000001</v>
      </c>
      <c r="O57" s="16">
        <v>20.175689999999999</v>
      </c>
      <c r="P57" s="16">
        <v>45.963299999999997</v>
      </c>
      <c r="Q57" s="31">
        <f t="shared" si="2"/>
        <v>3.2142900000000001</v>
      </c>
      <c r="R57" s="32">
        <f t="shared" si="3"/>
        <v>20.175689999999999</v>
      </c>
      <c r="S57" s="33">
        <f t="shared" si="4"/>
        <v>45.963299999999997</v>
      </c>
      <c r="T57" s="117">
        <f>(G57-G58)/G58</f>
        <v>-0.97987583370173181</v>
      </c>
      <c r="U57" s="118">
        <f>(Q57-Q58)/Q58</f>
        <v>-0.97961016814003843</v>
      </c>
      <c r="V57" s="118">
        <f>(R57-R58)/R58</f>
        <v>-0.9854158448827518</v>
      </c>
      <c r="W57" s="119">
        <f>(S57-S58)/S58</f>
        <v>-0.98462494081980556</v>
      </c>
    </row>
    <row r="58" spans="1:23" x14ac:dyDescent="0.25">
      <c r="A58" s="122"/>
      <c r="B58" s="34">
        <v>100000000</v>
      </c>
      <c r="C58" s="35">
        <f t="shared" si="0"/>
        <v>1</v>
      </c>
      <c r="D58" s="92"/>
      <c r="E58" s="6" t="s">
        <v>170</v>
      </c>
      <c r="F58">
        <v>52.027000000000001</v>
      </c>
      <c r="G58" s="30">
        <f t="shared" si="1"/>
        <v>52.027000000000001</v>
      </c>
      <c r="H58" s="16">
        <v>3.45</v>
      </c>
      <c r="I58" s="16">
        <v>27.17</v>
      </c>
      <c r="J58" s="16">
        <v>145.19999999999999</v>
      </c>
      <c r="K58" s="17">
        <v>179.49315000000001</v>
      </c>
      <c r="L58" s="16">
        <v>1413.57359</v>
      </c>
      <c r="M58" s="16">
        <v>7554.3203999999996</v>
      </c>
      <c r="N58" s="17">
        <v>157.64180999999999</v>
      </c>
      <c r="O58" s="16">
        <v>1383.3979300000001</v>
      </c>
      <c r="P58" s="16">
        <v>2989.4714199999999</v>
      </c>
      <c r="Q58" s="31">
        <f t="shared" si="2"/>
        <v>157.64180999999999</v>
      </c>
      <c r="R58" s="32">
        <f t="shared" si="3"/>
        <v>1383.3979300000001</v>
      </c>
      <c r="S58" s="33">
        <f t="shared" si="4"/>
        <v>2989.4714199999999</v>
      </c>
      <c r="T58" s="93"/>
      <c r="U58" s="94"/>
      <c r="V58" s="94"/>
      <c r="W58" s="95"/>
    </row>
    <row r="59" spans="1:23" x14ac:dyDescent="0.25">
      <c r="A59" s="122" t="s">
        <v>51</v>
      </c>
      <c r="B59" s="34">
        <v>10000000000</v>
      </c>
      <c r="C59" s="35">
        <f t="shared" si="0"/>
        <v>0.01</v>
      </c>
      <c r="D59" s="92" t="s">
        <v>111</v>
      </c>
      <c r="E59" s="6" t="s">
        <v>169</v>
      </c>
      <c r="F59">
        <v>53.46</v>
      </c>
      <c r="G59" s="30">
        <f t="shared" si="1"/>
        <v>0.53459999999999996</v>
      </c>
      <c r="H59" s="16">
        <v>3.44</v>
      </c>
      <c r="I59" s="16">
        <v>27.3</v>
      </c>
      <c r="J59" s="16">
        <v>144.24</v>
      </c>
      <c r="K59" s="17">
        <v>183.9024</v>
      </c>
      <c r="L59" s="16">
        <v>1459.4580000000001</v>
      </c>
      <c r="M59" s="16">
        <v>7711.0704000000014</v>
      </c>
      <c r="N59" s="17">
        <v>161.44919999999999</v>
      </c>
      <c r="O59" s="16">
        <v>1428.4512</v>
      </c>
      <c r="P59" s="16">
        <v>2995.3638000000001</v>
      </c>
      <c r="Q59" s="31">
        <f t="shared" si="2"/>
        <v>1.614492</v>
      </c>
      <c r="R59" s="32">
        <f t="shared" si="3"/>
        <v>14.284511999999999</v>
      </c>
      <c r="S59" s="33">
        <f t="shared" si="4"/>
        <v>29.953638000000002</v>
      </c>
      <c r="T59" s="117">
        <f>(G59-G60)/G60</f>
        <v>-0.99279349716242271</v>
      </c>
      <c r="U59" s="118">
        <f>(Q59-Q60)/Q60</f>
        <v>-0.99284090836530137</v>
      </c>
      <c r="V59" s="118">
        <f>(R59-R60)/R60</f>
        <v>-0.99263359771155069</v>
      </c>
      <c r="W59" s="119">
        <f>(S59-S60)/S60</f>
        <v>-0.99289119095088985</v>
      </c>
    </row>
    <row r="60" spans="1:23" x14ac:dyDescent="0.25">
      <c r="A60" s="122"/>
      <c r="B60" s="34">
        <v>100000000</v>
      </c>
      <c r="C60" s="35">
        <f t="shared" si="0"/>
        <v>1</v>
      </c>
      <c r="D60" s="92"/>
      <c r="E60" s="6" t="s">
        <v>170</v>
      </c>
      <c r="F60">
        <v>74.183000000000007</v>
      </c>
      <c r="G60" s="30">
        <f t="shared" si="1"/>
        <v>74.183000000000007</v>
      </c>
      <c r="H60" s="16">
        <v>3.46</v>
      </c>
      <c r="I60" s="16">
        <v>26.72</v>
      </c>
      <c r="J60" s="16">
        <v>143.27000000000001</v>
      </c>
      <c r="K60" s="17">
        <v>256.67318</v>
      </c>
      <c r="L60" s="16">
        <v>1982.16976</v>
      </c>
      <c r="M60" s="16">
        <v>10628.198410000001</v>
      </c>
      <c r="N60" s="17">
        <v>225.51632000000001</v>
      </c>
      <c r="O60" s="16">
        <v>1939.1436200000001</v>
      </c>
      <c r="P60" s="16">
        <v>4213.5944</v>
      </c>
      <c r="Q60" s="31">
        <f t="shared" si="2"/>
        <v>225.51632000000001</v>
      </c>
      <c r="R60" s="32">
        <f t="shared" si="3"/>
        <v>1939.1436200000001</v>
      </c>
      <c r="S60" s="33">
        <f t="shared" si="4"/>
        <v>4213.5944</v>
      </c>
      <c r="T60" s="93"/>
      <c r="U60" s="94"/>
      <c r="V60" s="94"/>
      <c r="W60" s="95"/>
    </row>
    <row r="61" spans="1:23" x14ac:dyDescent="0.25">
      <c r="A61" s="122"/>
      <c r="B61" s="34">
        <v>10000000000</v>
      </c>
      <c r="C61" s="35">
        <f t="shared" si="0"/>
        <v>0.01</v>
      </c>
      <c r="D61" s="92" t="s">
        <v>114</v>
      </c>
      <c r="E61" s="6" t="s">
        <v>169</v>
      </c>
      <c r="F61">
        <v>53.252000000000002</v>
      </c>
      <c r="G61" s="30">
        <f t="shared" si="1"/>
        <v>0.53251999999999999</v>
      </c>
      <c r="H61" s="16">
        <v>3.45</v>
      </c>
      <c r="I61" s="16">
        <v>27.56</v>
      </c>
      <c r="J61" s="16">
        <v>145.33000000000001</v>
      </c>
      <c r="K61" s="17">
        <v>183.71940000000001</v>
      </c>
      <c r="L61" s="16">
        <v>1467.6251199999999</v>
      </c>
      <c r="M61" s="16">
        <v>7739.1131600000008</v>
      </c>
      <c r="N61" s="17">
        <v>161.35355999999999</v>
      </c>
      <c r="O61" s="16">
        <v>1436.7389599999999</v>
      </c>
      <c r="P61" s="16">
        <v>3041.22172</v>
      </c>
      <c r="Q61" s="31">
        <f t="shared" si="2"/>
        <v>1.6135355999999998</v>
      </c>
      <c r="R61" s="32">
        <f t="shared" si="3"/>
        <v>14.367389599999999</v>
      </c>
      <c r="S61" s="33">
        <f t="shared" si="4"/>
        <v>30.412217200000001</v>
      </c>
      <c r="T61" s="117">
        <f>(G61-G62)/G62</f>
        <v>-0.99014034438067033</v>
      </c>
      <c r="U61" s="118">
        <f>(Q61-Q62)/Q62</f>
        <v>-0.99017277745836541</v>
      </c>
      <c r="V61" s="118">
        <f>(R61-R62)/R62</f>
        <v>-0.99002574020961687</v>
      </c>
      <c r="W61" s="119">
        <f>(S61-S62)/S62</f>
        <v>-0.99035152617512123</v>
      </c>
    </row>
    <row r="62" spans="1:23" x14ac:dyDescent="0.25">
      <c r="A62" s="122"/>
      <c r="B62" s="34">
        <v>100000000</v>
      </c>
      <c r="C62" s="35">
        <f t="shared" si="0"/>
        <v>1</v>
      </c>
      <c r="D62" s="92"/>
      <c r="E62" s="6" t="s">
        <v>170</v>
      </c>
      <c r="F62">
        <v>54.01</v>
      </c>
      <c r="G62" s="30">
        <f t="shared" si="1"/>
        <v>54.01</v>
      </c>
      <c r="H62" s="16">
        <v>3.46</v>
      </c>
      <c r="I62" s="16">
        <v>27.25</v>
      </c>
      <c r="J62" s="16">
        <v>144.83000000000001</v>
      </c>
      <c r="K62" s="17">
        <v>186.87459999999999</v>
      </c>
      <c r="L62" s="16">
        <v>1471.7725</v>
      </c>
      <c r="M62" s="16">
        <v>7822.2683000000006</v>
      </c>
      <c r="N62" s="17">
        <v>164.19040000000001</v>
      </c>
      <c r="O62" s="16">
        <v>1440.4467</v>
      </c>
      <c r="P62" s="16">
        <v>3152.0236</v>
      </c>
      <c r="Q62" s="31">
        <f t="shared" si="2"/>
        <v>164.19040000000001</v>
      </c>
      <c r="R62" s="32">
        <f t="shared" si="3"/>
        <v>1440.4467</v>
      </c>
      <c r="S62" s="33">
        <f t="shared" si="4"/>
        <v>3152.0236</v>
      </c>
      <c r="T62" s="93"/>
      <c r="U62" s="94"/>
      <c r="V62" s="94"/>
      <c r="W62" s="95"/>
    </row>
    <row r="63" spans="1:23" x14ac:dyDescent="0.25">
      <c r="A63" s="122" t="s">
        <v>55</v>
      </c>
      <c r="B63" s="34">
        <v>100000000</v>
      </c>
      <c r="C63" s="35">
        <f t="shared" si="0"/>
        <v>1</v>
      </c>
      <c r="D63" s="92" t="s">
        <v>111</v>
      </c>
      <c r="E63" s="6" t="s">
        <v>169</v>
      </c>
      <c r="F63">
        <v>1.0469999999999999</v>
      </c>
      <c r="G63" s="30">
        <f t="shared" si="1"/>
        <v>1.0469999999999999</v>
      </c>
      <c r="H63" s="16">
        <v>3.51</v>
      </c>
      <c r="I63" s="16">
        <v>19.57</v>
      </c>
      <c r="J63" s="16">
        <v>138.86000000000001</v>
      </c>
      <c r="K63" s="17">
        <v>3.6749700000000001</v>
      </c>
      <c r="L63" s="16">
        <v>20.489789999999999</v>
      </c>
      <c r="M63" s="16">
        <v>145.38641999999999</v>
      </c>
      <c r="N63" s="17">
        <v>3.2352300000000001</v>
      </c>
      <c r="O63" s="16">
        <v>19.882529999999999</v>
      </c>
      <c r="P63" s="16">
        <v>55.888860000000001</v>
      </c>
      <c r="Q63" s="31">
        <f t="shared" si="2"/>
        <v>3.2352300000000001</v>
      </c>
      <c r="R63" s="32">
        <f t="shared" si="3"/>
        <v>19.882529999999999</v>
      </c>
      <c r="S63" s="33">
        <f t="shared" si="4"/>
        <v>55.888860000000001</v>
      </c>
      <c r="T63" s="117">
        <f>(G63-G64)/G64</f>
        <v>-0.98312596699329557</v>
      </c>
      <c r="U63" s="118">
        <f>(Q63-Q64)/Q64</f>
        <v>-0.98296053529715133</v>
      </c>
      <c r="V63" s="118">
        <f>(R63-R64)/R64</f>
        <v>-0.98799408442123193</v>
      </c>
      <c r="W63" s="119">
        <f>(S63-S64)/S64</f>
        <v>-0.9840096594727874</v>
      </c>
    </row>
    <row r="64" spans="1:23" x14ac:dyDescent="0.25">
      <c r="A64" s="122"/>
      <c r="B64" s="34">
        <v>100000000</v>
      </c>
      <c r="C64" s="35">
        <f t="shared" si="0"/>
        <v>1</v>
      </c>
      <c r="D64" s="92"/>
      <c r="E64" s="6" t="s">
        <v>170</v>
      </c>
      <c r="F64">
        <v>62.048000000000002</v>
      </c>
      <c r="G64" s="30">
        <f t="shared" si="1"/>
        <v>62.048000000000002</v>
      </c>
      <c r="H64" s="16">
        <v>3.48</v>
      </c>
      <c r="I64" s="16">
        <v>27.01</v>
      </c>
      <c r="J64" s="16">
        <v>144.94</v>
      </c>
      <c r="K64" s="17">
        <v>215.92704000000001</v>
      </c>
      <c r="L64" s="16">
        <v>1675.9164800000001</v>
      </c>
      <c r="M64" s="16">
        <v>8993.2371199999998</v>
      </c>
      <c r="N64" s="17">
        <v>189.86688000000001</v>
      </c>
      <c r="O64" s="16">
        <v>1656.0611200000001</v>
      </c>
      <c r="P64" s="16">
        <v>3495.1638400000002</v>
      </c>
      <c r="Q64" s="31">
        <f t="shared" si="2"/>
        <v>189.86688000000001</v>
      </c>
      <c r="R64" s="32">
        <f t="shared" si="3"/>
        <v>1656.0611200000001</v>
      </c>
      <c r="S64" s="33">
        <f t="shared" si="4"/>
        <v>3495.1638400000002</v>
      </c>
      <c r="T64" s="93"/>
      <c r="U64" s="94"/>
      <c r="V64" s="94"/>
      <c r="W64" s="95"/>
    </row>
    <row r="65" spans="1:23" x14ac:dyDescent="0.25">
      <c r="A65" s="122"/>
      <c r="B65" s="34">
        <v>100000000</v>
      </c>
      <c r="C65" s="35">
        <f t="shared" si="0"/>
        <v>1</v>
      </c>
      <c r="D65" s="92" t="s">
        <v>114</v>
      </c>
      <c r="E65" s="6" t="s">
        <v>169</v>
      </c>
      <c r="F65">
        <v>1.57</v>
      </c>
      <c r="G65" s="30">
        <f t="shared" si="1"/>
        <v>1.57</v>
      </c>
      <c r="H65" s="16">
        <v>3.51</v>
      </c>
      <c r="I65" s="16">
        <v>17.71</v>
      </c>
      <c r="J65" s="16">
        <v>132.47999999999999</v>
      </c>
      <c r="K65" s="17">
        <v>5.5106999999999999</v>
      </c>
      <c r="L65" s="16">
        <v>27.8047</v>
      </c>
      <c r="M65" s="16">
        <v>207.99359999999999</v>
      </c>
      <c r="N65" s="17">
        <v>4.8513000000000002</v>
      </c>
      <c r="O65" s="16">
        <v>26.894100000000002</v>
      </c>
      <c r="P65" s="16">
        <v>73.774300000000011</v>
      </c>
      <c r="Q65" s="31">
        <f t="shared" si="2"/>
        <v>4.8513000000000002</v>
      </c>
      <c r="R65" s="32">
        <f t="shared" si="3"/>
        <v>26.894100000000002</v>
      </c>
      <c r="S65" s="33">
        <f t="shared" si="4"/>
        <v>73.774300000000011</v>
      </c>
      <c r="T65" s="117">
        <f>(G65-G66)/G66</f>
        <v>-0.98045026647407485</v>
      </c>
      <c r="U65" s="118">
        <f>(Q65-Q66)/Q66</f>
        <v>-0.98025860241989904</v>
      </c>
      <c r="V65" s="118">
        <f>(R65-R66)/R66</f>
        <v>-0.98736752413055084</v>
      </c>
      <c r="W65" s="119">
        <f>(S65-S66)/S66</f>
        <v>-0.98354572849035959</v>
      </c>
    </row>
    <row r="66" spans="1:23" x14ac:dyDescent="0.25">
      <c r="A66" s="122"/>
      <c r="B66" s="34">
        <v>100000000</v>
      </c>
      <c r="C66" s="35">
        <f t="shared" si="0"/>
        <v>1</v>
      </c>
      <c r="D66" s="92"/>
      <c r="E66" s="6" t="s">
        <v>170</v>
      </c>
      <c r="F66">
        <v>80.308000000000007</v>
      </c>
      <c r="G66" s="30">
        <f t="shared" si="1"/>
        <v>80.308000000000007</v>
      </c>
      <c r="H66" s="16">
        <v>3.48</v>
      </c>
      <c r="I66" s="16">
        <v>26.83</v>
      </c>
      <c r="J66" s="16">
        <v>144.44</v>
      </c>
      <c r="K66" s="17">
        <v>279.47183999999999</v>
      </c>
      <c r="L66" s="16">
        <v>2154.6636400000002</v>
      </c>
      <c r="M66" s="16">
        <v>11599.687519999999</v>
      </c>
      <c r="N66" s="17">
        <v>245.74248</v>
      </c>
      <c r="O66" s="16">
        <v>2128.9650799999999</v>
      </c>
      <c r="P66" s="16">
        <v>4483.5956399999995</v>
      </c>
      <c r="Q66" s="31">
        <f t="shared" si="2"/>
        <v>245.74248</v>
      </c>
      <c r="R66" s="32">
        <f t="shared" si="3"/>
        <v>2128.9650799999999</v>
      </c>
      <c r="S66" s="33">
        <f t="shared" si="4"/>
        <v>4483.5956399999995</v>
      </c>
      <c r="T66" s="93"/>
      <c r="U66" s="94"/>
      <c r="V66" s="94"/>
      <c r="W66" s="95"/>
    </row>
    <row r="67" spans="1:23" x14ac:dyDescent="0.25">
      <c r="A67" s="122" t="s">
        <v>57</v>
      </c>
      <c r="B67" s="34">
        <v>10000000000</v>
      </c>
      <c r="C67" s="35">
        <f t="shared" si="0"/>
        <v>0.01</v>
      </c>
      <c r="D67" s="92" t="s">
        <v>111</v>
      </c>
      <c r="E67" s="6" t="s">
        <v>169</v>
      </c>
      <c r="F67">
        <v>1.571</v>
      </c>
      <c r="G67" s="30">
        <f t="shared" si="1"/>
        <v>1.5709999999999998E-2</v>
      </c>
      <c r="H67" s="16">
        <v>3.54</v>
      </c>
      <c r="I67" s="16">
        <v>19.739999999999998</v>
      </c>
      <c r="J67" s="16">
        <v>133.26</v>
      </c>
      <c r="K67" s="17">
        <v>5.5613400000000004</v>
      </c>
      <c r="L67" s="16">
        <v>31.01154</v>
      </c>
      <c r="M67" s="16">
        <v>209.35146</v>
      </c>
      <c r="N67" s="17">
        <v>4.9015199999999997</v>
      </c>
      <c r="O67" s="16">
        <v>30.100359999999998</v>
      </c>
      <c r="P67" s="16">
        <v>63.719760000000001</v>
      </c>
      <c r="Q67" s="31">
        <f t="shared" si="2"/>
        <v>4.9015199999999995E-2</v>
      </c>
      <c r="R67" s="32">
        <f t="shared" si="3"/>
        <v>0.30100359999999998</v>
      </c>
      <c r="S67" s="33">
        <f t="shared" si="4"/>
        <v>0.63719760000000003</v>
      </c>
      <c r="T67" s="117">
        <f>(G67-G68)/G68</f>
        <v>-0.99601673427991888</v>
      </c>
      <c r="U67" s="118">
        <f>(Q67-Q68)/Q68</f>
        <v>-0.99600392635155854</v>
      </c>
      <c r="V67" s="118">
        <f>(R67-R68)/R68</f>
        <v>-0.99625150436165255</v>
      </c>
      <c r="W67" s="119">
        <f>(S67-S68)/S68</f>
        <v>-0.99664949693889482</v>
      </c>
    </row>
    <row r="68" spans="1:23" x14ac:dyDescent="0.25">
      <c r="A68" s="122"/>
      <c r="B68" s="34">
        <v>100000000</v>
      </c>
      <c r="C68" s="35">
        <f t="shared" ref="C68:C106" si="5">100000000/B68</f>
        <v>1</v>
      </c>
      <c r="D68" s="92"/>
      <c r="E68" s="6" t="s">
        <v>170</v>
      </c>
      <c r="F68">
        <v>3.944</v>
      </c>
      <c r="G68" s="30">
        <f t="shared" ref="G68:G106" si="6">F68*C68</f>
        <v>3.944</v>
      </c>
      <c r="H68" s="16">
        <v>3.53</v>
      </c>
      <c r="I68" s="16">
        <v>20.94</v>
      </c>
      <c r="J68" s="16">
        <v>133.82</v>
      </c>
      <c r="K68" s="17">
        <v>13.922319999999999</v>
      </c>
      <c r="L68" s="16">
        <v>82.587360000000004</v>
      </c>
      <c r="M68" s="16">
        <v>527.78607999999997</v>
      </c>
      <c r="N68" s="17">
        <v>12.265840000000001</v>
      </c>
      <c r="O68" s="16">
        <v>80.299840000000003</v>
      </c>
      <c r="P68" s="16">
        <v>190.17967999999999</v>
      </c>
      <c r="Q68" s="31">
        <f t="shared" ref="Q68:Q106" si="7">N68*C68</f>
        <v>12.265840000000001</v>
      </c>
      <c r="R68" s="32">
        <f t="shared" ref="R68:R106" si="8">O68*C68</f>
        <v>80.299840000000003</v>
      </c>
      <c r="S68" s="33">
        <f t="shared" ref="S68:S106" si="9">P68*C68</f>
        <v>190.17967999999999</v>
      </c>
      <c r="T68" s="93"/>
      <c r="U68" s="94"/>
      <c r="V68" s="94"/>
      <c r="W68" s="95"/>
    </row>
    <row r="69" spans="1:23" x14ac:dyDescent="0.25">
      <c r="A69" s="122"/>
      <c r="B69" s="34">
        <v>10000000000</v>
      </c>
      <c r="C69" s="35">
        <f t="shared" si="5"/>
        <v>0.01</v>
      </c>
      <c r="D69" s="92" t="s">
        <v>114</v>
      </c>
      <c r="E69" s="6" t="s">
        <v>169</v>
      </c>
      <c r="F69">
        <v>1.571</v>
      </c>
      <c r="G69" s="30">
        <f t="shared" si="6"/>
        <v>1.5709999999999998E-2</v>
      </c>
      <c r="H69" s="16">
        <v>3.54</v>
      </c>
      <c r="I69" s="16">
        <v>19.72</v>
      </c>
      <c r="J69" s="16">
        <v>133.41</v>
      </c>
      <c r="K69" s="17">
        <v>5.5613400000000004</v>
      </c>
      <c r="L69" s="16">
        <v>30.980119999999999</v>
      </c>
      <c r="M69" s="16">
        <v>209.58711</v>
      </c>
      <c r="N69" s="17">
        <v>4.9015199999999997</v>
      </c>
      <c r="O69" s="16">
        <v>30.068940000000001</v>
      </c>
      <c r="P69" s="16">
        <v>63.971119999999999</v>
      </c>
      <c r="Q69" s="31">
        <f t="shared" si="7"/>
        <v>4.9015199999999995E-2</v>
      </c>
      <c r="R69" s="32">
        <f t="shared" si="8"/>
        <v>0.3006894</v>
      </c>
      <c r="S69" s="33">
        <f t="shared" si="9"/>
        <v>0.63971120000000004</v>
      </c>
      <c r="T69" s="117">
        <f>(G69-G70)/G70</f>
        <v>-0.99590778848658512</v>
      </c>
      <c r="U69" s="118">
        <f>(Q69-Q70)/Q70</f>
        <v>-0.99590778848658512</v>
      </c>
      <c r="V69" s="118">
        <f>(R69-R70)/R70</f>
        <v>-0.99619412398606599</v>
      </c>
      <c r="W69" s="119">
        <f>(S69-S70)/S70</f>
        <v>-0.99656564606705988</v>
      </c>
    </row>
    <row r="70" spans="1:23" x14ac:dyDescent="0.25">
      <c r="A70" s="122"/>
      <c r="B70" s="34">
        <v>100000000</v>
      </c>
      <c r="C70" s="35">
        <f t="shared" si="5"/>
        <v>1</v>
      </c>
      <c r="D70" s="92"/>
      <c r="E70" s="6" t="s">
        <v>170</v>
      </c>
      <c r="F70">
        <v>3.839</v>
      </c>
      <c r="G70" s="30">
        <f t="shared" si="6"/>
        <v>3.839</v>
      </c>
      <c r="H70" s="16">
        <v>3.54</v>
      </c>
      <c r="I70" s="16">
        <v>21.16</v>
      </c>
      <c r="J70" s="16">
        <v>134.12</v>
      </c>
      <c r="K70" s="17">
        <v>13.590059999999999</v>
      </c>
      <c r="L70" s="16">
        <v>81.233239999999995</v>
      </c>
      <c r="M70" s="16">
        <v>514.88668000000007</v>
      </c>
      <c r="N70" s="17">
        <v>11.977679999999999</v>
      </c>
      <c r="O70" s="16">
        <v>79.006619999999998</v>
      </c>
      <c r="P70" s="16">
        <v>186.26828</v>
      </c>
      <c r="Q70" s="31">
        <f t="shared" si="7"/>
        <v>11.977679999999999</v>
      </c>
      <c r="R70" s="32">
        <f t="shared" si="8"/>
        <v>79.006619999999998</v>
      </c>
      <c r="S70" s="33">
        <f t="shared" si="9"/>
        <v>186.26828</v>
      </c>
      <c r="T70" s="93"/>
      <c r="U70" s="94"/>
      <c r="V70" s="94"/>
      <c r="W70" s="95"/>
    </row>
    <row r="71" spans="1:23" x14ac:dyDescent="0.25">
      <c r="A71" s="122" t="s">
        <v>61</v>
      </c>
      <c r="B71" s="34">
        <v>100000000</v>
      </c>
      <c r="C71" s="35">
        <f t="shared" si="5"/>
        <v>1</v>
      </c>
      <c r="D71" s="92" t="s">
        <v>111</v>
      </c>
      <c r="E71" s="6" t="s">
        <v>169</v>
      </c>
      <c r="F71">
        <v>57.192</v>
      </c>
      <c r="G71" s="30">
        <f t="shared" si="6"/>
        <v>57.192</v>
      </c>
      <c r="H71" s="16">
        <v>3.88</v>
      </c>
      <c r="I71" s="16">
        <v>25.8</v>
      </c>
      <c r="J71" s="16">
        <v>143.88999999999999</v>
      </c>
      <c r="K71" s="17">
        <v>221.90495999999999</v>
      </c>
      <c r="L71" s="16">
        <v>1475.5536</v>
      </c>
      <c r="M71" s="16">
        <v>8229.3568799999994</v>
      </c>
      <c r="N71" s="17">
        <v>197.88432</v>
      </c>
      <c r="O71" s="16">
        <v>1442.3822399999999</v>
      </c>
      <c r="P71" s="16">
        <v>2980.2751199999998</v>
      </c>
      <c r="Q71" s="31">
        <f t="shared" si="7"/>
        <v>197.88432</v>
      </c>
      <c r="R71" s="32">
        <f t="shared" si="8"/>
        <v>1442.3822399999999</v>
      </c>
      <c r="S71" s="33">
        <f t="shared" si="9"/>
        <v>2980.2751199999998</v>
      </c>
      <c r="T71" s="117">
        <f>(G71-G72)/G72</f>
        <v>-0.83463351163799337</v>
      </c>
      <c r="U71" s="118">
        <f>(Q71-Q72)/Q72</f>
        <v>-0.81602313513423053</v>
      </c>
      <c r="V71" s="118">
        <f>(R71-R72)/R72</f>
        <v>-0.82031267399871577</v>
      </c>
      <c r="W71" s="119">
        <f>(S71-S72)/S72</f>
        <v>-0.83053593493521793</v>
      </c>
    </row>
    <row r="72" spans="1:23" x14ac:dyDescent="0.25">
      <c r="A72" s="122"/>
      <c r="B72" s="34">
        <v>10000000</v>
      </c>
      <c r="C72" s="35">
        <f t="shared" si="5"/>
        <v>10</v>
      </c>
      <c r="D72" s="92"/>
      <c r="E72" s="6" t="s">
        <v>170</v>
      </c>
      <c r="F72">
        <v>34.585000000000001</v>
      </c>
      <c r="G72" s="30">
        <f t="shared" si="6"/>
        <v>345.85</v>
      </c>
      <c r="H72" s="16">
        <v>3.53</v>
      </c>
      <c r="I72" s="16">
        <v>23.79</v>
      </c>
      <c r="J72" s="16">
        <v>135.27000000000001</v>
      </c>
      <c r="K72" s="17">
        <v>122.08505</v>
      </c>
      <c r="L72" s="16">
        <v>822.77715000000001</v>
      </c>
      <c r="M72" s="16">
        <v>4678.3129499999995</v>
      </c>
      <c r="N72" s="17">
        <v>107.55934999999999</v>
      </c>
      <c r="O72" s="16">
        <v>802.71785</v>
      </c>
      <c r="P72" s="16">
        <v>1758.64725</v>
      </c>
      <c r="Q72" s="31">
        <f t="shared" si="7"/>
        <v>1075.5934999999999</v>
      </c>
      <c r="R72" s="32">
        <f t="shared" si="8"/>
        <v>8027.1785</v>
      </c>
      <c r="S72" s="33">
        <f t="shared" si="9"/>
        <v>17586.4725</v>
      </c>
      <c r="T72" s="93"/>
      <c r="U72" s="94"/>
      <c r="V72" s="94"/>
      <c r="W72" s="95"/>
    </row>
    <row r="73" spans="1:23" x14ac:dyDescent="0.25">
      <c r="A73" s="122"/>
      <c r="B73" s="34">
        <v>100000000</v>
      </c>
      <c r="C73" s="35">
        <f t="shared" si="5"/>
        <v>1</v>
      </c>
      <c r="D73" s="92" t="s">
        <v>114</v>
      </c>
      <c r="E73" s="6" t="s">
        <v>169</v>
      </c>
      <c r="F73">
        <v>76.671000000000006</v>
      </c>
      <c r="G73" s="30">
        <f t="shared" si="6"/>
        <v>76.671000000000006</v>
      </c>
      <c r="H73" s="16">
        <v>3.78</v>
      </c>
      <c r="I73" s="16">
        <v>26.92</v>
      </c>
      <c r="J73" s="16">
        <v>146.88</v>
      </c>
      <c r="K73" s="17">
        <v>289.81637999999998</v>
      </c>
      <c r="L73" s="16">
        <v>2063.9833199999998</v>
      </c>
      <c r="M73" s="16">
        <v>11261.43648</v>
      </c>
      <c r="N73" s="17">
        <v>257.61455999999998</v>
      </c>
      <c r="O73" s="16">
        <v>2019.51414</v>
      </c>
      <c r="P73" s="16">
        <v>4225.3388100000002</v>
      </c>
      <c r="Q73" s="31">
        <f t="shared" si="7"/>
        <v>257.61455999999998</v>
      </c>
      <c r="R73" s="32">
        <f t="shared" si="8"/>
        <v>2019.51414</v>
      </c>
      <c r="S73" s="33">
        <f t="shared" si="9"/>
        <v>4225.3388100000002</v>
      </c>
      <c r="T73" s="117">
        <f>(G73-G74)/G74</f>
        <v>-0.84742089552238808</v>
      </c>
      <c r="U73" s="118">
        <f>(Q73-Q74)/Q74</f>
        <v>-0.83515569419782121</v>
      </c>
      <c r="V73" s="118">
        <f>(R73-R74)/R74</f>
        <v>-0.84070814062860488</v>
      </c>
      <c r="W73" s="119">
        <f>(S73-S74)/S74</f>
        <v>-0.85014018093457144</v>
      </c>
    </row>
    <row r="74" spans="1:23" x14ac:dyDescent="0.25">
      <c r="A74" s="122"/>
      <c r="B74" s="34">
        <v>10000000</v>
      </c>
      <c r="C74" s="35">
        <f t="shared" si="5"/>
        <v>10</v>
      </c>
      <c r="D74" s="92"/>
      <c r="E74" s="6" t="s">
        <v>170</v>
      </c>
      <c r="F74">
        <v>50.25</v>
      </c>
      <c r="G74" s="30">
        <f t="shared" si="6"/>
        <v>502.5</v>
      </c>
      <c r="H74" s="16">
        <v>3.53</v>
      </c>
      <c r="I74" s="16">
        <v>25.81</v>
      </c>
      <c r="J74" s="16">
        <v>140.53</v>
      </c>
      <c r="K74" s="17">
        <v>177.38249999999999</v>
      </c>
      <c r="L74" s="16">
        <v>1296.9525000000001</v>
      </c>
      <c r="M74" s="16">
        <v>7061.6324999999997</v>
      </c>
      <c r="N74" s="17">
        <v>156.2775</v>
      </c>
      <c r="O74" s="16">
        <v>1267.8074999999999</v>
      </c>
      <c r="P74" s="16">
        <v>2819.5275000000001</v>
      </c>
      <c r="Q74" s="31">
        <f t="shared" si="7"/>
        <v>1562.7750000000001</v>
      </c>
      <c r="R74" s="32">
        <f t="shared" si="8"/>
        <v>12678.074999999999</v>
      </c>
      <c r="S74" s="33">
        <f t="shared" si="9"/>
        <v>28195.275000000001</v>
      </c>
      <c r="T74" s="93"/>
      <c r="U74" s="94"/>
      <c r="V74" s="94"/>
      <c r="W74" s="95"/>
    </row>
    <row r="75" spans="1:23" x14ac:dyDescent="0.25">
      <c r="A75" s="122" t="s">
        <v>63</v>
      </c>
      <c r="B75" s="34">
        <v>10000000000</v>
      </c>
      <c r="C75" s="35">
        <f t="shared" si="5"/>
        <v>0.01</v>
      </c>
      <c r="D75" s="92" t="s">
        <v>111</v>
      </c>
      <c r="E75" s="6" t="s">
        <v>169</v>
      </c>
      <c r="F75">
        <v>3.665</v>
      </c>
      <c r="G75" s="30">
        <f t="shared" si="6"/>
        <v>3.6650000000000002E-2</v>
      </c>
      <c r="H75" s="16">
        <v>3.58</v>
      </c>
      <c r="I75" s="16">
        <v>21.49</v>
      </c>
      <c r="J75" s="16">
        <v>148.83000000000001</v>
      </c>
      <c r="K75" s="17">
        <v>13.120699999999999</v>
      </c>
      <c r="L75" s="16">
        <v>78.760849999999991</v>
      </c>
      <c r="M75" s="16">
        <v>545.46195</v>
      </c>
      <c r="N75" s="17">
        <v>11.5814</v>
      </c>
      <c r="O75" s="16">
        <v>76.635149999999996</v>
      </c>
      <c r="P75" s="16">
        <v>187.83125000000001</v>
      </c>
      <c r="Q75" s="31">
        <f t="shared" si="7"/>
        <v>0.115814</v>
      </c>
      <c r="R75" s="32">
        <f t="shared" si="8"/>
        <v>0.76635149999999996</v>
      </c>
      <c r="S75" s="33">
        <f t="shared" si="9"/>
        <v>1.8783125000000001</v>
      </c>
      <c r="T75" s="117">
        <f>(G75-G76)/G76</f>
        <v>-0.99227933431641036</v>
      </c>
      <c r="U75" s="118">
        <f>(Q75-Q76)/Q76</f>
        <v>-0.99212990207737317</v>
      </c>
      <c r="V75" s="118">
        <f>(R75-R76)/R76</f>
        <v>-0.9925740975416808</v>
      </c>
      <c r="W75" s="119">
        <f>(S75-S76)/S76</f>
        <v>-0.99322922456735174</v>
      </c>
    </row>
    <row r="76" spans="1:23" x14ac:dyDescent="0.25">
      <c r="A76" s="122"/>
      <c r="B76" s="34">
        <v>100000000</v>
      </c>
      <c r="C76" s="35">
        <f t="shared" si="5"/>
        <v>1</v>
      </c>
      <c r="D76" s="92"/>
      <c r="E76" s="6" t="s">
        <v>170</v>
      </c>
      <c r="F76">
        <v>4.7469999999999999</v>
      </c>
      <c r="G76" s="30">
        <f t="shared" si="6"/>
        <v>4.7469999999999999</v>
      </c>
      <c r="H76" s="16">
        <v>3.52</v>
      </c>
      <c r="I76" s="16">
        <v>22.32</v>
      </c>
      <c r="J76" s="16">
        <v>153.38999999999999</v>
      </c>
      <c r="K76" s="17">
        <v>16.709440000000001</v>
      </c>
      <c r="L76" s="16">
        <v>105.95304</v>
      </c>
      <c r="M76" s="16">
        <v>728.1423299999999</v>
      </c>
      <c r="N76" s="17">
        <v>14.7157</v>
      </c>
      <c r="O76" s="16">
        <v>103.19978</v>
      </c>
      <c r="P76" s="16">
        <v>277.41467999999998</v>
      </c>
      <c r="Q76" s="31">
        <f t="shared" si="7"/>
        <v>14.7157</v>
      </c>
      <c r="R76" s="32">
        <f t="shared" si="8"/>
        <v>103.19978</v>
      </c>
      <c r="S76" s="33">
        <f t="shared" si="9"/>
        <v>277.41467999999998</v>
      </c>
      <c r="T76" s="93"/>
      <c r="U76" s="94"/>
      <c r="V76" s="94"/>
      <c r="W76" s="95"/>
    </row>
    <row r="77" spans="1:23" x14ac:dyDescent="0.25">
      <c r="A77" s="122"/>
      <c r="B77" s="34">
        <v>10000000000</v>
      </c>
      <c r="C77" s="35">
        <f t="shared" si="5"/>
        <v>0.01</v>
      </c>
      <c r="D77" s="92" t="s">
        <v>114</v>
      </c>
      <c r="E77" s="6" t="s">
        <v>169</v>
      </c>
      <c r="F77">
        <v>8.3770000000000007</v>
      </c>
      <c r="G77" s="30">
        <f t="shared" si="6"/>
        <v>8.3770000000000011E-2</v>
      </c>
      <c r="H77" s="16">
        <v>3.54</v>
      </c>
      <c r="I77" s="16">
        <v>23.7</v>
      </c>
      <c r="J77" s="16">
        <v>152.71</v>
      </c>
      <c r="K77" s="17">
        <v>29.654579999999999</v>
      </c>
      <c r="L77" s="16">
        <v>198.53489999999999</v>
      </c>
      <c r="M77" s="16">
        <v>1279.2516700000001</v>
      </c>
      <c r="N77" s="17">
        <v>26.136240000000001</v>
      </c>
      <c r="O77" s="16">
        <v>193.67624000000001</v>
      </c>
      <c r="P77" s="16">
        <v>461.90778000000012</v>
      </c>
      <c r="Q77" s="31">
        <f t="shared" si="7"/>
        <v>0.26136239999999999</v>
      </c>
      <c r="R77" s="32">
        <f t="shared" si="8"/>
        <v>1.9367624000000001</v>
      </c>
      <c r="S77" s="33">
        <f t="shared" si="9"/>
        <v>4.6190778000000012</v>
      </c>
      <c r="T77" s="117">
        <f>(G77-G78)/G78</f>
        <v>-0.98303907673618129</v>
      </c>
      <c r="U77" s="118">
        <f>(Q77-Q78)/Q78</f>
        <v>-0.98292965142480193</v>
      </c>
      <c r="V77" s="118">
        <f>(R77-R78)/R78</f>
        <v>-0.98217561155184152</v>
      </c>
      <c r="W77" s="119">
        <f>(S77-S78)/S78</f>
        <v>-0.9843686226179682</v>
      </c>
    </row>
    <row r="78" spans="1:23" x14ac:dyDescent="0.25">
      <c r="A78" s="122"/>
      <c r="B78" s="34">
        <v>100000000</v>
      </c>
      <c r="C78" s="35">
        <f t="shared" si="5"/>
        <v>1</v>
      </c>
      <c r="D78" s="92"/>
      <c r="E78" s="6" t="s">
        <v>170</v>
      </c>
      <c r="F78">
        <v>4.9390000000000001</v>
      </c>
      <c r="G78" s="30">
        <f t="shared" si="6"/>
        <v>4.9390000000000001</v>
      </c>
      <c r="H78" s="16">
        <v>3.52</v>
      </c>
      <c r="I78" s="16">
        <v>22.58</v>
      </c>
      <c r="J78" s="16">
        <v>154.78</v>
      </c>
      <c r="K78" s="17">
        <v>17.385280000000002</v>
      </c>
      <c r="L78" s="16">
        <v>111.52262</v>
      </c>
      <c r="M78" s="16">
        <v>764.45842000000005</v>
      </c>
      <c r="N78" s="17">
        <v>15.3109</v>
      </c>
      <c r="O78" s="16">
        <v>108.658</v>
      </c>
      <c r="P78" s="16">
        <v>295.50036999999998</v>
      </c>
      <c r="Q78" s="31">
        <f t="shared" si="7"/>
        <v>15.3109</v>
      </c>
      <c r="R78" s="32">
        <f t="shared" si="8"/>
        <v>108.658</v>
      </c>
      <c r="S78" s="33">
        <f t="shared" si="9"/>
        <v>295.50036999999998</v>
      </c>
      <c r="T78" s="93"/>
      <c r="U78" s="94"/>
      <c r="V78" s="94"/>
      <c r="W78" s="95"/>
    </row>
    <row r="79" spans="1:23" x14ac:dyDescent="0.25">
      <c r="A79" s="122" t="s">
        <v>65</v>
      </c>
      <c r="B79" s="34">
        <v>10000000000</v>
      </c>
      <c r="C79" s="35">
        <f t="shared" si="5"/>
        <v>0.01</v>
      </c>
      <c r="D79" s="92" t="s">
        <v>111</v>
      </c>
      <c r="E79" s="6" t="s">
        <v>169</v>
      </c>
      <c r="F79">
        <v>1.57</v>
      </c>
      <c r="G79" s="30">
        <f t="shared" si="6"/>
        <v>1.5700000000000002E-2</v>
      </c>
      <c r="H79" s="16">
        <v>3.56</v>
      </c>
      <c r="I79" s="16">
        <v>19.7</v>
      </c>
      <c r="J79" s="16">
        <v>133.16999999999999</v>
      </c>
      <c r="K79" s="17">
        <v>5.5891999999999999</v>
      </c>
      <c r="L79" s="16">
        <v>30.928999999999998</v>
      </c>
      <c r="M79" s="16">
        <v>209.07689999999999</v>
      </c>
      <c r="N79" s="17">
        <v>4.9298000000000002</v>
      </c>
      <c r="O79" s="16">
        <v>30.0184</v>
      </c>
      <c r="P79" s="16">
        <v>66.411000000000001</v>
      </c>
      <c r="Q79" s="31">
        <f t="shared" si="7"/>
        <v>4.9298000000000002E-2</v>
      </c>
      <c r="R79" s="32">
        <f t="shared" si="8"/>
        <v>0.30018400000000001</v>
      </c>
      <c r="S79" s="33">
        <f t="shared" si="9"/>
        <v>0.66410999999999998</v>
      </c>
      <c r="T79" s="117">
        <f>(G79-G80)/G80</f>
        <v>-0.99883332094820532</v>
      </c>
      <c r="U79" s="118">
        <f>(Q79-Q80)/Q80</f>
        <v>-0.99882206680944208</v>
      </c>
      <c r="V79" s="118">
        <f>(R79-R80)/R80</f>
        <v>-0.99890919787431232</v>
      </c>
      <c r="W79" s="119">
        <f>(S79-S80)/S80</f>
        <v>-0.99886367663156994</v>
      </c>
    </row>
    <row r="80" spans="1:23" x14ac:dyDescent="0.25">
      <c r="A80" s="122"/>
      <c r="B80" s="34">
        <v>100000000</v>
      </c>
      <c r="C80" s="35">
        <f t="shared" si="5"/>
        <v>1</v>
      </c>
      <c r="D80" s="92"/>
      <c r="E80" s="6" t="s">
        <v>170</v>
      </c>
      <c r="F80">
        <v>13.457000000000001</v>
      </c>
      <c r="G80" s="30">
        <f t="shared" si="6"/>
        <v>13.457000000000001</v>
      </c>
      <c r="H80" s="16">
        <v>3.53</v>
      </c>
      <c r="I80" s="16">
        <v>21.03</v>
      </c>
      <c r="J80" s="16">
        <v>129.94</v>
      </c>
      <c r="K80" s="17">
        <v>47.503210000000003</v>
      </c>
      <c r="L80" s="16">
        <v>283.00071000000003</v>
      </c>
      <c r="M80" s="16">
        <v>1748.60258</v>
      </c>
      <c r="N80" s="17">
        <v>41.85127</v>
      </c>
      <c r="O80" s="16">
        <v>275.19565</v>
      </c>
      <c r="P80" s="16">
        <v>584.43750999999997</v>
      </c>
      <c r="Q80" s="31">
        <f t="shared" si="7"/>
        <v>41.85127</v>
      </c>
      <c r="R80" s="32">
        <f t="shared" si="8"/>
        <v>275.19565</v>
      </c>
      <c r="S80" s="33">
        <f t="shared" si="9"/>
        <v>584.43750999999997</v>
      </c>
      <c r="T80" s="93"/>
      <c r="U80" s="94"/>
      <c r="V80" s="94"/>
      <c r="W80" s="95"/>
    </row>
    <row r="81" spans="1:23" x14ac:dyDescent="0.25">
      <c r="A81" s="122"/>
      <c r="B81" s="34">
        <v>10000000000</v>
      </c>
      <c r="C81" s="35">
        <f t="shared" si="5"/>
        <v>0.01</v>
      </c>
      <c r="D81" s="92" t="s">
        <v>114</v>
      </c>
      <c r="E81" s="6" t="s">
        <v>169</v>
      </c>
      <c r="F81">
        <v>1.571</v>
      </c>
      <c r="G81" s="30">
        <f t="shared" si="6"/>
        <v>1.5709999999999998E-2</v>
      </c>
      <c r="H81" s="16">
        <v>3.54</v>
      </c>
      <c r="I81" s="16">
        <v>19.75</v>
      </c>
      <c r="J81" s="16">
        <v>134.16999999999999</v>
      </c>
      <c r="K81" s="17">
        <v>5.5613400000000004</v>
      </c>
      <c r="L81" s="16">
        <v>31.027249999999999</v>
      </c>
      <c r="M81" s="16">
        <v>210.78107</v>
      </c>
      <c r="N81" s="17">
        <v>4.9015199999999997</v>
      </c>
      <c r="O81" s="16">
        <v>30.116070000000001</v>
      </c>
      <c r="P81" s="16">
        <v>68.024299999999997</v>
      </c>
      <c r="Q81" s="31">
        <f t="shared" si="7"/>
        <v>4.9015199999999995E-2</v>
      </c>
      <c r="R81" s="32">
        <f t="shared" si="8"/>
        <v>0.3011607</v>
      </c>
      <c r="S81" s="33">
        <f t="shared" si="9"/>
        <v>0.68024299999999993</v>
      </c>
      <c r="T81" s="117">
        <f>(G81-G82)/G82</f>
        <v>-0.99883732978093542</v>
      </c>
      <c r="U81" s="118">
        <f>(Q81-Q82)/Q82</f>
        <v>-0.99883359129148508</v>
      </c>
      <c r="V81" s="118">
        <f>(R81-R82)/R82</f>
        <v>-0.99890957005384207</v>
      </c>
      <c r="W81" s="119">
        <f>(S81-S82)/S82</f>
        <v>-0.9988506022720206</v>
      </c>
    </row>
    <row r="82" spans="1:23" x14ac:dyDescent="0.25">
      <c r="A82" s="122"/>
      <c r="B82" s="34">
        <v>100000000</v>
      </c>
      <c r="C82" s="35">
        <f t="shared" si="5"/>
        <v>1</v>
      </c>
      <c r="D82" s="92"/>
      <c r="E82" s="6" t="s">
        <v>170</v>
      </c>
      <c r="F82">
        <v>13.512</v>
      </c>
      <c r="G82" s="30">
        <f t="shared" si="6"/>
        <v>13.512</v>
      </c>
      <c r="H82" s="16">
        <v>3.53</v>
      </c>
      <c r="I82" s="16">
        <v>21.02</v>
      </c>
      <c r="J82" s="16">
        <v>130.31</v>
      </c>
      <c r="K82" s="17">
        <v>47.697360000000003</v>
      </c>
      <c r="L82" s="16">
        <v>284.02224000000001</v>
      </c>
      <c r="M82" s="16">
        <v>1760.74872</v>
      </c>
      <c r="N82" s="17">
        <v>42.022320000000001</v>
      </c>
      <c r="O82" s="16">
        <v>276.18527999999998</v>
      </c>
      <c r="P82" s="16">
        <v>591.82560000000001</v>
      </c>
      <c r="Q82" s="31">
        <f t="shared" si="7"/>
        <v>42.022320000000001</v>
      </c>
      <c r="R82" s="32">
        <f t="shared" si="8"/>
        <v>276.18527999999998</v>
      </c>
      <c r="S82" s="33">
        <f t="shared" si="9"/>
        <v>591.82560000000001</v>
      </c>
      <c r="T82" s="93"/>
      <c r="U82" s="94"/>
      <c r="V82" s="94"/>
      <c r="W82" s="95"/>
    </row>
    <row r="83" spans="1:23" x14ac:dyDescent="0.25">
      <c r="A83" s="122" t="s">
        <v>71</v>
      </c>
      <c r="B83" s="34">
        <v>10000000000</v>
      </c>
      <c r="C83" s="35">
        <f t="shared" si="5"/>
        <v>0.01</v>
      </c>
      <c r="D83" s="92" t="s">
        <v>111</v>
      </c>
      <c r="E83" s="6" t="s">
        <v>169</v>
      </c>
      <c r="F83">
        <v>59.72</v>
      </c>
      <c r="G83" s="30">
        <f t="shared" si="6"/>
        <v>0.59719999999999995</v>
      </c>
      <c r="H83" s="16">
        <v>3.46</v>
      </c>
      <c r="I83" s="16">
        <v>25.85</v>
      </c>
      <c r="J83" s="16">
        <v>138.41</v>
      </c>
      <c r="K83" s="17">
        <v>206.63120000000001</v>
      </c>
      <c r="L83" s="16">
        <v>1543.7619999999999</v>
      </c>
      <c r="M83" s="16">
        <v>8265.8451999999997</v>
      </c>
      <c r="N83" s="17">
        <v>181.5488</v>
      </c>
      <c r="O83" s="16">
        <v>1509.1243999999999</v>
      </c>
      <c r="P83" s="16">
        <v>3260.712</v>
      </c>
      <c r="Q83" s="31">
        <f t="shared" si="7"/>
        <v>1.815488</v>
      </c>
      <c r="R83" s="32">
        <f t="shared" si="8"/>
        <v>15.091244</v>
      </c>
      <c r="S83" s="33">
        <f t="shared" si="9"/>
        <v>32.607120000000002</v>
      </c>
      <c r="T83" s="117">
        <f>(G83-G84)/G84</f>
        <v>-0.97341050756901148</v>
      </c>
      <c r="U83" s="118">
        <f>(Q83-Q84)/Q84</f>
        <v>-0.9734105075690116</v>
      </c>
      <c r="V83" s="118">
        <f>(R83-R84)/R84</f>
        <v>-0.97442266944305</v>
      </c>
      <c r="W83" s="119">
        <f>(S83-S84)/S84</f>
        <v>-0.97518314039774423</v>
      </c>
    </row>
    <row r="84" spans="1:23" x14ac:dyDescent="0.25">
      <c r="A84" s="122"/>
      <c r="B84" s="34">
        <v>100000000</v>
      </c>
      <c r="C84" s="35">
        <f t="shared" si="5"/>
        <v>1</v>
      </c>
      <c r="D84" s="92"/>
      <c r="E84" s="6" t="s">
        <v>170</v>
      </c>
      <c r="F84">
        <v>22.46</v>
      </c>
      <c r="G84" s="30">
        <f t="shared" si="6"/>
        <v>22.46</v>
      </c>
      <c r="H84" s="16">
        <v>3.46</v>
      </c>
      <c r="I84" s="16">
        <v>26.85</v>
      </c>
      <c r="J84" s="16">
        <v>139.26</v>
      </c>
      <c r="K84" s="17">
        <v>77.711600000000004</v>
      </c>
      <c r="L84" s="16">
        <v>603.05100000000004</v>
      </c>
      <c r="M84" s="16">
        <v>3127.7795999999998</v>
      </c>
      <c r="N84" s="17">
        <v>68.278400000000005</v>
      </c>
      <c r="O84" s="16">
        <v>590.02420000000006</v>
      </c>
      <c r="P84" s="16">
        <v>1313.91</v>
      </c>
      <c r="Q84" s="31">
        <f t="shared" si="7"/>
        <v>68.278400000000005</v>
      </c>
      <c r="R84" s="32">
        <f t="shared" si="8"/>
        <v>590.02420000000006</v>
      </c>
      <c r="S84" s="33">
        <f t="shared" si="9"/>
        <v>1313.91</v>
      </c>
      <c r="T84" s="93"/>
      <c r="U84" s="94"/>
      <c r="V84" s="94"/>
      <c r="W84" s="95"/>
    </row>
    <row r="85" spans="1:23" x14ac:dyDescent="0.25">
      <c r="A85" s="122"/>
      <c r="B85" s="34">
        <v>10000000000</v>
      </c>
      <c r="C85" s="35">
        <f t="shared" si="5"/>
        <v>0.01</v>
      </c>
      <c r="D85" s="92" t="s">
        <v>114</v>
      </c>
      <c r="E85" s="6" t="s">
        <v>169</v>
      </c>
      <c r="F85">
        <v>54.5</v>
      </c>
      <c r="G85" s="30">
        <f t="shared" si="6"/>
        <v>0.54500000000000004</v>
      </c>
      <c r="H85" s="16">
        <v>3.47</v>
      </c>
      <c r="I85" s="16">
        <v>26.11</v>
      </c>
      <c r="J85" s="16">
        <v>139.85</v>
      </c>
      <c r="K85" s="17">
        <v>189.11500000000001</v>
      </c>
      <c r="L85" s="16">
        <v>1422.9949999999999</v>
      </c>
      <c r="M85" s="16">
        <v>7621.8249999999998</v>
      </c>
      <c r="N85" s="17">
        <v>166.22499999999999</v>
      </c>
      <c r="O85" s="16">
        <v>1391.385</v>
      </c>
      <c r="P85" s="16">
        <v>3054.18</v>
      </c>
      <c r="Q85" s="31">
        <f t="shared" si="7"/>
        <v>1.66225</v>
      </c>
      <c r="R85" s="32">
        <f t="shared" si="8"/>
        <v>13.91385</v>
      </c>
      <c r="S85" s="33">
        <f t="shared" si="9"/>
        <v>30.541799999999999</v>
      </c>
      <c r="T85" s="117">
        <f>(G85-G86)/G86</f>
        <v>-0.97101834618452532</v>
      </c>
      <c r="U85" s="118">
        <f>(Q85-Q86)/Q86</f>
        <v>-0.97120715174684114</v>
      </c>
      <c r="V85" s="118">
        <f>(R85-R86)/R86</f>
        <v>-0.9717810212849326</v>
      </c>
      <c r="W85" s="119">
        <f>(S85-S86)/S86</f>
        <v>-0.97280422170430014</v>
      </c>
    </row>
    <row r="86" spans="1:23" x14ac:dyDescent="0.25">
      <c r="A86" s="122"/>
      <c r="B86" s="34">
        <v>100000000</v>
      </c>
      <c r="C86" s="35">
        <f t="shared" si="5"/>
        <v>1</v>
      </c>
      <c r="D86" s="92"/>
      <c r="E86" s="6" t="s">
        <v>170</v>
      </c>
      <c r="F86">
        <v>18.805</v>
      </c>
      <c r="G86" s="30">
        <f t="shared" si="6"/>
        <v>18.805</v>
      </c>
      <c r="H86" s="16">
        <v>3.49</v>
      </c>
      <c r="I86" s="16">
        <v>26.8</v>
      </c>
      <c r="J86" s="16">
        <v>140.49</v>
      </c>
      <c r="K86" s="17">
        <v>65.629450000000006</v>
      </c>
      <c r="L86" s="16">
        <v>503.97399999999999</v>
      </c>
      <c r="M86" s="16">
        <v>2641.9144500000002</v>
      </c>
      <c r="N86" s="17">
        <v>57.731349999999999</v>
      </c>
      <c r="O86" s="16">
        <v>493.06709999999998</v>
      </c>
      <c r="P86" s="16">
        <v>1123.0346</v>
      </c>
      <c r="Q86" s="31">
        <f t="shared" si="7"/>
        <v>57.731349999999999</v>
      </c>
      <c r="R86" s="32">
        <f t="shared" si="8"/>
        <v>493.06709999999998</v>
      </c>
      <c r="S86" s="33">
        <f t="shared" si="9"/>
        <v>1123.0346</v>
      </c>
      <c r="T86" s="93"/>
      <c r="U86" s="94"/>
      <c r="V86" s="94"/>
      <c r="W86" s="95"/>
    </row>
    <row r="87" spans="1:23" x14ac:dyDescent="0.25">
      <c r="A87" s="122" t="s">
        <v>79</v>
      </c>
      <c r="B87" s="34">
        <v>10000000000</v>
      </c>
      <c r="C87" s="35">
        <f t="shared" si="5"/>
        <v>0.01</v>
      </c>
      <c r="D87" s="92" t="s">
        <v>111</v>
      </c>
      <c r="E87" s="6" t="s">
        <v>169</v>
      </c>
      <c r="F87">
        <v>81.100999999999999</v>
      </c>
      <c r="G87" s="30">
        <f t="shared" si="6"/>
        <v>0.81101000000000001</v>
      </c>
      <c r="H87" s="16">
        <v>3.46</v>
      </c>
      <c r="I87" s="16">
        <v>27.56</v>
      </c>
      <c r="J87" s="16">
        <v>146.28</v>
      </c>
      <c r="K87" s="17">
        <v>280.60946000000001</v>
      </c>
      <c r="L87" s="16">
        <v>2235.14356</v>
      </c>
      <c r="M87" s="16">
        <v>11863.45428</v>
      </c>
      <c r="N87" s="17">
        <v>246.54704000000001</v>
      </c>
      <c r="O87" s="16">
        <v>2188.1049800000001</v>
      </c>
      <c r="P87" s="16">
        <v>5029.8840200000004</v>
      </c>
      <c r="Q87" s="31">
        <f t="shared" si="7"/>
        <v>2.4654704000000001</v>
      </c>
      <c r="R87" s="32">
        <f t="shared" si="8"/>
        <v>21.8810498</v>
      </c>
      <c r="S87" s="33">
        <f t="shared" si="9"/>
        <v>50.298840200000008</v>
      </c>
      <c r="T87" s="117">
        <f>(G87-G88)/G88</f>
        <v>-0.99608377999903419</v>
      </c>
      <c r="U87" s="118">
        <f>(Q87-Q88)/Q88</f>
        <v>-0.9960837799990343</v>
      </c>
      <c r="V87" s="118">
        <f>(R87-R88)/R88</f>
        <v>-0.99518635008537326</v>
      </c>
      <c r="W87" s="119">
        <f>(S87-S88)/S88</f>
        <v>-0.99501878661895216</v>
      </c>
    </row>
    <row r="88" spans="1:23" x14ac:dyDescent="0.25">
      <c r="A88" s="122"/>
      <c r="B88" s="34">
        <v>10000000</v>
      </c>
      <c r="C88" s="35">
        <f t="shared" si="5"/>
        <v>10</v>
      </c>
      <c r="D88" s="92"/>
      <c r="E88" s="6" t="s">
        <v>170</v>
      </c>
      <c r="F88">
        <v>20.709</v>
      </c>
      <c r="G88" s="30">
        <f t="shared" si="6"/>
        <v>207.09</v>
      </c>
      <c r="H88" s="16">
        <v>3.46</v>
      </c>
      <c r="I88" s="16">
        <v>22.53</v>
      </c>
      <c r="J88" s="16">
        <v>134.4</v>
      </c>
      <c r="K88" s="17">
        <v>71.653139999999993</v>
      </c>
      <c r="L88" s="16">
        <v>466.57377000000002</v>
      </c>
      <c r="M88" s="16">
        <v>2783.2896000000001</v>
      </c>
      <c r="N88" s="17">
        <v>62.955359999999999</v>
      </c>
      <c r="O88" s="16">
        <v>454.56254999999999</v>
      </c>
      <c r="P88" s="16">
        <v>1009.77084</v>
      </c>
      <c r="Q88" s="31">
        <f t="shared" si="7"/>
        <v>629.55359999999996</v>
      </c>
      <c r="R88" s="32">
        <f t="shared" si="8"/>
        <v>4545.6255000000001</v>
      </c>
      <c r="S88" s="33">
        <f t="shared" si="9"/>
        <v>10097.7084</v>
      </c>
      <c r="T88" s="93"/>
      <c r="U88" s="94"/>
      <c r="V88" s="94"/>
      <c r="W88" s="95"/>
    </row>
    <row r="89" spans="1:23" x14ac:dyDescent="0.25">
      <c r="A89" s="122"/>
      <c r="B89" s="34">
        <v>10000000000</v>
      </c>
      <c r="C89" s="35">
        <f t="shared" si="5"/>
        <v>0.01</v>
      </c>
      <c r="D89" s="92" t="s">
        <v>114</v>
      </c>
      <c r="E89" s="6" t="s">
        <v>169</v>
      </c>
      <c r="F89">
        <v>81.808999999999997</v>
      </c>
      <c r="G89" s="30">
        <f t="shared" si="6"/>
        <v>0.81808999999999998</v>
      </c>
      <c r="H89" s="16">
        <v>3.48</v>
      </c>
      <c r="I89" s="16">
        <v>27.5</v>
      </c>
      <c r="J89" s="16">
        <v>145.66999999999999</v>
      </c>
      <c r="K89" s="17">
        <v>284.69531999999998</v>
      </c>
      <c r="L89" s="16">
        <v>2249.7474999999999</v>
      </c>
      <c r="M89" s="16">
        <v>11917.117029999999</v>
      </c>
      <c r="N89" s="17">
        <v>250.33554000000001</v>
      </c>
      <c r="O89" s="16">
        <v>2202.29828</v>
      </c>
      <c r="P89" s="16">
        <v>5023.8906899999993</v>
      </c>
      <c r="Q89" s="31">
        <f t="shared" si="7"/>
        <v>2.5033554000000002</v>
      </c>
      <c r="R89" s="32">
        <f t="shared" si="8"/>
        <v>22.022982800000001</v>
      </c>
      <c r="S89" s="33">
        <f t="shared" si="9"/>
        <v>50.238906899999996</v>
      </c>
      <c r="T89" s="117">
        <f>(G89-G90)/G90</f>
        <v>-0.98443808255659127</v>
      </c>
      <c r="U89" s="118">
        <f>(Q89-Q90)/Q90</f>
        <v>-0.98448877284142311</v>
      </c>
      <c r="V89" s="118">
        <f>(R89-R90)/R90</f>
        <v>-0.98167424245071899</v>
      </c>
      <c r="W89" s="119">
        <f>(S89-S90)/S90</f>
        <v>-0.98223354991262812</v>
      </c>
    </row>
    <row r="90" spans="1:23" x14ac:dyDescent="0.25">
      <c r="A90" s="122"/>
      <c r="B90" s="34">
        <v>10000000</v>
      </c>
      <c r="C90" s="35">
        <f t="shared" si="5"/>
        <v>10</v>
      </c>
      <c r="D90" s="92"/>
      <c r="E90" s="6" t="s">
        <v>170</v>
      </c>
      <c r="F90">
        <v>5.2569999999999997</v>
      </c>
      <c r="G90" s="30">
        <f t="shared" si="6"/>
        <v>52.569999999999993</v>
      </c>
      <c r="H90" s="16">
        <v>3.49</v>
      </c>
      <c r="I90" s="16">
        <v>23.44</v>
      </c>
      <c r="J90" s="16">
        <v>139.43</v>
      </c>
      <c r="K90" s="17">
        <v>18.34693</v>
      </c>
      <c r="L90" s="16">
        <v>123.22408</v>
      </c>
      <c r="M90" s="16">
        <v>732.98351000000002</v>
      </c>
      <c r="N90" s="17">
        <v>16.13899</v>
      </c>
      <c r="O90" s="16">
        <v>120.17502</v>
      </c>
      <c r="P90" s="16">
        <v>282.77402999999998</v>
      </c>
      <c r="Q90" s="31">
        <f t="shared" si="7"/>
        <v>161.38990000000001</v>
      </c>
      <c r="R90" s="32">
        <f t="shared" si="8"/>
        <v>1201.7501999999999</v>
      </c>
      <c r="S90" s="33">
        <f t="shared" si="9"/>
        <v>2827.7402999999999</v>
      </c>
      <c r="T90" s="93"/>
      <c r="U90" s="94"/>
      <c r="V90" s="94"/>
      <c r="W90" s="95"/>
    </row>
    <row r="91" spans="1:23" x14ac:dyDescent="0.25">
      <c r="A91" s="122" t="s">
        <v>87</v>
      </c>
      <c r="B91" s="34">
        <v>10000000000</v>
      </c>
      <c r="C91" s="35">
        <f t="shared" si="5"/>
        <v>0.01</v>
      </c>
      <c r="D91" s="92" t="s">
        <v>111</v>
      </c>
      <c r="E91" s="6" t="s">
        <v>169</v>
      </c>
      <c r="F91">
        <v>1.571</v>
      </c>
      <c r="G91" s="30">
        <f t="shared" si="6"/>
        <v>1.5709999999999998E-2</v>
      </c>
      <c r="H91" s="16">
        <v>3.52</v>
      </c>
      <c r="I91" s="16">
        <v>19.55</v>
      </c>
      <c r="J91" s="16">
        <v>134.49</v>
      </c>
      <c r="K91" s="17">
        <v>5.5299199999999997</v>
      </c>
      <c r="L91" s="16">
        <v>30.713049999999999</v>
      </c>
      <c r="M91" s="16">
        <v>211.28379000000001</v>
      </c>
      <c r="N91" s="17">
        <v>4.8700999999999999</v>
      </c>
      <c r="O91" s="16">
        <v>29.801870000000001</v>
      </c>
      <c r="P91" s="16">
        <v>67.552999999999997</v>
      </c>
      <c r="Q91" s="31">
        <f t="shared" si="7"/>
        <v>4.8701000000000001E-2</v>
      </c>
      <c r="R91" s="32">
        <f t="shared" si="8"/>
        <v>0.29801870000000003</v>
      </c>
      <c r="S91" s="33">
        <f t="shared" si="9"/>
        <v>0.67552999999999996</v>
      </c>
      <c r="T91" s="117">
        <f>(G91-G92)/G92</f>
        <v>-0.99612002963694735</v>
      </c>
      <c r="U91" s="118">
        <f>(Q91-Q92)/Q92</f>
        <v>-0.99612002963694746</v>
      </c>
      <c r="V91" s="118">
        <f>(R91-R92)/R92</f>
        <v>-0.99640785564728607</v>
      </c>
      <c r="W91" s="119">
        <f>(S91-S92)/S92</f>
        <v>-0.9966844450395218</v>
      </c>
    </row>
    <row r="92" spans="1:23" x14ac:dyDescent="0.25">
      <c r="A92" s="122"/>
      <c r="B92" s="34">
        <v>100000000</v>
      </c>
      <c r="C92" s="35">
        <f t="shared" si="5"/>
        <v>1</v>
      </c>
      <c r="D92" s="92"/>
      <c r="E92" s="6" t="s">
        <v>170</v>
      </c>
      <c r="F92">
        <v>4.0490000000000004</v>
      </c>
      <c r="G92" s="30">
        <f t="shared" si="6"/>
        <v>4.0490000000000004</v>
      </c>
      <c r="H92" s="16">
        <v>3.52</v>
      </c>
      <c r="I92" s="16">
        <v>21.07</v>
      </c>
      <c r="J92" s="16">
        <v>134.29</v>
      </c>
      <c r="K92" s="17">
        <v>14.25248</v>
      </c>
      <c r="L92" s="16">
        <v>85.312430000000006</v>
      </c>
      <c r="M92" s="16">
        <v>543.74021000000005</v>
      </c>
      <c r="N92" s="17">
        <v>12.5519</v>
      </c>
      <c r="O92" s="16">
        <v>82.964010000000002</v>
      </c>
      <c r="P92" s="16">
        <v>203.74567999999999</v>
      </c>
      <c r="Q92" s="31">
        <f t="shared" si="7"/>
        <v>12.5519</v>
      </c>
      <c r="R92" s="32">
        <f t="shared" si="8"/>
        <v>82.964010000000002</v>
      </c>
      <c r="S92" s="33">
        <f t="shared" si="9"/>
        <v>203.74567999999999</v>
      </c>
      <c r="T92" s="93"/>
      <c r="U92" s="94"/>
      <c r="V92" s="94"/>
      <c r="W92" s="95"/>
    </row>
    <row r="93" spans="1:23" x14ac:dyDescent="0.25">
      <c r="A93" s="122"/>
      <c r="B93" s="34">
        <v>10000000000</v>
      </c>
      <c r="C93" s="35">
        <f t="shared" si="5"/>
        <v>0.01</v>
      </c>
      <c r="D93" s="92" t="s">
        <v>114</v>
      </c>
      <c r="E93" s="6" t="s">
        <v>169</v>
      </c>
      <c r="F93">
        <v>1.57</v>
      </c>
      <c r="G93" s="30">
        <f t="shared" si="6"/>
        <v>1.5700000000000002E-2</v>
      </c>
      <c r="H93" s="16">
        <v>3.52</v>
      </c>
      <c r="I93" s="16">
        <v>19.399999999999999</v>
      </c>
      <c r="J93" s="16">
        <v>133.77000000000001</v>
      </c>
      <c r="K93" s="17">
        <v>5.5264000000000006</v>
      </c>
      <c r="L93" s="16">
        <v>30.457999999999998</v>
      </c>
      <c r="M93" s="16">
        <v>210.0189</v>
      </c>
      <c r="N93" s="17">
        <v>4.867</v>
      </c>
      <c r="O93" s="16">
        <v>29.5474</v>
      </c>
      <c r="P93" s="16">
        <v>66.379600000000011</v>
      </c>
      <c r="Q93" s="31">
        <f t="shared" si="7"/>
        <v>4.8669999999999998E-2</v>
      </c>
      <c r="R93" s="32">
        <f t="shared" si="8"/>
        <v>0.29547400000000001</v>
      </c>
      <c r="S93" s="33">
        <f t="shared" si="9"/>
        <v>0.66379600000000016</v>
      </c>
      <c r="T93" s="117">
        <f>(G93-G94)/G94</f>
        <v>-0.99585423818325858</v>
      </c>
      <c r="U93" s="118">
        <f>(Q93-Q94)/Q94</f>
        <v>-0.99585423818325858</v>
      </c>
      <c r="V93" s="118">
        <f>(R93-R94)/R94</f>
        <v>-0.99616781741694138</v>
      </c>
      <c r="W93" s="119">
        <f>(S93-S94)/S94</f>
        <v>-0.99645391847841736</v>
      </c>
    </row>
    <row r="94" spans="1:23" x14ac:dyDescent="0.25">
      <c r="A94" s="122"/>
      <c r="B94" s="34">
        <v>100000000</v>
      </c>
      <c r="C94" s="35">
        <f t="shared" si="5"/>
        <v>1</v>
      </c>
      <c r="D94" s="92"/>
      <c r="E94" s="6" t="s">
        <v>170</v>
      </c>
      <c r="F94">
        <v>3.7869999999999999</v>
      </c>
      <c r="G94" s="30">
        <f t="shared" si="6"/>
        <v>3.7869999999999999</v>
      </c>
      <c r="H94" s="16">
        <v>3.52</v>
      </c>
      <c r="I94" s="16">
        <v>20.94</v>
      </c>
      <c r="J94" s="16">
        <v>133.38999999999999</v>
      </c>
      <c r="K94" s="17">
        <v>13.33024</v>
      </c>
      <c r="L94" s="16">
        <v>79.299779999999998</v>
      </c>
      <c r="M94" s="16">
        <v>505.14792999999992</v>
      </c>
      <c r="N94" s="17">
        <v>11.739699999999999</v>
      </c>
      <c r="O94" s="16">
        <v>77.103319999999997</v>
      </c>
      <c r="P94" s="16">
        <v>187.19140999999999</v>
      </c>
      <c r="Q94" s="31">
        <f t="shared" si="7"/>
        <v>11.739699999999999</v>
      </c>
      <c r="R94" s="32">
        <f t="shared" si="8"/>
        <v>77.103319999999997</v>
      </c>
      <c r="S94" s="33">
        <f t="shared" si="9"/>
        <v>187.19140999999999</v>
      </c>
      <c r="T94" s="93"/>
      <c r="U94" s="94"/>
      <c r="V94" s="94"/>
      <c r="W94" s="95"/>
    </row>
    <row r="95" spans="1:23" x14ac:dyDescent="0.25">
      <c r="A95" s="122" t="s">
        <v>91</v>
      </c>
      <c r="B95" s="34">
        <v>10000000000</v>
      </c>
      <c r="C95" s="35">
        <f t="shared" si="5"/>
        <v>0.01</v>
      </c>
      <c r="D95" s="92" t="s">
        <v>111</v>
      </c>
      <c r="E95" s="6" t="s">
        <v>169</v>
      </c>
      <c r="F95">
        <v>51.969000000000001</v>
      </c>
      <c r="G95" s="30">
        <f t="shared" si="6"/>
        <v>0.51968999999999999</v>
      </c>
      <c r="H95" s="16">
        <v>3.49</v>
      </c>
      <c r="I95" s="16">
        <v>25.58</v>
      </c>
      <c r="J95" s="16">
        <v>153.16</v>
      </c>
      <c r="K95" s="17">
        <v>181.37181000000001</v>
      </c>
      <c r="L95" s="16">
        <v>1329.3670199999999</v>
      </c>
      <c r="M95" s="16">
        <v>7959.57204</v>
      </c>
      <c r="N95" s="17">
        <v>159.54482999999999</v>
      </c>
      <c r="O95" s="16">
        <v>1299.2249999999999</v>
      </c>
      <c r="P95" s="16">
        <v>3075.5254199999999</v>
      </c>
      <c r="Q95" s="31">
        <f t="shared" si="7"/>
        <v>1.5954482999999999</v>
      </c>
      <c r="R95" s="32">
        <f t="shared" si="8"/>
        <v>12.992249999999999</v>
      </c>
      <c r="S95" s="33">
        <f t="shared" si="9"/>
        <v>30.7552542</v>
      </c>
      <c r="T95" s="117">
        <f>(G95-G96)/G96</f>
        <v>-0.97243462578899909</v>
      </c>
      <c r="U95" s="118">
        <f>(Q95-Q96)/Q96</f>
        <v>-0.97252412375721664</v>
      </c>
      <c r="V95" s="118">
        <f>(R95-R96)/R96</f>
        <v>-0.97347442820342478</v>
      </c>
      <c r="W95" s="119">
        <f>(S95-S96)/S96</f>
        <v>-0.97162923746422547</v>
      </c>
    </row>
    <row r="96" spans="1:23" x14ac:dyDescent="0.25">
      <c r="A96" s="122"/>
      <c r="B96" s="34">
        <v>100000000</v>
      </c>
      <c r="C96" s="35">
        <f t="shared" si="5"/>
        <v>1</v>
      </c>
      <c r="D96" s="92"/>
      <c r="E96" s="6" t="s">
        <v>170</v>
      </c>
      <c r="F96">
        <v>18.853000000000002</v>
      </c>
      <c r="G96" s="30">
        <f t="shared" si="6"/>
        <v>18.853000000000002</v>
      </c>
      <c r="H96" s="16">
        <v>3.5</v>
      </c>
      <c r="I96" s="16">
        <v>26.56</v>
      </c>
      <c r="J96" s="16">
        <v>155.51</v>
      </c>
      <c r="K96" s="17">
        <v>65.985500000000002</v>
      </c>
      <c r="L96" s="16">
        <v>500.73568</v>
      </c>
      <c r="M96" s="16">
        <v>2931.8300300000001</v>
      </c>
      <c r="N96" s="17">
        <v>58.067240000000012</v>
      </c>
      <c r="O96" s="16">
        <v>489.80094000000003</v>
      </c>
      <c r="P96" s="16">
        <v>1084.0474999999999</v>
      </c>
      <c r="Q96" s="31">
        <f t="shared" si="7"/>
        <v>58.067240000000012</v>
      </c>
      <c r="R96" s="32">
        <f t="shared" si="8"/>
        <v>489.80094000000003</v>
      </c>
      <c r="S96" s="33">
        <f t="shared" si="9"/>
        <v>1084.0474999999999</v>
      </c>
      <c r="T96" s="93"/>
      <c r="U96" s="94"/>
      <c r="V96" s="94"/>
      <c r="W96" s="95"/>
    </row>
    <row r="97" spans="1:23" x14ac:dyDescent="0.25">
      <c r="A97" s="122"/>
      <c r="B97" s="34">
        <v>10000000000</v>
      </c>
      <c r="C97" s="35">
        <f t="shared" si="5"/>
        <v>0.01</v>
      </c>
      <c r="D97" s="92" t="s">
        <v>114</v>
      </c>
      <c r="E97" s="6" t="s">
        <v>169</v>
      </c>
      <c r="F97">
        <v>51.008000000000003</v>
      </c>
      <c r="G97" s="30">
        <f t="shared" si="6"/>
        <v>0.51008000000000009</v>
      </c>
      <c r="H97" s="16">
        <v>3.49</v>
      </c>
      <c r="I97" s="16">
        <v>25.75</v>
      </c>
      <c r="J97" s="16">
        <v>153.72999999999999</v>
      </c>
      <c r="K97" s="17">
        <v>178.01792</v>
      </c>
      <c r="L97" s="16">
        <v>1313.4559999999999</v>
      </c>
      <c r="M97" s="16">
        <v>7841.4598400000004</v>
      </c>
      <c r="N97" s="17">
        <v>156.59456</v>
      </c>
      <c r="O97" s="16">
        <v>1283.8713600000001</v>
      </c>
      <c r="P97" s="16">
        <v>3047.7280000000001</v>
      </c>
      <c r="Q97" s="31">
        <f t="shared" si="7"/>
        <v>1.5659456</v>
      </c>
      <c r="R97" s="32">
        <f t="shared" si="8"/>
        <v>12.838713600000002</v>
      </c>
      <c r="S97" s="33">
        <f t="shared" si="9"/>
        <v>30.47728</v>
      </c>
      <c r="T97" s="117">
        <f>(G97-G98)/G98</f>
        <v>-0.96539249609878552</v>
      </c>
      <c r="U97" s="118">
        <f>(Q97-Q98)/Q98</f>
        <v>-0.96561649288779017</v>
      </c>
      <c r="V97" s="118">
        <f>(R97-R98)/R98</f>
        <v>-0.96658723156142812</v>
      </c>
      <c r="W97" s="119">
        <f>(S97-S98)/S98</f>
        <v>-0.964415791462785</v>
      </c>
    </row>
    <row r="98" spans="1:23" x14ac:dyDescent="0.25">
      <c r="A98" s="122"/>
      <c r="B98" s="34">
        <v>100000000</v>
      </c>
      <c r="C98" s="35">
        <f t="shared" si="5"/>
        <v>1</v>
      </c>
      <c r="D98" s="92"/>
      <c r="E98" s="6" t="s">
        <v>170</v>
      </c>
      <c r="F98">
        <v>14.739000000000001</v>
      </c>
      <c r="G98" s="30">
        <f t="shared" si="6"/>
        <v>14.739000000000001</v>
      </c>
      <c r="H98" s="16">
        <v>3.51</v>
      </c>
      <c r="I98" s="16">
        <v>26.65</v>
      </c>
      <c r="J98" s="16">
        <v>156.12</v>
      </c>
      <c r="K98" s="17">
        <v>51.733890000000002</v>
      </c>
      <c r="L98" s="16">
        <v>392.79435000000001</v>
      </c>
      <c r="M98" s="16">
        <v>2301.0526799999998</v>
      </c>
      <c r="N98" s="17">
        <v>45.543509999999998</v>
      </c>
      <c r="O98" s="16">
        <v>384.24572999999998</v>
      </c>
      <c r="P98" s="16">
        <v>856.48329000000001</v>
      </c>
      <c r="Q98" s="31">
        <f t="shared" si="7"/>
        <v>45.543509999999998</v>
      </c>
      <c r="R98" s="32">
        <f t="shared" si="8"/>
        <v>384.24572999999998</v>
      </c>
      <c r="S98" s="33">
        <f t="shared" si="9"/>
        <v>856.48329000000001</v>
      </c>
      <c r="T98" s="93"/>
      <c r="U98" s="94"/>
      <c r="V98" s="94"/>
      <c r="W98" s="95"/>
    </row>
    <row r="99" spans="1:23" x14ac:dyDescent="0.25">
      <c r="A99" s="122" t="s">
        <v>93</v>
      </c>
      <c r="B99" s="34">
        <v>100000000</v>
      </c>
      <c r="C99" s="35">
        <f t="shared" si="5"/>
        <v>1</v>
      </c>
      <c r="D99" s="92" t="s">
        <v>111</v>
      </c>
      <c r="E99" s="6" t="s">
        <v>169</v>
      </c>
      <c r="F99">
        <v>225.60300000000001</v>
      </c>
      <c r="G99" s="30">
        <f t="shared" si="6"/>
        <v>225.60300000000001</v>
      </c>
      <c r="H99" s="16">
        <v>3.48</v>
      </c>
      <c r="I99" s="16">
        <v>29.97</v>
      </c>
      <c r="J99" s="18">
        <v>168.34</v>
      </c>
      <c r="K99" s="17">
        <v>785.09843999999998</v>
      </c>
      <c r="L99" s="16">
        <v>6761.3219099999997</v>
      </c>
      <c r="M99" s="16">
        <v>37978.009019999998</v>
      </c>
      <c r="N99" s="17">
        <v>690.34518000000003</v>
      </c>
      <c r="O99" s="16">
        <v>6630.47217</v>
      </c>
      <c r="P99" s="16">
        <v>15873.427079999999</v>
      </c>
      <c r="Q99" s="31">
        <f t="shared" si="7"/>
        <v>690.34518000000003</v>
      </c>
      <c r="R99" s="32">
        <f t="shared" si="8"/>
        <v>6630.47217</v>
      </c>
      <c r="S99" s="33">
        <f t="shared" si="9"/>
        <v>15873.427079999999</v>
      </c>
      <c r="T99" s="117">
        <f>(G99-G100)/G100</f>
        <v>-0.89881367791243194</v>
      </c>
      <c r="U99" s="118">
        <f>(Q99-Q100)/Q100</f>
        <v>-0.89914327505278224</v>
      </c>
      <c r="V99" s="118">
        <f>(R99-R100)/R100</f>
        <v>-0.8923682227233577</v>
      </c>
      <c r="W99" s="119">
        <f>(S99-S100)/S100</f>
        <v>-0.89242264094769896</v>
      </c>
    </row>
    <row r="100" spans="1:23" x14ac:dyDescent="0.25">
      <c r="A100" s="122"/>
      <c r="B100" s="34">
        <v>10000000</v>
      </c>
      <c r="C100" s="35">
        <f t="shared" si="5"/>
        <v>10</v>
      </c>
      <c r="D100" s="92"/>
      <c r="E100" s="6" t="s">
        <v>170</v>
      </c>
      <c r="F100">
        <v>222.958</v>
      </c>
      <c r="G100" s="30">
        <f t="shared" si="6"/>
        <v>2229.58</v>
      </c>
      <c r="H100" s="16">
        <v>3.49</v>
      </c>
      <c r="I100" s="16">
        <v>28.21</v>
      </c>
      <c r="J100" s="18">
        <v>162.11000000000001</v>
      </c>
      <c r="K100" s="17">
        <v>778.12342000000001</v>
      </c>
      <c r="L100" s="16">
        <v>6289.6451800000004</v>
      </c>
      <c r="M100" s="16">
        <v>36143.721380000003</v>
      </c>
      <c r="N100" s="17">
        <v>684.48105999999996</v>
      </c>
      <c r="O100" s="16">
        <v>6160.3295399999997</v>
      </c>
      <c r="P100" s="16">
        <v>14755.36044</v>
      </c>
      <c r="Q100" s="31">
        <f t="shared" si="7"/>
        <v>6844.8105999999998</v>
      </c>
      <c r="R100" s="32">
        <f t="shared" si="8"/>
        <v>61603.295399999995</v>
      </c>
      <c r="S100" s="33">
        <f t="shared" si="9"/>
        <v>147553.60440000001</v>
      </c>
      <c r="T100" s="93"/>
      <c r="U100" s="94"/>
      <c r="V100" s="94"/>
      <c r="W100" s="95"/>
    </row>
    <row r="101" spans="1:23" x14ac:dyDescent="0.25">
      <c r="A101" s="122"/>
      <c r="B101" s="34">
        <v>100000000</v>
      </c>
      <c r="C101" s="35">
        <f t="shared" si="5"/>
        <v>1</v>
      </c>
      <c r="D101" s="92" t="s">
        <v>114</v>
      </c>
      <c r="E101" s="6" t="s">
        <v>169</v>
      </c>
      <c r="F101">
        <v>167.15799999999999</v>
      </c>
      <c r="G101" s="30">
        <f t="shared" si="6"/>
        <v>167.15799999999999</v>
      </c>
      <c r="H101" s="16">
        <v>3.46</v>
      </c>
      <c r="I101" s="16">
        <v>31.35</v>
      </c>
      <c r="J101" s="18">
        <v>173.26</v>
      </c>
      <c r="K101" s="17">
        <v>578.36667999999997</v>
      </c>
      <c r="L101" s="16">
        <v>5240.4032999999999</v>
      </c>
      <c r="M101" s="16">
        <v>28961.79508</v>
      </c>
      <c r="N101" s="17">
        <v>508.16032000000001</v>
      </c>
      <c r="O101" s="16">
        <v>5143.4516599999997</v>
      </c>
      <c r="P101" s="16">
        <v>12583.65424</v>
      </c>
      <c r="Q101" s="31">
        <f t="shared" si="7"/>
        <v>508.16032000000001</v>
      </c>
      <c r="R101" s="32">
        <f t="shared" si="8"/>
        <v>5143.4516599999997</v>
      </c>
      <c r="S101" s="33">
        <f t="shared" si="9"/>
        <v>12583.65424</v>
      </c>
      <c r="T101" s="117">
        <f>(G101-G102)/G102</f>
        <v>-0.85358979075246777</v>
      </c>
      <c r="U101" s="118">
        <f>(Q101-Q102)/Q102</f>
        <v>-0.85502050940960983</v>
      </c>
      <c r="V101" s="118">
        <f>(R101-R102)/R102</f>
        <v>-0.83939243712846467</v>
      </c>
      <c r="W101" s="119">
        <f>(S101-S102)/S102</f>
        <v>-0.83673884532433374</v>
      </c>
    </row>
    <row r="102" spans="1:23" x14ac:dyDescent="0.25">
      <c r="A102" s="122"/>
      <c r="B102" s="34">
        <v>10000000</v>
      </c>
      <c r="C102" s="35">
        <f t="shared" si="5"/>
        <v>10</v>
      </c>
      <c r="D102" s="92"/>
      <c r="E102" s="6" t="s">
        <v>170</v>
      </c>
      <c r="F102">
        <v>114.17100000000001</v>
      </c>
      <c r="G102" s="30">
        <f t="shared" si="6"/>
        <v>1141.71</v>
      </c>
      <c r="H102" s="16">
        <v>3.49</v>
      </c>
      <c r="I102" s="16">
        <v>28.63</v>
      </c>
      <c r="J102" s="18">
        <v>163.44</v>
      </c>
      <c r="K102" s="17">
        <v>398.45679000000013</v>
      </c>
      <c r="L102" s="16">
        <v>3268.7157299999999</v>
      </c>
      <c r="M102" s="16">
        <v>18660.108240000001</v>
      </c>
      <c r="N102" s="17">
        <v>350.50497000000001</v>
      </c>
      <c r="O102" s="16">
        <v>3202.4965499999998</v>
      </c>
      <c r="P102" s="16">
        <v>7707.6842100000013</v>
      </c>
      <c r="Q102" s="31">
        <f t="shared" si="7"/>
        <v>3505.0497</v>
      </c>
      <c r="R102" s="32">
        <f t="shared" si="8"/>
        <v>32024.965499999998</v>
      </c>
      <c r="S102" s="33">
        <f t="shared" si="9"/>
        <v>77076.842100000009</v>
      </c>
      <c r="T102" s="93"/>
      <c r="U102" s="94"/>
      <c r="V102" s="94"/>
      <c r="W102" s="95"/>
    </row>
    <row r="103" spans="1:23" x14ac:dyDescent="0.25">
      <c r="A103" s="122" t="s">
        <v>95</v>
      </c>
      <c r="B103" s="34">
        <v>100000000</v>
      </c>
      <c r="C103" s="35">
        <f t="shared" si="5"/>
        <v>1</v>
      </c>
      <c r="D103" s="92" t="s">
        <v>111</v>
      </c>
      <c r="E103" s="6" t="s">
        <v>169</v>
      </c>
      <c r="F103">
        <v>30.221</v>
      </c>
      <c r="G103" s="30">
        <f t="shared" si="6"/>
        <v>30.221</v>
      </c>
      <c r="H103" s="16">
        <v>3.5</v>
      </c>
      <c r="I103" s="16">
        <v>29.42</v>
      </c>
      <c r="J103" s="18">
        <v>165.07</v>
      </c>
      <c r="K103" s="17">
        <v>105.7735</v>
      </c>
      <c r="L103" s="16">
        <v>889.10182000000009</v>
      </c>
      <c r="M103" s="16">
        <v>4988.5804699999999</v>
      </c>
      <c r="N103" s="17">
        <v>93.080680000000001</v>
      </c>
      <c r="O103" s="16">
        <v>871.57363999999995</v>
      </c>
      <c r="P103" s="16">
        <v>2023.59816</v>
      </c>
      <c r="Q103" s="31">
        <f t="shared" si="7"/>
        <v>93.080680000000001</v>
      </c>
      <c r="R103" s="32">
        <f t="shared" si="8"/>
        <v>871.57363999999995</v>
      </c>
      <c r="S103" s="33">
        <f t="shared" si="9"/>
        <v>2023.59816</v>
      </c>
      <c r="T103" s="117">
        <f>(G103-G104)/G104</f>
        <v>-0.97926276135123824</v>
      </c>
      <c r="U103" s="118">
        <f>(Q103-Q104)/Q104</f>
        <v>-0.97926276135123824</v>
      </c>
      <c r="V103" s="118">
        <f>(R103-R104)/R104</f>
        <v>-0.97650051227385892</v>
      </c>
      <c r="W103" s="119">
        <f>(S103-S104)/S104</f>
        <v>-0.97592639563243611</v>
      </c>
    </row>
    <row r="104" spans="1:23" x14ac:dyDescent="0.25">
      <c r="A104" s="122"/>
      <c r="B104" s="34">
        <v>10000000</v>
      </c>
      <c r="C104" s="35">
        <f t="shared" si="5"/>
        <v>10</v>
      </c>
      <c r="D104" s="92"/>
      <c r="E104" s="6" t="s">
        <v>170</v>
      </c>
      <c r="F104">
        <v>145.733</v>
      </c>
      <c r="G104" s="30">
        <f t="shared" si="6"/>
        <v>1457.33</v>
      </c>
      <c r="H104" s="16">
        <v>3.5</v>
      </c>
      <c r="I104" s="16">
        <v>26.03</v>
      </c>
      <c r="J104" s="18">
        <v>155.09</v>
      </c>
      <c r="K104" s="17">
        <v>510.06549999999999</v>
      </c>
      <c r="L104" s="16">
        <v>3793.4299900000001</v>
      </c>
      <c r="M104" s="16">
        <v>22601.730970000001</v>
      </c>
      <c r="N104" s="17">
        <v>448.85764</v>
      </c>
      <c r="O104" s="16">
        <v>3708.9048499999999</v>
      </c>
      <c r="P104" s="16">
        <v>8405.8794400000006</v>
      </c>
      <c r="Q104" s="31">
        <f t="shared" si="7"/>
        <v>4488.5763999999999</v>
      </c>
      <c r="R104" s="32">
        <f t="shared" si="8"/>
        <v>37089.048499999997</v>
      </c>
      <c r="S104" s="33">
        <f t="shared" si="9"/>
        <v>84058.794400000013</v>
      </c>
      <c r="T104" s="93"/>
      <c r="U104" s="94"/>
      <c r="V104" s="94"/>
      <c r="W104" s="95"/>
    </row>
    <row r="105" spans="1:23" x14ac:dyDescent="0.25">
      <c r="A105" s="122"/>
      <c r="B105" s="34">
        <v>100000000</v>
      </c>
      <c r="C105" s="35">
        <f t="shared" si="5"/>
        <v>1</v>
      </c>
      <c r="D105" s="92" t="s">
        <v>114</v>
      </c>
      <c r="E105" s="6" t="s">
        <v>169</v>
      </c>
      <c r="F105">
        <v>24.710999999999999</v>
      </c>
      <c r="G105" s="30">
        <f t="shared" si="6"/>
        <v>24.710999999999999</v>
      </c>
      <c r="H105" s="16">
        <v>3.51</v>
      </c>
      <c r="I105" s="16">
        <v>29.15</v>
      </c>
      <c r="J105" s="18">
        <v>164.96</v>
      </c>
      <c r="K105" s="17">
        <v>86.735609999999994</v>
      </c>
      <c r="L105" s="16">
        <v>720.32564999999988</v>
      </c>
      <c r="M105" s="16">
        <v>4076.32656</v>
      </c>
      <c r="N105" s="17">
        <v>76.356989999999996</v>
      </c>
      <c r="O105" s="16">
        <v>705.99326999999994</v>
      </c>
      <c r="P105" s="16">
        <v>1651.9303500000001</v>
      </c>
      <c r="Q105" s="31">
        <f t="shared" si="7"/>
        <v>76.356989999999996</v>
      </c>
      <c r="R105" s="32">
        <f t="shared" si="8"/>
        <v>705.99326999999994</v>
      </c>
      <c r="S105" s="33">
        <f t="shared" si="9"/>
        <v>1651.9303500000001</v>
      </c>
      <c r="T105" s="117">
        <f>(G105-G106)/G106</f>
        <v>-0.97170388182755063</v>
      </c>
      <c r="U105" s="118">
        <f>(Q105-Q106)/Q106</f>
        <v>-0.97161201131400365</v>
      </c>
      <c r="V105" s="118">
        <f>(R105-R106)/R106</f>
        <v>-0.96913248964540377</v>
      </c>
      <c r="W105" s="119">
        <f>(S105-S106)/S106</f>
        <v>-0.9691520629512681</v>
      </c>
    </row>
    <row r="106" spans="1:23" x14ac:dyDescent="0.25">
      <c r="A106" s="122"/>
      <c r="B106" s="34">
        <v>10000000</v>
      </c>
      <c r="C106" s="35">
        <f t="shared" si="5"/>
        <v>10</v>
      </c>
      <c r="D106" s="92"/>
      <c r="E106" s="6" t="s">
        <v>170</v>
      </c>
      <c r="F106">
        <v>87.33</v>
      </c>
      <c r="G106" s="30">
        <f t="shared" si="6"/>
        <v>873.3</v>
      </c>
      <c r="H106" s="19">
        <v>3.5</v>
      </c>
      <c r="I106" s="19">
        <v>26.77</v>
      </c>
      <c r="J106" s="21">
        <v>158.72999999999999</v>
      </c>
      <c r="K106" s="20">
        <v>305.65499999999997</v>
      </c>
      <c r="L106" s="19">
        <v>2337.8240999999998</v>
      </c>
      <c r="M106" s="19">
        <v>13861.8909</v>
      </c>
      <c r="N106" s="20">
        <v>268.97640000000001</v>
      </c>
      <c r="O106" s="19">
        <v>2287.1727000000001</v>
      </c>
      <c r="P106" s="19">
        <v>5355.0756000000001</v>
      </c>
      <c r="Q106" s="31">
        <f t="shared" si="7"/>
        <v>2689.7640000000001</v>
      </c>
      <c r="R106" s="32">
        <f t="shared" si="8"/>
        <v>22871.726999999999</v>
      </c>
      <c r="S106" s="33">
        <f t="shared" si="9"/>
        <v>53550.756000000001</v>
      </c>
      <c r="T106" s="96"/>
      <c r="U106" s="97"/>
      <c r="V106" s="97"/>
      <c r="W106" s="98"/>
    </row>
    <row r="107" spans="1:23" x14ac:dyDescent="0.25">
      <c r="S107" s="33"/>
    </row>
  </sheetData>
  <mergeCells count="298">
    <mergeCell ref="G1:G2"/>
    <mergeCell ref="H1:J1"/>
    <mergeCell ref="K1:M1"/>
    <mergeCell ref="N1:P1"/>
    <mergeCell ref="Q1:S1"/>
    <mergeCell ref="T1:W1"/>
    <mergeCell ref="A1:A2"/>
    <mergeCell ref="B1:B2"/>
    <mergeCell ref="C1:C2"/>
    <mergeCell ref="D1:D2"/>
    <mergeCell ref="E1:E2"/>
    <mergeCell ref="F1:F2"/>
    <mergeCell ref="W5:W6"/>
    <mergeCell ref="A7:A10"/>
    <mergeCell ref="D7:D8"/>
    <mergeCell ref="T7:T8"/>
    <mergeCell ref="U7:U8"/>
    <mergeCell ref="V7:V8"/>
    <mergeCell ref="W7:W8"/>
    <mergeCell ref="D9:D10"/>
    <mergeCell ref="T9:T10"/>
    <mergeCell ref="U9:U10"/>
    <mergeCell ref="A3:A6"/>
    <mergeCell ref="D3:D4"/>
    <mergeCell ref="T3:T4"/>
    <mergeCell ref="U3:U4"/>
    <mergeCell ref="V3:V4"/>
    <mergeCell ref="W3:W4"/>
    <mergeCell ref="D5:D6"/>
    <mergeCell ref="T5:T6"/>
    <mergeCell ref="U5:U6"/>
    <mergeCell ref="V5:V6"/>
    <mergeCell ref="V9:V10"/>
    <mergeCell ref="W9:W10"/>
    <mergeCell ref="A11:A14"/>
    <mergeCell ref="D11:D12"/>
    <mergeCell ref="T11:T12"/>
    <mergeCell ref="U11:U12"/>
    <mergeCell ref="V11:V12"/>
    <mergeCell ref="W11:W12"/>
    <mergeCell ref="D13:D14"/>
    <mergeCell ref="T13:T14"/>
    <mergeCell ref="U13:U14"/>
    <mergeCell ref="V13:V14"/>
    <mergeCell ref="W13:W14"/>
    <mergeCell ref="A15:A18"/>
    <mergeCell ref="D15:D16"/>
    <mergeCell ref="T15:T16"/>
    <mergeCell ref="U15:U16"/>
    <mergeCell ref="V15:V16"/>
    <mergeCell ref="W15:W16"/>
    <mergeCell ref="D17:D18"/>
    <mergeCell ref="A23:A26"/>
    <mergeCell ref="D23:D24"/>
    <mergeCell ref="T23:T24"/>
    <mergeCell ref="U23:U24"/>
    <mergeCell ref="V23:V24"/>
    <mergeCell ref="T17:T18"/>
    <mergeCell ref="U17:U18"/>
    <mergeCell ref="V17:V18"/>
    <mergeCell ref="W17:W18"/>
    <mergeCell ref="A19:A22"/>
    <mergeCell ref="D19:D20"/>
    <mergeCell ref="T19:T20"/>
    <mergeCell ref="U19:U20"/>
    <mergeCell ref="V19:V20"/>
    <mergeCell ref="W19:W20"/>
    <mergeCell ref="W23:W24"/>
    <mergeCell ref="D25:D26"/>
    <mergeCell ref="T25:T26"/>
    <mergeCell ref="U25:U26"/>
    <mergeCell ref="V25:V26"/>
    <mergeCell ref="W25:W26"/>
    <mergeCell ref="D21:D22"/>
    <mergeCell ref="T21:T22"/>
    <mergeCell ref="U21:U22"/>
    <mergeCell ref="V21:V22"/>
    <mergeCell ref="W21:W22"/>
    <mergeCell ref="W29:W30"/>
    <mergeCell ref="A31:A34"/>
    <mergeCell ref="D31:D32"/>
    <mergeCell ref="T31:T32"/>
    <mergeCell ref="U31:U32"/>
    <mergeCell ref="V31:V32"/>
    <mergeCell ref="W31:W32"/>
    <mergeCell ref="D33:D34"/>
    <mergeCell ref="T33:T34"/>
    <mergeCell ref="U33:U34"/>
    <mergeCell ref="A27:A30"/>
    <mergeCell ref="D27:D28"/>
    <mergeCell ref="T27:T28"/>
    <mergeCell ref="U27:U28"/>
    <mergeCell ref="V27:V28"/>
    <mergeCell ref="W27:W28"/>
    <mergeCell ref="D29:D30"/>
    <mergeCell ref="T29:T30"/>
    <mergeCell ref="U29:U30"/>
    <mergeCell ref="V29:V30"/>
    <mergeCell ref="V33:V34"/>
    <mergeCell ref="W33:W34"/>
    <mergeCell ref="A35:A38"/>
    <mergeCell ref="D35:D36"/>
    <mergeCell ref="T35:T36"/>
    <mergeCell ref="U35:U36"/>
    <mergeCell ref="V35:V36"/>
    <mergeCell ref="W35:W36"/>
    <mergeCell ref="D37:D38"/>
    <mergeCell ref="T37:T38"/>
    <mergeCell ref="U37:U38"/>
    <mergeCell ref="V37:V38"/>
    <mergeCell ref="W37:W38"/>
    <mergeCell ref="A39:A42"/>
    <mergeCell ref="D39:D40"/>
    <mergeCell ref="T39:T40"/>
    <mergeCell ref="U39:U40"/>
    <mergeCell ref="V39:V40"/>
    <mergeCell ref="W39:W40"/>
    <mergeCell ref="D41:D42"/>
    <mergeCell ref="A47:A50"/>
    <mergeCell ref="D47:D48"/>
    <mergeCell ref="T47:T48"/>
    <mergeCell ref="U47:U48"/>
    <mergeCell ref="V47:V48"/>
    <mergeCell ref="T41:T42"/>
    <mergeCell ref="U41:U42"/>
    <mergeCell ref="V41:V42"/>
    <mergeCell ref="W41:W42"/>
    <mergeCell ref="A43:A46"/>
    <mergeCell ref="D43:D44"/>
    <mergeCell ref="T43:T44"/>
    <mergeCell ref="U43:U44"/>
    <mergeCell ref="V43:V44"/>
    <mergeCell ref="W43:W44"/>
    <mergeCell ref="W47:W48"/>
    <mergeCell ref="D49:D50"/>
    <mergeCell ref="T49:T50"/>
    <mergeCell ref="U49:U50"/>
    <mergeCell ref="V49:V50"/>
    <mergeCell ref="W49:W50"/>
    <mergeCell ref="D45:D46"/>
    <mergeCell ref="T45:T46"/>
    <mergeCell ref="U45:U46"/>
    <mergeCell ref="V45:V46"/>
    <mergeCell ref="W45:W46"/>
    <mergeCell ref="W53:W54"/>
    <mergeCell ref="A55:A58"/>
    <mergeCell ref="D55:D56"/>
    <mergeCell ref="T55:T56"/>
    <mergeCell ref="U55:U56"/>
    <mergeCell ref="V55:V56"/>
    <mergeCell ref="W55:W56"/>
    <mergeCell ref="D57:D58"/>
    <mergeCell ref="T57:T58"/>
    <mergeCell ref="U57:U58"/>
    <mergeCell ref="A51:A54"/>
    <mergeCell ref="D51:D52"/>
    <mergeCell ref="T51:T52"/>
    <mergeCell ref="U51:U52"/>
    <mergeCell ref="V51:V52"/>
    <mergeCell ref="W51:W52"/>
    <mergeCell ref="D53:D54"/>
    <mergeCell ref="T53:T54"/>
    <mergeCell ref="U53:U54"/>
    <mergeCell ref="V53:V54"/>
    <mergeCell ref="V57:V58"/>
    <mergeCell ref="W57:W58"/>
    <mergeCell ref="A59:A62"/>
    <mergeCell ref="D59:D60"/>
    <mergeCell ref="T59:T60"/>
    <mergeCell ref="U59:U60"/>
    <mergeCell ref="V59:V60"/>
    <mergeCell ref="W59:W60"/>
    <mergeCell ref="D61:D62"/>
    <mergeCell ref="T61:T62"/>
    <mergeCell ref="U61:U62"/>
    <mergeCell ref="V61:V62"/>
    <mergeCell ref="W61:W62"/>
    <mergeCell ref="A63:A66"/>
    <mergeCell ref="D63:D64"/>
    <mergeCell ref="T63:T64"/>
    <mergeCell ref="U63:U64"/>
    <mergeCell ref="V63:V64"/>
    <mergeCell ref="W63:W64"/>
    <mergeCell ref="D65:D66"/>
    <mergeCell ref="A71:A74"/>
    <mergeCell ref="D71:D72"/>
    <mergeCell ref="T71:T72"/>
    <mergeCell ref="U71:U72"/>
    <mergeCell ref="V71:V72"/>
    <mergeCell ref="T65:T66"/>
    <mergeCell ref="U65:U66"/>
    <mergeCell ref="V65:V66"/>
    <mergeCell ref="W65:W66"/>
    <mergeCell ref="A67:A70"/>
    <mergeCell ref="D67:D68"/>
    <mergeCell ref="T67:T68"/>
    <mergeCell ref="U67:U68"/>
    <mergeCell ref="V67:V68"/>
    <mergeCell ref="W67:W68"/>
    <mergeCell ref="W71:W72"/>
    <mergeCell ref="D73:D74"/>
    <mergeCell ref="T73:T74"/>
    <mergeCell ref="U73:U74"/>
    <mergeCell ref="V73:V74"/>
    <mergeCell ref="W73:W74"/>
    <mergeCell ref="D69:D70"/>
    <mergeCell ref="T69:T70"/>
    <mergeCell ref="U69:U70"/>
    <mergeCell ref="V69:V70"/>
    <mergeCell ref="W69:W70"/>
    <mergeCell ref="W77:W78"/>
    <mergeCell ref="A79:A82"/>
    <mergeCell ref="D79:D80"/>
    <mergeCell ref="T79:T80"/>
    <mergeCell ref="U79:U80"/>
    <mergeCell ref="V79:V80"/>
    <mergeCell ref="W79:W80"/>
    <mergeCell ref="D81:D82"/>
    <mergeCell ref="T81:T82"/>
    <mergeCell ref="U81:U82"/>
    <mergeCell ref="A75:A78"/>
    <mergeCell ref="D75:D76"/>
    <mergeCell ref="T75:T76"/>
    <mergeCell ref="U75:U76"/>
    <mergeCell ref="V75:V76"/>
    <mergeCell ref="W75:W76"/>
    <mergeCell ref="D77:D78"/>
    <mergeCell ref="T77:T78"/>
    <mergeCell ref="U77:U78"/>
    <mergeCell ref="V77:V78"/>
    <mergeCell ref="V81:V82"/>
    <mergeCell ref="W81:W82"/>
    <mergeCell ref="A83:A86"/>
    <mergeCell ref="D83:D84"/>
    <mergeCell ref="T83:T84"/>
    <mergeCell ref="U83:U84"/>
    <mergeCell ref="V83:V84"/>
    <mergeCell ref="W83:W84"/>
    <mergeCell ref="D85:D86"/>
    <mergeCell ref="T85:T86"/>
    <mergeCell ref="U85:U86"/>
    <mergeCell ref="V85:V86"/>
    <mergeCell ref="W85:W86"/>
    <mergeCell ref="A87:A90"/>
    <mergeCell ref="D87:D88"/>
    <mergeCell ref="T87:T88"/>
    <mergeCell ref="U87:U88"/>
    <mergeCell ref="V87:V88"/>
    <mergeCell ref="W87:W88"/>
    <mergeCell ref="D89:D90"/>
    <mergeCell ref="A95:A98"/>
    <mergeCell ref="D95:D96"/>
    <mergeCell ref="T95:T96"/>
    <mergeCell ref="U95:U96"/>
    <mergeCell ref="V95:V96"/>
    <mergeCell ref="T89:T90"/>
    <mergeCell ref="U89:U90"/>
    <mergeCell ref="V89:V90"/>
    <mergeCell ref="W89:W90"/>
    <mergeCell ref="A91:A94"/>
    <mergeCell ref="D91:D92"/>
    <mergeCell ref="T91:T92"/>
    <mergeCell ref="U91:U92"/>
    <mergeCell ref="V91:V92"/>
    <mergeCell ref="W91:W92"/>
    <mergeCell ref="W95:W96"/>
    <mergeCell ref="D97:D98"/>
    <mergeCell ref="T97:T98"/>
    <mergeCell ref="U97:U98"/>
    <mergeCell ref="V97:V98"/>
    <mergeCell ref="W97:W98"/>
    <mergeCell ref="D93:D94"/>
    <mergeCell ref="T93:T94"/>
    <mergeCell ref="U93:U94"/>
    <mergeCell ref="V93:V94"/>
    <mergeCell ref="W93:W94"/>
    <mergeCell ref="V105:V106"/>
    <mergeCell ref="W105:W106"/>
    <mergeCell ref="W101:W102"/>
    <mergeCell ref="A103:A106"/>
    <mergeCell ref="D103:D104"/>
    <mergeCell ref="T103:T104"/>
    <mergeCell ref="U103:U104"/>
    <mergeCell ref="V103:V104"/>
    <mergeCell ref="W103:W104"/>
    <mergeCell ref="D105:D106"/>
    <mergeCell ref="T105:T106"/>
    <mergeCell ref="U105:U106"/>
    <mergeCell ref="A99:A102"/>
    <mergeCell ref="D99:D100"/>
    <mergeCell ref="T99:T100"/>
    <mergeCell ref="U99:U100"/>
    <mergeCell ref="V99:V100"/>
    <mergeCell ref="W99:W100"/>
    <mergeCell ref="D101:D102"/>
    <mergeCell ref="T101:T102"/>
    <mergeCell ref="U101:U102"/>
    <mergeCell ref="V101:V102"/>
  </mergeCells>
  <conditionalFormatting sqref="T3:W106">
    <cfRule type="colorScale" priority="1">
      <colorScale>
        <cfvo type="num" val="-1"/>
        <cfvo type="num" val="0"/>
        <cfvo type="num" val="1"/>
        <color rgb="FF92D050"/>
        <color rgb="FFFFC000"/>
        <color rgb="FFFF0000"/>
      </colorScale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94683-D111-49A1-979B-839EFF708F00}">
  <dimension ref="B2:AD53"/>
  <sheetViews>
    <sheetView tabSelected="1" topLeftCell="O1" zoomScale="85" zoomScaleNormal="85" workbookViewId="0">
      <selection activeCell="Q5" sqref="Q5:R30"/>
    </sheetView>
  </sheetViews>
  <sheetFormatPr baseColWidth="10" defaultRowHeight="15" x14ac:dyDescent="0.25"/>
  <cols>
    <col min="7" max="7" width="33.5703125" bestFit="1" customWidth="1"/>
    <col min="12" max="12" width="33.5703125" bestFit="1" customWidth="1"/>
    <col min="18" max="18" width="33.5703125" bestFit="1" customWidth="1"/>
    <col min="22" max="22" width="7.7109375" bestFit="1" customWidth="1"/>
    <col min="23" max="23" width="33.5703125" bestFit="1" customWidth="1"/>
    <col min="24" max="24" width="18.28515625" bestFit="1" customWidth="1"/>
    <col min="26" max="26" width="12.5703125" bestFit="1" customWidth="1"/>
    <col min="27" max="27" width="37.7109375" bestFit="1" customWidth="1"/>
    <col min="29" max="29" width="12.5703125" bestFit="1" customWidth="1"/>
    <col min="30" max="30" width="28.42578125" bestFit="1" customWidth="1"/>
  </cols>
  <sheetData>
    <row r="2" spans="2:30" x14ac:dyDescent="0.25">
      <c r="B2" s="38"/>
      <c r="C2" s="88" t="s">
        <v>206</v>
      </c>
      <c r="D2" s="88"/>
      <c r="E2" s="88"/>
      <c r="F2" s="88"/>
      <c r="G2" s="88"/>
      <c r="H2" s="88"/>
      <c r="I2" s="88"/>
      <c r="J2" s="88"/>
      <c r="K2" s="88"/>
      <c r="L2" s="88"/>
      <c r="N2" s="82" t="s">
        <v>207</v>
      </c>
      <c r="O2" s="83"/>
      <c r="P2" s="83"/>
      <c r="Q2" s="83"/>
      <c r="R2" s="83"/>
      <c r="S2" s="83"/>
      <c r="T2" s="83"/>
      <c r="U2" s="83"/>
      <c r="V2" s="83"/>
      <c r="W2" s="84"/>
    </row>
    <row r="3" spans="2:30" ht="15.75" x14ac:dyDescent="0.25">
      <c r="B3" s="38"/>
      <c r="C3" s="82" t="s">
        <v>100</v>
      </c>
      <c r="D3" s="83"/>
      <c r="E3" s="83"/>
      <c r="F3" s="83"/>
      <c r="G3" s="84"/>
      <c r="H3" s="88" t="s">
        <v>205</v>
      </c>
      <c r="I3" s="88"/>
      <c r="J3" s="88"/>
      <c r="K3" s="88"/>
      <c r="L3" s="88"/>
      <c r="N3" s="82" t="s">
        <v>100</v>
      </c>
      <c r="O3" s="83"/>
      <c r="P3" s="83"/>
      <c r="Q3" s="83"/>
      <c r="R3" s="83"/>
      <c r="S3" s="83" t="s">
        <v>205</v>
      </c>
      <c r="T3" s="83"/>
      <c r="U3" s="83"/>
      <c r="V3" s="40"/>
      <c r="W3" s="41"/>
      <c r="Z3" s="85" t="s">
        <v>205</v>
      </c>
      <c r="AA3" s="86"/>
      <c r="AC3" s="85" t="s">
        <v>205</v>
      </c>
      <c r="AD3" s="86"/>
    </row>
    <row r="4" spans="2:30" x14ac:dyDescent="0.25">
      <c r="B4" s="39" t="s">
        <v>97</v>
      </c>
      <c r="C4" s="29" t="s">
        <v>145</v>
      </c>
      <c r="D4" s="29" t="s">
        <v>146</v>
      </c>
      <c r="E4" s="29" t="s">
        <v>147</v>
      </c>
      <c r="F4" s="15" t="s">
        <v>208</v>
      </c>
      <c r="G4" s="15" t="s">
        <v>171</v>
      </c>
      <c r="H4" s="29" t="s">
        <v>145</v>
      </c>
      <c r="I4" s="29" t="s">
        <v>146</v>
      </c>
      <c r="J4" s="29" t="s">
        <v>147</v>
      </c>
      <c r="K4" s="29" t="s">
        <v>208</v>
      </c>
      <c r="L4" s="29" t="s">
        <v>171</v>
      </c>
      <c r="M4" s="39" t="s">
        <v>97</v>
      </c>
      <c r="N4" s="29" t="s">
        <v>145</v>
      </c>
      <c r="O4" s="29" t="s">
        <v>146</v>
      </c>
      <c r="P4" s="29" t="s">
        <v>147</v>
      </c>
      <c r="Q4" s="15" t="s">
        <v>208</v>
      </c>
      <c r="R4" s="29" t="s">
        <v>171</v>
      </c>
      <c r="S4" s="29" t="s">
        <v>145</v>
      </c>
      <c r="T4" s="29" t="s">
        <v>146</v>
      </c>
      <c r="U4" s="29" t="s">
        <v>147</v>
      </c>
      <c r="V4" s="15" t="s">
        <v>208</v>
      </c>
      <c r="W4" s="29" t="s">
        <v>171</v>
      </c>
      <c r="X4" s="63" t="s">
        <v>172</v>
      </c>
      <c r="Z4" s="82" t="s">
        <v>206</v>
      </c>
      <c r="AA4" s="84"/>
      <c r="AB4" s="42"/>
      <c r="AC4" s="82" t="s">
        <v>207</v>
      </c>
      <c r="AD4" s="84"/>
    </row>
    <row r="5" spans="2:30" x14ac:dyDescent="0.25">
      <c r="B5" s="66" t="s">
        <v>150</v>
      </c>
      <c r="C5" s="64" cm="1">
        <f t="array" aca="1" ref="C5" ca="1">INDIRECT("'Java Impact of Technique'!G" &amp; 3 + (ROW(A1)-1)*4)</f>
        <v>0.41822999999999999</v>
      </c>
      <c r="D5" s="64" cm="1">
        <f t="array" aca="1" ref="D5" ca="1">INDIRECT("'Java Impact of Technique'!G" &amp; 4 + (ROW(A1)-1)*4)</f>
        <v>0.42030000000000001</v>
      </c>
      <c r="E5" s="64" cm="1">
        <f t="array" aca="1" ref="E5" ca="1">INDIRECT("'Java Impact of Technique'!T" &amp; 3 + (ROW(A1)-1)*4)*100</f>
        <v>0.49494297396169745</v>
      </c>
      <c r="F5" s="64">
        <v>2.9845759669437845E-6</v>
      </c>
      <c r="G5" s="67" t="s">
        <v>180</v>
      </c>
      <c r="H5" s="64" cm="1">
        <f t="array" aca="1" ref="H5" ca="1">INDIRECT("'Java Impact of Technique'!S" &amp; 3 + (ROW(A1)-1)*4)</f>
        <v>20.0164878</v>
      </c>
      <c r="I5" s="64" cm="1">
        <f t="array" aca="1" ref="I5" ca="1">INDIRECT("'Java Impact of Technique'!S" &amp; 4 + (ROW(A1)-1)*4)</f>
        <v>19.543949999999999</v>
      </c>
      <c r="J5" s="64" cm="1">
        <f t="array" aca="1" ref="J5" ca="1">INDIRECT("'Java Impact of Technique'!W" &amp; 3 + (ROW(A1)-1)*4)*100</f>
        <v>-2.3607428272206743</v>
      </c>
      <c r="K5" s="64">
        <v>1.5958584261266201E-2</v>
      </c>
      <c r="L5" s="64" t="s">
        <v>209</v>
      </c>
      <c r="M5" s="68" t="s">
        <v>150</v>
      </c>
      <c r="N5" s="64" cm="1">
        <f t="array" aca="1" ref="N5" ca="1">INDIRECT("'Java Impact of Technique'!G" &amp; 5 + (ROW(A1)-1)*4)</f>
        <v>94.863</v>
      </c>
      <c r="O5" s="64" cm="1">
        <f t="array" aca="1" ref="O5" ca="1">INDIRECT("'Java Impact of Technique'!G" &amp; 6 + (ROW(A1)-1)*4)</f>
        <v>19.542999999999999</v>
      </c>
      <c r="P5" s="64" cm="1">
        <f t="array" aca="1" ref="P5" ca="1">INDIRECT("'Java Impact of Technique'!T" &amp; 5 + (ROW(A1)-1)*4)*100</f>
        <v>-79.398711826528782</v>
      </c>
      <c r="Q5" s="64">
        <v>1.5958584261266201E-2</v>
      </c>
      <c r="R5" s="64" t="s">
        <v>209</v>
      </c>
      <c r="S5" s="64" cm="1">
        <f t="array" aca="1" ref="S5" ca="1">INDIRECT("'Java Impact of Technique'!S" &amp; 5 + (ROW(A1)-1)*4)</f>
        <v>5229.7971900000002</v>
      </c>
      <c r="T5" s="64" cm="1">
        <f t="array" aca="1" ref="T5" ca="1">INDIRECT("'Java Impact of Technique'!S" &amp; 6 + (ROW(A1)-1)*4)</f>
        <v>1182.9377899999999</v>
      </c>
      <c r="U5" s="64" cm="1">
        <f t="array" aca="1" ref="U5" ca="1">INDIRECT("'Java Impact of Technique'!W" &amp; 5 + (ROW(A1)-1)*4)*100</f>
        <v>-77.380809484124569</v>
      </c>
      <c r="V5" s="64">
        <v>2.8719490663203402E-11</v>
      </c>
      <c r="W5" s="64" t="s">
        <v>210</v>
      </c>
      <c r="X5" s="64">
        <f ca="1">AVERAGE(J5,U5)</f>
        <v>-39.870776155672623</v>
      </c>
      <c r="Z5" s="15" t="s">
        <v>149</v>
      </c>
      <c r="AA5" s="15" t="s">
        <v>148</v>
      </c>
      <c r="AB5" s="42"/>
      <c r="AC5" s="15" t="s">
        <v>149</v>
      </c>
      <c r="AD5" s="15" t="s">
        <v>148</v>
      </c>
    </row>
    <row r="6" spans="2:30" x14ac:dyDescent="0.25">
      <c r="B6" s="66" t="s">
        <v>151</v>
      </c>
      <c r="C6" s="64" cm="1">
        <f t="array" aca="1" ref="C6" ca="1">INDIRECT("'Java Impact of Technique'!G" &amp; 3 + (ROW(A2)-1)*4)</f>
        <v>133.154</v>
      </c>
      <c r="D6" s="64" cm="1">
        <f t="array" aca="1" ref="D6" ca="1">INDIRECT("'Java Impact of Technique'!G" &amp; 4 + (ROW(A2)-1)*4)</f>
        <v>41.545999999999999</v>
      </c>
      <c r="E6" s="64" cm="1">
        <f t="array" aca="1" ref="E6" ca="1">INDIRECT("'Java Impact of Technique'!T" &amp; 3 + (ROW(A2)-1)*4)*100</f>
        <v>-68.798534028268023</v>
      </c>
      <c r="F6" s="64">
        <v>2.8719490663203402E-11</v>
      </c>
      <c r="G6" s="67" t="s">
        <v>180</v>
      </c>
      <c r="H6" s="64" cm="1">
        <f t="array" aca="1" ref="H6" ca="1">INDIRECT("'Java Impact of Technique'!S" &amp; 3 + (ROW(A2)-1)*4)</f>
        <v>7886.7114199999996</v>
      </c>
      <c r="I6" s="64" cm="1">
        <f t="array" aca="1" ref="I6" ca="1">INDIRECT("'Java Impact of Technique'!S" &amp; 4 + (ROW(A2)-1)*4)</f>
        <v>2412.9916800000001</v>
      </c>
      <c r="J6" s="64" cm="1">
        <f t="array" aca="1" ref="J6" ca="1">INDIRECT("'Java Impact of Technique'!W" &amp; 3 + (ROW(A2)-1)*4)*100</f>
        <v>-69.404336592297938</v>
      </c>
      <c r="K6" s="64">
        <v>2.8719490663203402E-11</v>
      </c>
      <c r="L6" s="64" t="s">
        <v>180</v>
      </c>
      <c r="M6" s="68" t="s">
        <v>151</v>
      </c>
      <c r="N6" s="64" cm="1">
        <f t="array" aca="1" ref="N6" ca="1">INDIRECT("'Java Impact of Technique'!G" &amp; 5 + (ROW(A2)-1)*4)</f>
        <v>2668.4500000000003</v>
      </c>
      <c r="O6" s="64" cm="1">
        <f t="array" aca="1" ref="O6" ca="1">INDIRECT("'Java Impact of Technique'!G" &amp; 6 + (ROW(A2)-1)*4)</f>
        <v>2484.9899999999998</v>
      </c>
      <c r="P6" s="64" cm="1">
        <f t="array" aca="1" ref="P6" ca="1">INDIRECT("'Java Impact of Technique'!T" &amp; 5 + (ROW(A2)-1)*4)*100</f>
        <v>-6.8751522419382152</v>
      </c>
      <c r="Q6" s="64">
        <v>2.8719490663203402E-11</v>
      </c>
      <c r="R6" s="64" t="s">
        <v>180</v>
      </c>
      <c r="S6" s="64" cm="1">
        <f t="array" aca="1" ref="S6" ca="1">INDIRECT("'Java Impact of Technique'!S" &amp; 5 + (ROW(A2)-1)*4)</f>
        <v>165097.00150000001</v>
      </c>
      <c r="T6" s="64" cm="1">
        <f t="array" aca="1" ref="T6" ca="1">INDIRECT("'Java Impact of Technique'!S" &amp; 6 + (ROW(A2)-1)*4)</f>
        <v>152901.43470000001</v>
      </c>
      <c r="U6" s="64" cm="1">
        <f t="array" aca="1" ref="U6" ca="1">INDIRECT("'Java Impact of Technique'!W" &amp; 5 + (ROW(A2)-1)*4)*100</f>
        <v>-7.386909931250325</v>
      </c>
      <c r="V6" s="64">
        <v>9.4449471512379355E-11</v>
      </c>
      <c r="W6" s="64" t="s">
        <v>180</v>
      </c>
      <c r="X6" s="64">
        <f t="shared" ref="X6:X30" ca="1" si="0">AVERAGE(J6,U6)</f>
        <v>-38.395623261774134</v>
      </c>
      <c r="Z6" s="43" t="s">
        <v>155</v>
      </c>
      <c r="AA6" s="24" t="str" cm="1">
        <f t="array" aca="1" ref="AA6" ca="1">_xlfn.TEXTJOIN(", ", TRUE, IF(J5:J30 &lt;= -75, B5:B30, ""))</f>
        <v>T8, T10</v>
      </c>
      <c r="AC6" s="43" t="s">
        <v>155</v>
      </c>
      <c r="AD6" s="24" t="str" cm="1">
        <f t="array" aca="1" ref="AD6" ca="1">_xlfn.TEXTJOIN(", ", TRUE, IF(U5:U30 &lt;= -75, M5:M30, ""))</f>
        <v>T4, T8, T10</v>
      </c>
    </row>
    <row r="7" spans="2:30" x14ac:dyDescent="0.25">
      <c r="B7" s="66" t="s">
        <v>152</v>
      </c>
      <c r="C7" s="64" cm="1">
        <f t="array" aca="1" ref="C7" ca="1">INDIRECT("'Java Impact of Technique'!G" &amp; 3 + (ROW(A3)-1)*4)</f>
        <v>2.094E-2</v>
      </c>
      <c r="D7" s="64" cm="1">
        <f t="array" aca="1" ref="D7" ca="1">INDIRECT("'Java Impact of Technique'!G" &amp; 4 + (ROW(A3)-1)*4)</f>
        <v>2.094E-2</v>
      </c>
      <c r="E7" s="64" cm="1">
        <f t="array" aca="1" ref="E7" ca="1">INDIRECT("'Java Impact of Technique'!T" &amp; 3 + (ROW(A3)-1)*4)*100</f>
        <v>0</v>
      </c>
      <c r="F7" s="64">
        <v>0.17145004745971015</v>
      </c>
      <c r="G7" s="64" t="s">
        <v>210</v>
      </c>
      <c r="H7" s="64" cm="1">
        <f t="array" aca="1" ref="H7" ca="1">INDIRECT("'Java Impact of Technique'!S" &amp; 3 + (ROW(A3)-1)*4)</f>
        <v>1.0913927999999999</v>
      </c>
      <c r="I7" s="64" cm="1">
        <f t="array" aca="1" ref="I7" ca="1">INDIRECT("'Java Impact of Technique'!S" &amp; 4 + (ROW(A3)-1)*4)</f>
        <v>1.0834356000000001</v>
      </c>
      <c r="J7" s="64" cm="1">
        <f t="array" aca="1" ref="J7" ca="1">INDIRECT("'Java Impact of Technique'!W" &amp; 3 + (ROW(A3)-1)*4)*100</f>
        <v>-0.72908672294703492</v>
      </c>
      <c r="K7" s="64">
        <v>0.45084580127351437</v>
      </c>
      <c r="L7" s="64" t="s">
        <v>210</v>
      </c>
      <c r="M7" s="68" t="s">
        <v>152</v>
      </c>
      <c r="N7" s="64" cm="1">
        <f t="array" aca="1" ref="N7" ca="1">INDIRECT("'Java Impact of Technique'!G" &amp; 5 + (ROW(A3)-1)*4)</f>
        <v>4.7649999999999997</v>
      </c>
      <c r="O7" s="64" cm="1">
        <f t="array" aca="1" ref="O7" ca="1">INDIRECT("'Java Impact of Technique'!G" &amp; 6 + (ROW(A3)-1)*4)</f>
        <v>4.7649999999999997</v>
      </c>
      <c r="P7" s="64" cm="1">
        <f t="array" aca="1" ref="P7" ca="1">INDIRECT("'Java Impact of Technique'!T" &amp; 5 + (ROW(A3)-1)*4)*100</f>
        <v>0</v>
      </c>
      <c r="Q7" s="64">
        <v>0.45084580127351437</v>
      </c>
      <c r="R7" s="64" t="s">
        <v>210</v>
      </c>
      <c r="S7" s="64" cm="1">
        <f t="array" aca="1" ref="S7" ca="1">INDIRECT("'Java Impact of Technique'!S" &amp; 5 + (ROW(A3)-1)*4)</f>
        <v>264.6481</v>
      </c>
      <c r="T7" s="64" cm="1">
        <f t="array" aca="1" ref="T7" ca="1">INDIRECT("'Java Impact of Technique'!S" &amp; 6 + (ROW(A3)-1)*4)</f>
        <v>256.97645</v>
      </c>
      <c r="U7" s="64" cm="1">
        <f t="array" aca="1" ref="U7" ca="1">INDIRECT("'Java Impact of Technique'!W" &amp; 5 + (ROW(A3)-1)*4)*100</f>
        <v>-2.8988116672668345</v>
      </c>
      <c r="V7" s="64">
        <v>1.1436497674470899E-3</v>
      </c>
      <c r="W7" s="64" t="s">
        <v>210</v>
      </c>
      <c r="X7" s="64">
        <f t="shared" ca="1" si="0"/>
        <v>-1.8139491951069346</v>
      </c>
      <c r="Z7" s="44" t="s">
        <v>156</v>
      </c>
      <c r="AA7" s="24" t="str" cm="1">
        <f t="array" aca="1" ref="AA7" ca="1">_xlfn.TEXTJOIN(", ", TRUE, IF((J5:J30 &gt; -75) * (J5:J30 &lt;= -25), B5:B30, ""))</f>
        <v>T5, T13</v>
      </c>
      <c r="AC7" s="44" t="s">
        <v>156</v>
      </c>
      <c r="AD7" s="24" t="str" cm="1">
        <f t="array" aca="1" ref="AD7" ca="1">_xlfn.TEXTJOIN(", ", TRUE, IF((U5:U30 &gt; -75) * (U5:U30 &lt;= -25), M5:M30, ""))</f>
        <v>T11, T12, T20, T26, T40, T50, T51</v>
      </c>
    </row>
    <row r="8" spans="2:30" x14ac:dyDescent="0.25">
      <c r="B8" s="66" t="s">
        <v>154</v>
      </c>
      <c r="C8" s="64" cm="1">
        <f t="array" aca="1" ref="C8" ca="1">INDIRECT("'Java Impact of Technique'!G" &amp; 3 + (ROW(A4)-1)*4)</f>
        <v>2.4197100000000002</v>
      </c>
      <c r="D8" s="64" cm="1">
        <f t="array" aca="1" ref="D8" ca="1">INDIRECT("'Java Impact of Technique'!G" &amp; 4 + (ROW(A4)-1)*4)</f>
        <v>0.20865</v>
      </c>
      <c r="E8" s="64" cm="1">
        <f t="array" aca="1" ref="E8" ca="1">INDIRECT("'Java Impact of Technique'!T" &amp; 3 + (ROW(A4)-1)*4)*100</f>
        <v>-91.3770658467337</v>
      </c>
      <c r="F8" s="64">
        <v>2.8719490663203402E-11</v>
      </c>
      <c r="G8" s="67" t="s">
        <v>180</v>
      </c>
      <c r="H8" s="64" cm="1">
        <f t="array" aca="1" ref="H8" ca="1">INDIRECT("'Java Impact of Technique'!S" &amp; 3 + (ROW(A4)-1)*4)</f>
        <v>147.5539158</v>
      </c>
      <c r="I8" s="64" cm="1">
        <f t="array" aca="1" ref="I8" ca="1">INDIRECT("'Java Impact of Technique'!S" &amp; 4 + (ROW(A4)-1)*4)</f>
        <v>11.461144500000001</v>
      </c>
      <c r="J8" s="64" cm="1">
        <f t="array" aca="1" ref="J8" ca="1">INDIRECT("'Java Impact of Technique'!W" &amp; 3 + (ROW(A4)-1)*4)*100</f>
        <v>-92.232571776993808</v>
      </c>
      <c r="K8" s="64">
        <v>2.8719490663203402E-11</v>
      </c>
      <c r="L8" s="64" t="s">
        <v>180</v>
      </c>
      <c r="M8" s="68" t="s">
        <v>154</v>
      </c>
      <c r="N8" s="64" cm="1">
        <f t="array" aca="1" ref="N8" ca="1">INDIRECT("'Java Impact of Technique'!G" &amp; 5 + (ROW(A4)-1)*4)</f>
        <v>175.42000000000002</v>
      </c>
      <c r="O8" s="64" cm="1">
        <f t="array" aca="1" ref="O8" ca="1">INDIRECT("'Java Impact of Technique'!G" &amp; 6 + (ROW(A4)-1)*4)</f>
        <v>33.450000000000003</v>
      </c>
      <c r="P8" s="64" cm="1">
        <f t="array" aca="1" ref="P8" ca="1">INDIRECT("'Java Impact of Technique'!T" &amp; 5 + (ROW(A4)-1)*4)*100</f>
        <v>-80.931478736746101</v>
      </c>
      <c r="Q8" s="64">
        <v>2.8719490663203402E-11</v>
      </c>
      <c r="R8" s="64" t="s">
        <v>180</v>
      </c>
      <c r="S8" s="64" cm="1">
        <f t="array" aca="1" ref="S8" ca="1">INDIRECT("'Java Impact of Technique'!S" &amp; 5 + (ROW(A4)-1)*4)</f>
        <v>9525.3060000000005</v>
      </c>
      <c r="T8" s="64" cm="1">
        <f t="array" aca="1" ref="T8" ca="1">INDIRECT("'Java Impact of Technique'!S" &amp; 6 + (ROW(A4)-1)*4)</f>
        <v>1638.7155000000002</v>
      </c>
      <c r="U8" s="64" cm="1">
        <f t="array" aca="1" ref="U8" ca="1">INDIRECT("'Java Impact of Technique'!W" &amp; 5 + (ROW(A4)-1)*4)*100</f>
        <v>-82.796190484589147</v>
      </c>
      <c r="V8" s="64">
        <v>2.8719490663203402E-11</v>
      </c>
      <c r="W8" s="64" t="s">
        <v>180</v>
      </c>
      <c r="X8" s="64">
        <f t="shared" ca="1" si="0"/>
        <v>-87.514381130791477</v>
      </c>
      <c r="Z8" s="45" t="s">
        <v>161</v>
      </c>
      <c r="AA8" s="24" t="str" cm="1">
        <f t="array" aca="1" ref="AA8" ca="1">_xlfn.TEXTJOIN(", ", TRUE, IF((J5:J30 &gt; -25) * (J5:J30 &lt;= -3), B5:B30, ""))</f>
        <v>T19, T36, T50, T51</v>
      </c>
      <c r="AC8" s="45" t="s">
        <v>161</v>
      </c>
      <c r="AD8" s="24" t="str" cm="1">
        <f t="array" aca="1" ref="AD8" ca="1">_xlfn.TEXTJOIN(", ", TRUE, IF((U5:U30 &gt; -25) * (U5:U30 &lt;= -3), M5:M30, ""))</f>
        <v>T5, T9, T19, T25, T36, T44, T49</v>
      </c>
    </row>
    <row r="9" spans="2:30" x14ac:dyDescent="0.25">
      <c r="B9" s="66" t="s">
        <v>153</v>
      </c>
      <c r="C9" s="64" cm="1">
        <f t="array" aca="1" ref="C9" ca="1">INDIRECT("'Java Impact of Technique'!G" &amp; 3 + (ROW(A5)-1)*4)</f>
        <v>2.094E-2</v>
      </c>
      <c r="D9" s="64" cm="1">
        <f t="array" aca="1" ref="D9" ca="1">INDIRECT("'Java Impact of Technique'!G" &amp; 4 + (ROW(A5)-1)*4)</f>
        <v>2.094E-2</v>
      </c>
      <c r="E9" s="64" cm="1">
        <f t="array" aca="1" ref="E9" ca="1">INDIRECT("'Java Impact of Technique'!T" &amp; 3 + (ROW(A5)-1)*4)*100</f>
        <v>0</v>
      </c>
      <c r="F9" s="64">
        <v>0.64142352252033219</v>
      </c>
      <c r="G9" s="64" t="s">
        <v>210</v>
      </c>
      <c r="H9" s="64" cm="1">
        <f t="array" aca="1" ref="H9" ca="1">INDIRECT("'Java Impact of Technique'!S" &amp; 3 + (ROW(A5)-1)*4)</f>
        <v>1.0132866</v>
      </c>
      <c r="I9" s="64" cm="1">
        <f t="array" aca="1" ref="I9" ca="1">INDIRECT("'Java Impact of Technique'!S" &amp; 4 + (ROW(A5)-1)*4)</f>
        <v>1.0218720000000001</v>
      </c>
      <c r="J9" s="64" cm="1">
        <f t="array" aca="1" ref="J9" ca="1">INDIRECT("'Java Impact of Technique'!W" &amp; 3 + (ROW(A5)-1)*4)*100</f>
        <v>0.84728249638355779</v>
      </c>
      <c r="K9" s="64">
        <v>0.12057499226022927</v>
      </c>
      <c r="L9" s="64" t="s">
        <v>210</v>
      </c>
      <c r="M9" s="68" t="s">
        <v>153</v>
      </c>
      <c r="N9" s="64" cm="1">
        <f t="array" aca="1" ref="N9" ca="1">INDIRECT("'Java Impact of Technique'!G" &amp; 5 + (ROW(A5)-1)*4)</f>
        <v>3.7519999999999998</v>
      </c>
      <c r="O9" s="64" cm="1">
        <f t="array" aca="1" ref="O9" ca="1">INDIRECT("'Java Impact of Technique'!G" &amp; 6 + (ROW(A5)-1)*4)</f>
        <v>3.8570000000000002</v>
      </c>
      <c r="P9" s="64" cm="1">
        <f t="array" aca="1" ref="P9" ca="1">INDIRECT("'Java Impact of Technique'!T" &amp; 5 + (ROW(A5)-1)*4)*100</f>
        <v>2.7985074626865787</v>
      </c>
      <c r="Q9" s="64">
        <v>0.12057499226022927</v>
      </c>
      <c r="R9" s="64" t="s">
        <v>210</v>
      </c>
      <c r="S9" s="64" cm="1">
        <f t="array" aca="1" ref="S9" ca="1">INDIRECT("'Java Impact of Technique'!S" &amp; 5 + (ROW(A5)-1)*4)</f>
        <v>195.10400000000001</v>
      </c>
      <c r="T9" s="64" cm="1">
        <f t="array" aca="1" ref="T9" ca="1">INDIRECT("'Java Impact of Technique'!S" &amp; 6 + (ROW(A5)-1)*4)</f>
        <v>182.86036999999999</v>
      </c>
      <c r="U9" s="64" cm="1">
        <f t="array" aca="1" ref="U9" ca="1">INDIRECT("'Java Impact of Technique'!W" &amp; 5 + (ROW(A5)-1)*4)*100</f>
        <v>-6.2754377152698178</v>
      </c>
      <c r="V9" s="64">
        <v>0.83602395048931144</v>
      </c>
      <c r="W9" s="64" t="s">
        <v>210</v>
      </c>
      <c r="X9" s="64">
        <f t="shared" ca="1" si="0"/>
        <v>-2.7140776094431298</v>
      </c>
      <c r="Z9" s="46" t="s">
        <v>157</v>
      </c>
      <c r="AA9" s="24" t="str" cm="1">
        <f t="array" aca="1" ref="AA9" ca="1">_xlfn.TEXTJOIN(", ", TRUE, IF((J5:J30 &gt; -3) * (J5:J30 &lt; 3), B5:B30, ""))</f>
        <v>T4, T7, T9, T12, T16, T17, T25, T26, T29, T33, T40, T44, T49</v>
      </c>
      <c r="AC9" s="46" t="s">
        <v>157</v>
      </c>
      <c r="AD9" s="24" t="str" cm="1">
        <f t="array" aca="1" ref="AD9" ca="1">_xlfn.TEXTJOIN(", ", TRUE, IF((U5:U30 &gt; -3) * (U5:U30 &lt; 3), M5:M30, ""))</f>
        <v>T7, T13, T16, T29, T33</v>
      </c>
    </row>
    <row r="10" spans="2:30" x14ac:dyDescent="0.25">
      <c r="B10" s="66" t="s">
        <v>19</v>
      </c>
      <c r="C10" s="64" cm="1">
        <f t="array" aca="1" ref="C10" ca="1">INDIRECT("'Java Impact of Technique'!G" &amp; 3 + (ROW(A6)-1)*4)</f>
        <v>37.091999999999999</v>
      </c>
      <c r="D10" s="64" cm="1">
        <f t="array" aca="1" ref="D10" ca="1">INDIRECT("'Java Impact of Technique'!G" &amp; 4 + (ROW(A6)-1)*4)</f>
        <v>2.1030000000000004E-2</v>
      </c>
      <c r="E10" s="64" cm="1">
        <f t="array" aca="1" ref="E10" ca="1">INDIRECT("'Java Impact of Technique'!T" &amp; 3 + (ROW(A6)-1)*4)*100</f>
        <v>-94.330313814299572</v>
      </c>
      <c r="F10" s="64">
        <v>2.8719490663203402E-11</v>
      </c>
      <c r="G10" s="67" t="s">
        <v>180</v>
      </c>
      <c r="H10" s="64" cm="1">
        <f t="array" aca="1" ref="H10" ca="1">INDIRECT("'Java Impact of Technique'!S" &amp; 3 + (ROW(A6)-1)*4)</f>
        <v>2571.95928</v>
      </c>
      <c r="I10" s="64" cm="1">
        <f t="array" aca="1" ref="I10" ca="1">INDIRECT("'Java Impact of Technique'!S" &amp; 4 + (ROW(A6)-1)*4)</f>
        <v>1.1335169999999999</v>
      </c>
      <c r="J10" s="64" cm="1">
        <f t="array" aca="1" ref="J10" ca="1">INDIRECT("'Java Impact of Technique'!W" &amp; 3 + (ROW(A6)-1)*4)*100</f>
        <v>-99.955927879231425</v>
      </c>
      <c r="K10" s="64">
        <v>2.8719490663203402E-11</v>
      </c>
      <c r="L10" s="64" t="s">
        <v>180</v>
      </c>
      <c r="M10" s="68" t="s">
        <v>19</v>
      </c>
      <c r="N10" s="64" cm="1">
        <f t="array" aca="1" ref="N10" ca="1">INDIRECT("'Java Impact of Technique'!G" &amp; 5 + (ROW(A6)-1)*4)</f>
        <v>89.501999999999995</v>
      </c>
      <c r="O10" s="64" cm="1">
        <f t="array" aca="1" ref="O10" ca="1">INDIRECT("'Java Impact of Technique'!G" &amp; 6 + (ROW(A6)-1)*4)</f>
        <v>4.2240000000000002</v>
      </c>
      <c r="P10" s="64" cm="1">
        <f t="array" aca="1" ref="P10" ca="1">INDIRECT("'Java Impact of Technique'!T" &amp; 5 + (ROW(A6)-1)*4)*100</f>
        <v>-95.28055238989073</v>
      </c>
      <c r="Q10" s="64">
        <v>2.8719490663203402E-11</v>
      </c>
      <c r="R10" s="64" t="s">
        <v>180</v>
      </c>
      <c r="S10" s="64" cm="1">
        <f t="array" aca="1" ref="S10" ca="1">INDIRECT("'Java Impact of Technique'!S" &amp; 5 + (ROW(A6)-1)*4)</f>
        <v>5282.4080400000003</v>
      </c>
      <c r="T10" s="64" cm="1">
        <f t="array" aca="1" ref="T10" ca="1">INDIRECT("'Java Impact of Technique'!S" &amp; 6 + (ROW(A6)-1)*4)</f>
        <v>193.88159999999999</v>
      </c>
      <c r="U10" s="64" cm="1">
        <f t="array" aca="1" ref="U10" ca="1">INDIRECT("'Java Impact of Technique'!W" &amp; 5 + (ROW(A6)-1)*4)*100</f>
        <v>-96.329673918942476</v>
      </c>
      <c r="V10" s="64">
        <v>2.8719490663203402E-11</v>
      </c>
      <c r="W10" s="64" t="s">
        <v>180</v>
      </c>
      <c r="X10" s="64">
        <f t="shared" ca="1" si="0"/>
        <v>-98.14280089908695</v>
      </c>
      <c r="Z10" s="47" t="s">
        <v>158</v>
      </c>
      <c r="AA10" s="24" t="str" cm="1">
        <f t="array" aca="1" ref="AA10" ca="1">_xlfn.TEXTJOIN(", ", TRUE, IF((J5:J30 &gt;= 3) * (J5:J30 &lt; 25), B5:B30, ""))</f>
        <v>T11</v>
      </c>
      <c r="AC10" s="47" t="s">
        <v>158</v>
      </c>
      <c r="AD10" s="24" t="str" cm="1">
        <f t="array" aca="1" ref="AD10" ca="1">_xlfn.TEXTJOIN(", ", TRUE, IF((U5:U30 &gt;= 3) * (U5:U30 &lt; 25), M5:M30, ""))</f>
        <v>T17, T32</v>
      </c>
    </row>
    <row r="11" spans="2:30" x14ac:dyDescent="0.25">
      <c r="B11" s="66" t="s">
        <v>21</v>
      </c>
      <c r="C11" s="64" cm="1">
        <f t="array" aca="1" ref="C11" ca="1">INDIRECT("'Java Impact of Technique'!G" &amp; 3 + (ROW(A7)-1)*4)</f>
        <v>2.094E-2</v>
      </c>
      <c r="D11" s="64" cm="1">
        <f t="array" aca="1" ref="D11" ca="1">INDIRECT("'Java Impact of Technique'!G" &amp; 4 + (ROW(A7)-1)*4)</f>
        <v>2.094E-2</v>
      </c>
      <c r="E11" s="64" cm="1">
        <f t="array" aca="1" ref="E11" ca="1">INDIRECT("'Java Impact of Technique'!T" &amp; 3 + (ROW(A7)-1)*4)*100</f>
        <v>0</v>
      </c>
      <c r="F11" s="64">
        <v>0.42896338886043273</v>
      </c>
      <c r="G11" s="67" t="s">
        <v>210</v>
      </c>
      <c r="H11" s="64" cm="1">
        <f t="array" aca="1" ref="H11" ca="1">INDIRECT("'Java Impact of Technique'!S" &amp; 3 + (ROW(A7)-1)*4)</f>
        <v>0.90000119999999983</v>
      </c>
      <c r="I11" s="64" cm="1">
        <f t="array" aca="1" ref="I11" ca="1">INDIRECT("'Java Impact of Technique'!S" &amp; 4 + (ROW(A7)-1)*4)</f>
        <v>0.93748379999999998</v>
      </c>
      <c r="J11" s="64" cm="1">
        <f t="array" aca="1" ref="J11" ca="1">INDIRECT("'Java Impact of Technique'!W" &amp; 3 + (ROW(A7)-1)*4)*100</f>
        <v>4.1647277803629761</v>
      </c>
      <c r="K11" s="64">
        <v>6.9787102907606767E-5</v>
      </c>
      <c r="L11" s="64" t="s">
        <v>180</v>
      </c>
      <c r="M11" s="68" t="s">
        <v>21</v>
      </c>
      <c r="N11" s="64" cm="1">
        <f t="array" aca="1" ref="N11" ca="1">INDIRECT("'Java Impact of Technique'!G" &amp; 5 + (ROW(A7)-1)*4)</f>
        <v>14.871</v>
      </c>
      <c r="O11" s="64" cm="1">
        <f t="array" aca="1" ref="O11" ca="1">INDIRECT("'Java Impact of Technique'!G" &amp; 6 + (ROW(A7)-1)*4)</f>
        <v>9.9960000000000004</v>
      </c>
      <c r="P11" s="64" cm="1">
        <f t="array" aca="1" ref="P11" ca="1">INDIRECT("'Java Impact of Technique'!T" &amp; 5 + (ROW(A7)-1)*4)*100</f>
        <v>-32.781924551139802</v>
      </c>
      <c r="Q11" s="64">
        <v>6.9787102907606767E-5</v>
      </c>
      <c r="R11" s="64" t="s">
        <v>180</v>
      </c>
      <c r="S11" s="64" cm="1">
        <f t="array" aca="1" ref="S11" ca="1">INDIRECT("'Java Impact of Technique'!S" &amp; 5 + (ROW(A7)-1)*4)</f>
        <v>871.14318000000003</v>
      </c>
      <c r="T11" s="64" cm="1">
        <f t="array" aca="1" ref="T11" ca="1">INDIRECT("'Java Impact of Technique'!S" &amp; 6 + (ROW(A7)-1)*4)</f>
        <v>574.07028000000003</v>
      </c>
      <c r="U11" s="64" cm="1">
        <f t="array" aca="1" ref="U11" ca="1">INDIRECT("'Java Impact of Technique'!W" &amp; 5 + (ROW(A7)-1)*4)*100</f>
        <v>-34.101500972549651</v>
      </c>
      <c r="V11" s="64">
        <v>2.8719490663203402E-11</v>
      </c>
      <c r="W11" s="64" t="s">
        <v>180</v>
      </c>
      <c r="X11" s="64">
        <f t="shared" ca="1" si="0"/>
        <v>-14.968386596093337</v>
      </c>
      <c r="Z11" s="48" t="s">
        <v>159</v>
      </c>
      <c r="AA11" s="24" t="str" cm="1">
        <f t="array" aca="1" ref="AA11" ca="1">_xlfn.TEXTJOIN(", ", TRUE, IF((J5:J30 &gt;= 25) * (J5:J30 &lt; 75), B5:B30, ""))</f>
        <v>T28, T31</v>
      </c>
      <c r="AC11" s="48" t="s">
        <v>159</v>
      </c>
      <c r="AD11" s="24" t="str" cm="1">
        <f t="array" aca="1" ref="AD11" ca="1">_xlfn.TEXTJOIN(", ", TRUE, IF((U5:U30 &gt;= 25) * (U5:U30 &lt; 75), M5:M30, ""))</f>
        <v>T28, T31</v>
      </c>
    </row>
    <row r="12" spans="2:30" x14ac:dyDescent="0.25">
      <c r="B12" s="66" t="s">
        <v>23</v>
      </c>
      <c r="C12" s="64" cm="1">
        <f t="array" aca="1" ref="C12" ca="1">INDIRECT("'Java Impact of Technique'!G" &amp; 3 + (ROW(A8)-1)*4)</f>
        <v>2.094E-2</v>
      </c>
      <c r="D12" s="64" cm="1">
        <f t="array" aca="1" ref="D12" ca="1">INDIRECT("'Java Impact of Technique'!G" &amp; 4 + (ROW(A8)-1)*4)</f>
        <v>2.094E-2</v>
      </c>
      <c r="E12" s="64" cm="1">
        <f t="array" aca="1" ref="E12" ca="1">INDIRECT("'Java Impact of Technique'!T" &amp; 3 + (ROW(A8)-1)*4)*100</f>
        <v>0</v>
      </c>
      <c r="F12" s="64">
        <v>0.71718881360637599</v>
      </c>
      <c r="G12" s="64" t="s">
        <v>210</v>
      </c>
      <c r="H12" s="64" cm="1">
        <f t="array" aca="1" ref="H12" ca="1">INDIRECT("'Java Impact of Technique'!S" &amp; 3 + (ROW(A8)-1)*4)</f>
        <v>0.96826560000000006</v>
      </c>
      <c r="I12" s="64" cm="1">
        <f t="array" aca="1" ref="I12" ca="1">INDIRECT("'Java Impact of Technique'!S" &amp; 4 + (ROW(A8)-1)*4)</f>
        <v>0.96449640000000003</v>
      </c>
      <c r="J12" s="64" cm="1">
        <f t="array" aca="1" ref="J12" ca="1">INDIRECT("'Java Impact of Technique'!W" &amp; 3 + (ROW(A8)-1)*4)*100</f>
        <v>-0.38927335640138699</v>
      </c>
      <c r="K12" s="64">
        <v>0.61519597874485488</v>
      </c>
      <c r="L12" s="64" t="s">
        <v>210</v>
      </c>
      <c r="M12" s="68" t="s">
        <v>23</v>
      </c>
      <c r="N12" s="64" cm="1">
        <f t="array" aca="1" ref="N12" ca="1">INDIRECT("'Java Impact of Technique'!G" &amp; 5 + (ROW(A8)-1)*4)</f>
        <v>13.420999999999999</v>
      </c>
      <c r="O12" s="64" cm="1">
        <f t="array" aca="1" ref="O12" ca="1">INDIRECT("'Java Impact of Technique'!G" &amp; 6 + (ROW(A8)-1)*4)</f>
        <v>8.9749999999999996</v>
      </c>
      <c r="P12" s="64" cm="1">
        <f t="array" aca="1" ref="P12" ca="1">INDIRECT("'Java Impact of Technique'!T" &amp; 5 + (ROW(A8)-1)*4)*100</f>
        <v>-33.127188734073464</v>
      </c>
      <c r="Q12" s="64">
        <v>0.61519597874485488</v>
      </c>
      <c r="R12" s="64" t="s">
        <v>210</v>
      </c>
      <c r="S12" s="64" cm="1">
        <f t="array" aca="1" ref="S12" ca="1">INDIRECT("'Java Impact of Technique'!S" &amp; 5 + (ROW(A8)-1)*4)</f>
        <v>609.98445000000004</v>
      </c>
      <c r="T12" s="64" cm="1">
        <f t="array" aca="1" ref="T12" ca="1">INDIRECT("'Java Impact of Technique'!S" &amp; 6 + (ROW(A8)-1)*4)</f>
        <v>403.24675000000002</v>
      </c>
      <c r="U12" s="64" cm="1">
        <f t="array" aca="1" ref="U12" ca="1">INDIRECT("'Java Impact of Technique'!W" &amp; 5 + (ROW(A8)-1)*4)*100</f>
        <v>-33.892290205102768</v>
      </c>
      <c r="V12" s="64">
        <v>2.8719490663203402E-11</v>
      </c>
      <c r="W12" s="64" t="s">
        <v>210</v>
      </c>
      <c r="X12" s="64">
        <f t="shared" ca="1" si="0"/>
        <v>-17.140781780752079</v>
      </c>
      <c r="Z12" s="49" t="s">
        <v>160</v>
      </c>
      <c r="AA12" s="27" t="str" cm="1">
        <f t="array" aca="1" ref="AA12" ca="1">_xlfn.TEXTJOIN(", ", TRUE, IF(J5:J30 &gt;= 75, B5:B30, ""))</f>
        <v>T20, T32</v>
      </c>
      <c r="AC12" s="49" t="s">
        <v>160</v>
      </c>
      <c r="AD12" s="27" t="str" cm="1">
        <f t="array" aca="1" ref="AD12" ca="1">_xlfn.TEXTJOIN(", ", TRUE, IF(U5:U30 &gt;= 75, M5:M30, ""))</f>
        <v/>
      </c>
    </row>
    <row r="13" spans="2:30" x14ac:dyDescent="0.25">
      <c r="B13" s="66" t="s">
        <v>25</v>
      </c>
      <c r="C13" s="64" cm="1">
        <f t="array" aca="1" ref="C13" ca="1">INDIRECT("'Java Impact of Technique'!G" &amp; 3 + (ROW(A9)-1)*4)</f>
        <v>0.10994</v>
      </c>
      <c r="D13" s="64" cm="1">
        <f t="array" aca="1" ref="D13" ca="1">INDIRECT("'Java Impact of Technique'!G" &amp; 4 + (ROW(A9)-1)*4)</f>
        <v>2.6179999999999998E-2</v>
      </c>
      <c r="E13" s="64" cm="1">
        <f t="array" aca="1" ref="E13" ca="1">INDIRECT("'Java Impact of Technique'!T" &amp; 3 + (ROW(A9)-1)*4)*100</f>
        <v>-76.187011096961982</v>
      </c>
      <c r="F13" s="64">
        <v>2.8719490663203402E-11</v>
      </c>
      <c r="G13" s="67" t="s">
        <v>180</v>
      </c>
      <c r="H13" s="64" cm="1">
        <f t="array" aca="1" ref="H13" ca="1">INDIRECT("'Java Impact of Technique'!S" &amp; 3 + (ROW(A9)-1)*4)</f>
        <v>5.2485356000000003</v>
      </c>
      <c r="I13" s="64" cm="1">
        <f t="array" aca="1" ref="I13" ca="1">INDIRECT("'Java Impact of Technique'!S" &amp; 4 + (ROW(A9)-1)*4)</f>
        <v>1.3514116000000003</v>
      </c>
      <c r="J13" s="64" cm="1">
        <f t="array" aca="1" ref="J13" ca="1">INDIRECT("'Java Impact of Technique'!W" &amp; 3 + (ROW(A9)-1)*4)*100</f>
        <v>-74.251644592064864</v>
      </c>
      <c r="K13" s="64">
        <v>2.8719490663203402E-11</v>
      </c>
      <c r="L13" s="64" t="s">
        <v>180</v>
      </c>
      <c r="M13" s="68" t="s">
        <v>25</v>
      </c>
      <c r="N13" s="64" cm="1">
        <f t="array" aca="1" ref="N13" ca="1">INDIRECT("'Java Impact of Technique'!G" &amp; 5 + (ROW(A9)-1)*4)</f>
        <v>223.56</v>
      </c>
      <c r="O13" s="64" cm="1">
        <f t="array" aca="1" ref="O13" ca="1">INDIRECT("'Java Impact of Technique'!G" &amp; 6 + (ROW(A9)-1)*4)</f>
        <v>230.45000000000002</v>
      </c>
      <c r="P13" s="64" cm="1">
        <f t="array" aca="1" ref="P13" ca="1">INDIRECT("'Java Impact of Technique'!T" &amp; 5 + (ROW(A9)-1)*4)*100</f>
        <v>3.0819466809804972</v>
      </c>
      <c r="Q13" s="64">
        <v>2.8719490663203402E-11</v>
      </c>
      <c r="R13" s="64" t="s">
        <v>180</v>
      </c>
      <c r="S13" s="64" cm="1">
        <f t="array" aca="1" ref="S13" ca="1">INDIRECT("'Java Impact of Technique'!S" &amp; 5 + (ROW(A9)-1)*4)</f>
        <v>11949.282000000001</v>
      </c>
      <c r="T13" s="64" cm="1">
        <f t="array" aca="1" ref="T13" ca="1">INDIRECT("'Java Impact of Technique'!S" &amp; 6 + (ROW(A9)-1)*4)</f>
        <v>11805.9535</v>
      </c>
      <c r="U13" s="64" cm="1">
        <f t="array" aca="1" ref="U13" ca="1">INDIRECT("'Java Impact of Technique'!W" &amp; 5 + (ROW(A9)-1)*4)*100</f>
        <v>-1.1994737424390973</v>
      </c>
      <c r="V13" s="64">
        <v>2.2105923164218101E-3</v>
      </c>
      <c r="W13" s="64" t="s">
        <v>209</v>
      </c>
      <c r="X13" s="64">
        <f t="shared" ca="1" si="0"/>
        <v>-37.72555916725198</v>
      </c>
    </row>
    <row r="14" spans="2:30" x14ac:dyDescent="0.25">
      <c r="B14" s="66" t="s">
        <v>31</v>
      </c>
      <c r="C14" s="64" cm="1">
        <f t="array" aca="1" ref="C14" ca="1">INDIRECT("'Java Impact of Technique'!G" &amp; 3 + (ROW(A10)-1)*4)</f>
        <v>2.094E-2</v>
      </c>
      <c r="D14" s="64" cm="1">
        <f t="array" aca="1" ref="D14" ca="1">INDIRECT("'Java Impact of Technique'!G" &amp; 4 + (ROW(A10)-1)*4)</f>
        <v>2.0950000000000003E-2</v>
      </c>
      <c r="E14" s="64" cm="1">
        <f t="array" aca="1" ref="E14" ca="1">INDIRECT("'Java Impact of Technique'!T" &amp; 3 + (ROW(A10)-1)*4)*100</f>
        <v>4.7755491881582332E-2</v>
      </c>
      <c r="F14" s="64">
        <v>0.17850167486383561</v>
      </c>
      <c r="G14" s="67" t="s">
        <v>210</v>
      </c>
      <c r="H14" s="64" cm="1">
        <f t="array" aca="1" ref="H14" ca="1">INDIRECT("'Java Impact of Technique'!S" &amp; 3 + (ROW(A10)-1)*4)</f>
        <v>0.9686844</v>
      </c>
      <c r="I14" s="64" cm="1">
        <f t="array" aca="1" ref="I14" ca="1">INDIRECT("'Java Impact of Technique'!S" &amp; 4 + (ROW(A10)-1)*4)</f>
        <v>0.96076700000000004</v>
      </c>
      <c r="J14" s="64" cm="1">
        <f t="array" aca="1" ref="J14" ca="1">INDIRECT("'Java Impact of Technique'!W" &amp; 3 + (ROW(A10)-1)*4)*100</f>
        <v>-0.81733534678580178</v>
      </c>
      <c r="K14" s="64">
        <v>0.24281902425621116</v>
      </c>
      <c r="L14" s="64" t="s">
        <v>210</v>
      </c>
      <c r="M14" s="68" t="s">
        <v>31</v>
      </c>
      <c r="N14" s="64" cm="1">
        <f t="array" aca="1" ref="N14" ca="1">INDIRECT("'Java Impact of Technique'!G" &amp; 5 + (ROW(A10)-1)*4)</f>
        <v>9.1270000000000007</v>
      </c>
      <c r="O14" s="64" cm="1">
        <f t="array" aca="1" ref="O14" ca="1">INDIRECT("'Java Impact of Technique'!G" &amp; 6 + (ROW(A10)-1)*4)</f>
        <v>9.0670000000000002</v>
      </c>
      <c r="P14" s="64" cm="1">
        <f t="array" aca="1" ref="P14" ca="1">INDIRECT("'Java Impact of Technique'!T" &amp; 5 + (ROW(A10)-1)*4)*100</f>
        <v>-0.65739016106059489</v>
      </c>
      <c r="Q14" s="64">
        <v>0.24281902425621116</v>
      </c>
      <c r="R14" s="64" t="s">
        <v>210</v>
      </c>
      <c r="S14" s="64" cm="1">
        <f t="array" aca="1" ref="S14" ca="1">INDIRECT("'Java Impact of Technique'!S" &amp; 5 + (ROW(A10)-1)*4)</f>
        <v>451.05633999999998</v>
      </c>
      <c r="T14" s="64" cm="1">
        <f t="array" aca="1" ref="T14" ca="1">INDIRECT("'Java Impact of Technique'!S" &amp; 6 + (ROW(A10)-1)*4)</f>
        <v>437.84543000000002</v>
      </c>
      <c r="U14" s="64" cm="1">
        <f t="array" aca="1" ref="U14" ca="1">INDIRECT("'Java Impact of Technique'!W" &amp; 5 + (ROW(A10)-1)*4)*100</f>
        <v>-2.9288824540189271</v>
      </c>
      <c r="V14" s="64">
        <v>2.1031211365264164E-8</v>
      </c>
      <c r="W14" s="64" t="s">
        <v>180</v>
      </c>
      <c r="X14" s="64">
        <f t="shared" ca="1" si="0"/>
        <v>-1.8731089004023644</v>
      </c>
    </row>
    <row r="15" spans="2:30" x14ac:dyDescent="0.25">
      <c r="B15" s="66" t="s">
        <v>33</v>
      </c>
      <c r="C15" s="64" cm="1">
        <f t="array" aca="1" ref="C15" ca="1">INDIRECT("'Java Impact of Technique'!G" &amp; 3 + (ROW(A11)-1)*4)</f>
        <v>2.094E-2</v>
      </c>
      <c r="D15" s="64" cm="1">
        <f t="array" aca="1" ref="D15" ca="1">INDIRECT("'Java Impact of Technique'!G" &amp; 4 + (ROW(A11)-1)*4)</f>
        <v>2.094E-2</v>
      </c>
      <c r="E15" s="64" cm="1">
        <f t="array" aca="1" ref="E15" ca="1">INDIRECT("'Java Impact of Technique'!T" &amp; 3 + (ROW(A11)-1)*4)*100</f>
        <v>0</v>
      </c>
      <c r="F15" s="64">
        <v>0.74498630017564349</v>
      </c>
      <c r="G15" s="64" t="s">
        <v>210</v>
      </c>
      <c r="H15" s="64" cm="1">
        <f t="array" aca="1" ref="H15" ca="1">INDIRECT("'Java Impact of Technique'!S" &amp; 3 + (ROW(A11)-1)*4)</f>
        <v>0.89476619999999985</v>
      </c>
      <c r="I15" s="64" cm="1">
        <f t="array" aca="1" ref="I15" ca="1">INDIRECT("'Java Impact of Technique'!S" &amp; 4 + (ROW(A11)-1)*4)</f>
        <v>0.87822359999999988</v>
      </c>
      <c r="J15" s="64" cm="1">
        <f t="array" aca="1" ref="J15" ca="1">INDIRECT("'Java Impact of Technique'!W" &amp; 3 + (ROW(A11)-1)*4)*100</f>
        <v>-1.8488181605429403</v>
      </c>
      <c r="K15" s="64">
        <v>2.5585352659009627E-2</v>
      </c>
      <c r="L15" s="64" t="s">
        <v>179</v>
      </c>
      <c r="M15" s="68" t="s">
        <v>33</v>
      </c>
      <c r="N15" s="64" cm="1">
        <f t="array" aca="1" ref="N15" ca="1">INDIRECT("'Java Impact of Technique'!G" &amp; 5 + (ROW(A11)-1)*4)</f>
        <v>8.9700000000000006</v>
      </c>
      <c r="O15" s="64" cm="1">
        <f t="array" aca="1" ref="O15" ca="1">INDIRECT("'Java Impact of Technique'!G" &amp; 6 + (ROW(A11)-1)*4)</f>
        <v>9.1029999999999998</v>
      </c>
      <c r="P15" s="64" cm="1">
        <f t="array" aca="1" ref="P15" ca="1">INDIRECT("'Java Impact of Technique'!T" &amp; 5 + (ROW(A11)-1)*4)*100</f>
        <v>1.4827201783723423</v>
      </c>
      <c r="Q15" s="64">
        <v>2.5585352659009627E-2</v>
      </c>
      <c r="R15" s="64" t="s">
        <v>179</v>
      </c>
      <c r="S15" s="64" cm="1">
        <f t="array" aca="1" ref="S15" ca="1">INDIRECT("'Java Impact of Technique'!S" &amp; 5 + (ROW(A11)-1)*4)</f>
        <v>409.30110000000008</v>
      </c>
      <c r="T15" s="64" cm="1">
        <f t="array" aca="1" ref="T15" ca="1">INDIRECT("'Java Impact of Technique'!S" &amp; 6 + (ROW(A11)-1)*4)</f>
        <v>429.75263000000001</v>
      </c>
      <c r="U15" s="64" cm="1">
        <f t="array" aca="1" ref="U15" ca="1">INDIRECT("'Java Impact of Technique'!W" &amp; 5 + (ROW(A11)-1)*4)*100</f>
        <v>4.9966955866964273</v>
      </c>
      <c r="V15" s="64">
        <v>2.4156884642812668E-2</v>
      </c>
      <c r="W15" s="64" t="s">
        <v>210</v>
      </c>
      <c r="X15" s="64">
        <f t="shared" ca="1" si="0"/>
        <v>1.5739387130767435</v>
      </c>
    </row>
    <row r="16" spans="2:30" x14ac:dyDescent="0.25">
      <c r="B16" s="66" t="s">
        <v>37</v>
      </c>
      <c r="C16" s="64" cm="1">
        <f t="array" aca="1" ref="C16" ca="1">INDIRECT("'Java Impact of Technique'!G" &amp; 3 + (ROW(A12)-1)*4)</f>
        <v>2.0070000000000001</v>
      </c>
      <c r="D16" s="64" cm="1">
        <f t="array" aca="1" ref="D16" ca="1">INDIRECT("'Java Impact of Technique'!G" &amp; 4 + (ROW(A12)-1)*4)</f>
        <v>1.571</v>
      </c>
      <c r="E16" s="64" cm="1">
        <f t="array" aca="1" ref="E16" ca="1">INDIRECT("'Java Impact of Technique'!T" &amp; 3 + (ROW(A12)-1)*4)*100</f>
        <v>-21.723966118584958</v>
      </c>
      <c r="F16" s="64">
        <v>2.0337965170597323E-9</v>
      </c>
      <c r="G16" s="67" t="s">
        <v>180</v>
      </c>
      <c r="H16" s="64" cm="1">
        <f t="array" aca="1" ref="H16" ca="1">INDIRECT("'Java Impact of Technique'!S" &amp; 3 + (ROW(A12)-1)*4)</f>
        <v>91.378710000000012</v>
      </c>
      <c r="I16" s="64" cm="1">
        <f t="array" aca="1" ref="I16" ca="1">INDIRECT("'Java Impact of Technique'!S" &amp; 4 + (ROW(A12)-1)*4)</f>
        <v>81.173569999999998</v>
      </c>
      <c r="J16" s="64" cm="1">
        <f t="array" aca="1" ref="J16" ca="1">INDIRECT("'Java Impact of Technique'!W" &amp; 3 + (ROW(A12)-1)*4)*100</f>
        <v>-11.167962428009776</v>
      </c>
      <c r="K16" s="64">
        <v>1.6665349594846889E-6</v>
      </c>
      <c r="L16" s="64" t="s">
        <v>180</v>
      </c>
      <c r="M16" s="68" t="s">
        <v>37</v>
      </c>
      <c r="N16" s="64" cm="1">
        <f t="array" aca="1" ref="N16" ca="1">INDIRECT("'Java Impact of Technique'!G" &amp; 5 + (ROW(A12)-1)*4)</f>
        <v>60.072000000000003</v>
      </c>
      <c r="O16" s="64" cm="1">
        <f t="array" aca="1" ref="O16" ca="1">INDIRECT("'Java Impact of Technique'!G" &amp; 6 + (ROW(A12)-1)*4)</f>
        <v>58.143999999999998</v>
      </c>
      <c r="P16" s="64" cm="1">
        <f t="array" aca="1" ref="P16" ca="1">INDIRECT("'Java Impact of Technique'!T" &amp; 5 + (ROW(A12)-1)*4)*100</f>
        <v>-3.2094819549873561</v>
      </c>
      <c r="Q16" s="64">
        <v>1.6665349594846889E-6</v>
      </c>
      <c r="R16" s="64" t="s">
        <v>180</v>
      </c>
      <c r="S16" s="64" cm="1">
        <f t="array" aca="1" ref="S16" ca="1">INDIRECT("'Java Impact of Technique'!S" &amp; 5 + (ROW(A12)-1)*4)</f>
        <v>3417.4960799999999</v>
      </c>
      <c r="T16" s="64" cm="1">
        <f t="array" aca="1" ref="T16" ca="1">INDIRECT("'Java Impact of Technique'!S" &amp; 6 + (ROW(A12)-1)*4)</f>
        <v>3218.8518399999998</v>
      </c>
      <c r="U16" s="64" cm="1">
        <f t="array" aca="1" ref="U16" ca="1">INDIRECT("'Java Impact of Technique'!W" &amp; 5 + (ROW(A12)-1)*4)*100</f>
        <v>-5.8125667257532037</v>
      </c>
      <c r="V16" s="64">
        <v>2.8719490663203402E-11</v>
      </c>
      <c r="W16" s="64" t="s">
        <v>180</v>
      </c>
      <c r="X16" s="64">
        <f t="shared" ca="1" si="0"/>
        <v>-8.4902645768814899</v>
      </c>
    </row>
    <row r="17" spans="2:24" x14ac:dyDescent="0.25">
      <c r="B17" s="66" t="s">
        <v>39</v>
      </c>
      <c r="C17" s="64" cm="1">
        <f t="array" aca="1" ref="C17" ca="1">INDIRECT("'Java Impact of Technique'!G" &amp; 3 + (ROW(A13)-1)*4)</f>
        <v>0.49692000000000003</v>
      </c>
      <c r="D17" s="64" cm="1">
        <f t="array" aca="1" ref="D17" ca="1">INDIRECT("'Java Impact of Technique'!G" &amp; 4 + (ROW(A13)-1)*4)</f>
        <v>1.0803100000000001</v>
      </c>
      <c r="E17" s="64" cm="1">
        <f t="array" aca="1" ref="E17" ca="1">INDIRECT("'Java Impact of Technique'!T" &amp; 3 + (ROW(A13)-1)*4)*100</f>
        <v>117.40119133864606</v>
      </c>
      <c r="F17" s="64">
        <v>2.8719490663203402E-11</v>
      </c>
      <c r="G17" s="67" t="s">
        <v>180</v>
      </c>
      <c r="H17" s="64" cm="1">
        <f t="array" aca="1" ref="H17" ca="1">INDIRECT("'Java Impact of Technique'!S" &amp; 3 + (ROW(A13)-1)*4)</f>
        <v>27.251092800000002</v>
      </c>
      <c r="I17" s="64" cm="1">
        <f t="array" aca="1" ref="I17" ca="1">INDIRECT("'Java Impact of Technique'!S" &amp; 4 + (ROW(A13)-1)*4)</f>
        <v>49.489001099999996</v>
      </c>
      <c r="J17" s="64" cm="1">
        <f t="array" aca="1" ref="J17" ca="1">INDIRECT("'Java Impact of Technique'!W" &amp; 3 + (ROW(A13)-1)*4)*100</f>
        <v>81.603730401593253</v>
      </c>
      <c r="K17" s="64">
        <v>2.8719490663203402E-11</v>
      </c>
      <c r="L17" s="64" t="s">
        <v>180</v>
      </c>
      <c r="M17" s="68" t="s">
        <v>39</v>
      </c>
      <c r="N17" s="64" cm="1">
        <f t="array" aca="1" ref="N17" ca="1">INDIRECT("'Java Impact of Technique'!G" &amp; 5 + (ROW(A13)-1)*4)</f>
        <v>29.222999999999999</v>
      </c>
      <c r="O17" s="64" cm="1">
        <f t="array" aca="1" ref="O17" ca="1">INDIRECT("'Java Impact of Technique'!G" &amp; 6 + (ROW(A13)-1)*4)</f>
        <v>20.661999999999999</v>
      </c>
      <c r="P17" s="64" cm="1">
        <f t="array" aca="1" ref="P17" ca="1">INDIRECT("'Java Impact of Technique'!T" &amp; 5 + (ROW(A13)-1)*4)*100</f>
        <v>-29.295417992677002</v>
      </c>
      <c r="Q17" s="64">
        <v>2.8719490663203402E-11</v>
      </c>
      <c r="R17" s="64" t="s">
        <v>180</v>
      </c>
      <c r="S17" s="64" cm="1">
        <f t="array" aca="1" ref="S17" ca="1">INDIRECT("'Java Impact of Technique'!S" &amp; 5 + (ROW(A13)-1)*4)</f>
        <v>1684.12149</v>
      </c>
      <c r="T17" s="64" cm="1">
        <f t="array" aca="1" ref="T17" ca="1">INDIRECT("'Java Impact of Technique'!S" &amp; 6 + (ROW(A13)-1)*4)</f>
        <v>1215.54546</v>
      </c>
      <c r="U17" s="64" cm="1">
        <f t="array" aca="1" ref="U17" ca="1">INDIRECT("'Java Impact of Technique'!W" &amp; 5 + (ROW(A13)-1)*4)*100</f>
        <v>-27.823172661967515</v>
      </c>
      <c r="V17" s="64">
        <v>2.8719490663203402E-11</v>
      </c>
      <c r="W17" s="64" t="s">
        <v>180</v>
      </c>
      <c r="X17" s="64">
        <f t="shared" ca="1" si="0"/>
        <v>26.890278869812867</v>
      </c>
    </row>
    <row r="18" spans="2:24" x14ac:dyDescent="0.25">
      <c r="B18" s="66" t="s">
        <v>49</v>
      </c>
      <c r="C18" s="64" cm="1">
        <f t="array" aca="1" ref="C18" ca="1">INDIRECT("'Java Impact of Technique'!G" &amp; 3 + (ROW(A14)-1)*4)</f>
        <v>1.0469999999999999</v>
      </c>
      <c r="D18" s="64" cm="1">
        <f t="array" aca="1" ref="D18" ca="1">INDIRECT("'Java Impact of Technique'!G" &amp; 4 + (ROW(A14)-1)*4)</f>
        <v>1.0469999999999999</v>
      </c>
      <c r="E18" s="64" cm="1">
        <f t="array" aca="1" ref="E18" ca="1">INDIRECT("'Java Impact of Technique'!T" &amp; 3 + (ROW(A14)-1)*4)*100</f>
        <v>0</v>
      </c>
      <c r="F18" s="64">
        <v>0.19324837891878432</v>
      </c>
      <c r="G18" s="67" t="s">
        <v>210</v>
      </c>
      <c r="H18" s="64" cm="1">
        <f t="array" aca="1" ref="H18" ca="1">INDIRECT("'Java Impact of Technique'!S" &amp; 3 + (ROW(A14)-1)*4)</f>
        <v>44.926769999999991</v>
      </c>
      <c r="I18" s="64" cm="1">
        <f t="array" aca="1" ref="I18" ca="1">INDIRECT("'Java Impact of Technique'!S" &amp; 4 + (ROW(A14)-1)*4)</f>
        <v>45.963299999999997</v>
      </c>
      <c r="J18" s="64" cm="1">
        <f t="array" aca="1" ref="J18" ca="1">INDIRECT("'Java Impact of Technique'!W" &amp; 3 + (ROW(A14)-1)*4)*100</f>
        <v>2.3071545094383734</v>
      </c>
      <c r="K18" s="64">
        <v>1.2469625319240056E-2</v>
      </c>
      <c r="L18" s="64" t="s">
        <v>209</v>
      </c>
      <c r="M18" s="68" t="s">
        <v>49</v>
      </c>
      <c r="N18" s="64" cm="1">
        <f t="array" aca="1" ref="N18" ca="1">INDIRECT("'Java Impact of Technique'!G" &amp; 5 + (ROW(A14)-1)*4)</f>
        <v>70.376000000000005</v>
      </c>
      <c r="O18" s="64" cm="1">
        <f t="array" aca="1" ref="O18" ca="1">INDIRECT("'Java Impact of Technique'!G" &amp; 6 + (ROW(A14)-1)*4)</f>
        <v>52.027000000000001</v>
      </c>
      <c r="P18" s="64" cm="1">
        <f t="array" aca="1" ref="P18" ca="1">INDIRECT("'Java Impact of Technique'!T" &amp; 5 + (ROW(A14)-1)*4)*100</f>
        <v>-26.072808912129137</v>
      </c>
      <c r="Q18" s="64">
        <v>1.2469625319240056E-2</v>
      </c>
      <c r="R18" s="64" t="s">
        <v>209</v>
      </c>
      <c r="S18" s="64" cm="1">
        <f t="array" aca="1" ref="S18" ca="1">INDIRECT("'Java Impact of Technique'!S" &amp; 5 + (ROW(A14)-1)*4)</f>
        <v>3907.97928</v>
      </c>
      <c r="T18" s="64" cm="1">
        <f t="array" aca="1" ref="T18" ca="1">INDIRECT("'Java Impact of Technique'!S" &amp; 6 + (ROW(A14)-1)*4)</f>
        <v>2989.4714199999999</v>
      </c>
      <c r="U18" s="64" cm="1">
        <f t="array" aca="1" ref="U18" ca="1">INDIRECT("'Java Impact of Technique'!W" &amp; 5 + (ROW(A14)-1)*4)*100</f>
        <v>-23.503396363964349</v>
      </c>
      <c r="V18" s="64">
        <v>0.63614068577024607</v>
      </c>
      <c r="W18" s="64" t="s">
        <v>179</v>
      </c>
      <c r="X18" s="64">
        <f t="shared" ca="1" si="0"/>
        <v>-10.598120927262988</v>
      </c>
    </row>
    <row r="19" spans="2:24" x14ac:dyDescent="0.25">
      <c r="B19" s="66" t="s">
        <v>51</v>
      </c>
      <c r="C19" s="64" cm="1">
        <f t="array" aca="1" ref="C19" ca="1">INDIRECT("'Java Impact of Technique'!G" &amp; 3 + (ROW(A15)-1)*4)</f>
        <v>0.53459999999999996</v>
      </c>
      <c r="D19" s="64" cm="1">
        <f t="array" aca="1" ref="D19" ca="1">INDIRECT("'Java Impact of Technique'!G" &amp; 4 + (ROW(A15)-1)*4)</f>
        <v>0.53251999999999999</v>
      </c>
      <c r="E19" s="64" cm="1">
        <f t="array" aca="1" ref="E19" ca="1">INDIRECT("'Java Impact of Technique'!T" &amp; 3 + (ROW(A15)-1)*4)*100</f>
        <v>-0.38907594463149719</v>
      </c>
      <c r="F19" s="64">
        <v>7.012659407128824E-2</v>
      </c>
      <c r="G19" s="67" t="s">
        <v>210</v>
      </c>
      <c r="H19" s="64" cm="1">
        <f t="array" aca="1" ref="H19" ca="1">INDIRECT("'Java Impact of Technique'!S" &amp; 3 + (ROW(A15)-1)*4)</f>
        <v>29.953638000000002</v>
      </c>
      <c r="I19" s="64" cm="1">
        <f t="array" aca="1" ref="I19" ca="1">INDIRECT("'Java Impact of Technique'!S" &amp; 4 + (ROW(A15)-1)*4)</f>
        <v>30.412217200000001</v>
      </c>
      <c r="J19" s="64" cm="1">
        <f t="array" aca="1" ref="J19" ca="1">INDIRECT("'Java Impact of Technique'!W" &amp; 3 + (ROW(A15)-1)*4)*100</f>
        <v>1.5309632839924121</v>
      </c>
      <c r="K19" s="64">
        <v>0.28047047727722929</v>
      </c>
      <c r="L19" s="64" t="s">
        <v>210</v>
      </c>
      <c r="M19" s="68" t="s">
        <v>51</v>
      </c>
      <c r="N19" s="64" cm="1">
        <f t="array" aca="1" ref="N19" ca="1">INDIRECT("'Java Impact of Technique'!G" &amp; 5 + (ROW(A15)-1)*4)</f>
        <v>74.183000000000007</v>
      </c>
      <c r="O19" s="64" cm="1">
        <f t="array" aca="1" ref="O19" ca="1">INDIRECT("'Java Impact of Technique'!G" &amp; 6 + (ROW(A15)-1)*4)</f>
        <v>54.01</v>
      </c>
      <c r="P19" s="64" cm="1">
        <f t="array" aca="1" ref="P19" ca="1">INDIRECT("'Java Impact of Technique'!T" &amp; 5 + (ROW(A15)-1)*4)*100</f>
        <v>-27.193561867274184</v>
      </c>
      <c r="Q19" s="64">
        <v>0.28047047727722929</v>
      </c>
      <c r="R19" s="64" t="s">
        <v>210</v>
      </c>
      <c r="S19" s="64" cm="1">
        <f t="array" aca="1" ref="S19" ca="1">INDIRECT("'Java Impact of Technique'!S" &amp; 5 + (ROW(A15)-1)*4)</f>
        <v>4213.5944</v>
      </c>
      <c r="T19" s="64" cm="1">
        <f t="array" aca="1" ref="T19" ca="1">INDIRECT("'Java Impact of Technique'!S" &amp; 6 + (ROW(A15)-1)*4)</f>
        <v>3152.0236</v>
      </c>
      <c r="U19" s="64" cm="1">
        <f t="array" aca="1" ref="U19" ca="1">INDIRECT("'Java Impact of Technique'!W" &amp; 5 + (ROW(A15)-1)*4)*100</f>
        <v>-25.193948425600716</v>
      </c>
      <c r="V19" s="64">
        <v>2.8719490663203402E-11</v>
      </c>
      <c r="W19" s="64" t="s">
        <v>210</v>
      </c>
      <c r="X19" s="64">
        <f t="shared" ca="1" si="0"/>
        <v>-11.831492570804151</v>
      </c>
    </row>
    <row r="20" spans="2:24" x14ac:dyDescent="0.25">
      <c r="B20" s="66" t="s">
        <v>55</v>
      </c>
      <c r="C20" s="64" cm="1">
        <f t="array" aca="1" ref="C20" ca="1">INDIRECT("'Java Impact of Technique'!G" &amp; 3 + (ROW(A16)-1)*4)</f>
        <v>1.0469999999999999</v>
      </c>
      <c r="D20" s="64" cm="1">
        <f t="array" aca="1" ref="D20" ca="1">INDIRECT("'Java Impact of Technique'!G" &amp; 4 + (ROW(A16)-1)*4)</f>
        <v>1.57</v>
      </c>
      <c r="E20" s="64" cm="1">
        <f t="array" aca="1" ref="E20" ca="1">INDIRECT("'Java Impact of Technique'!T" &amp; 3 + (ROW(A16)-1)*4)*100</f>
        <v>49.952244508118447</v>
      </c>
      <c r="F20" s="64">
        <v>2.8719490663203402E-11</v>
      </c>
      <c r="G20" s="67" t="s">
        <v>180</v>
      </c>
      <c r="H20" s="64" cm="1">
        <f t="array" aca="1" ref="H20" ca="1">INDIRECT("'Java Impact of Technique'!S" &amp; 3 + (ROW(A16)-1)*4)</f>
        <v>55.888860000000001</v>
      </c>
      <c r="I20" s="64" cm="1">
        <f t="array" aca="1" ref="I20" ca="1">INDIRECT("'Java Impact of Technique'!S" &amp; 4 + (ROW(A16)-1)*4)</f>
        <v>73.774300000000011</v>
      </c>
      <c r="J20" s="64" cm="1">
        <f t="array" aca="1" ref="J20" ca="1">INDIRECT("'Java Impact of Technique'!W" &amp; 3 + (ROW(A16)-1)*4)*100</f>
        <v>32.001797853812029</v>
      </c>
      <c r="K20" s="64">
        <v>2.8719490663203402E-11</v>
      </c>
      <c r="L20" s="64" t="s">
        <v>180</v>
      </c>
      <c r="M20" s="68" t="s">
        <v>55</v>
      </c>
      <c r="N20" s="64" cm="1">
        <f t="array" aca="1" ref="N20" ca="1">INDIRECT("'Java Impact of Technique'!G" &amp; 5 + (ROW(A16)-1)*4)</f>
        <v>62.048000000000002</v>
      </c>
      <c r="O20" s="64" cm="1">
        <f t="array" aca="1" ref="O20" ca="1">INDIRECT("'Java Impact of Technique'!G" &amp; 6 + (ROW(A16)-1)*4)</f>
        <v>80.308000000000007</v>
      </c>
      <c r="P20" s="64" cm="1">
        <f t="array" aca="1" ref="P20" ca="1">INDIRECT("'Java Impact of Technique'!T" &amp; 5 + (ROW(A16)-1)*4)*100</f>
        <v>29.428829293450239</v>
      </c>
      <c r="Q20" s="64">
        <v>2.8719490663203402E-11</v>
      </c>
      <c r="R20" s="64" t="s">
        <v>180</v>
      </c>
      <c r="S20" s="64" cm="1">
        <f t="array" aca="1" ref="S20" ca="1">INDIRECT("'Java Impact of Technique'!S" &amp; 5 + (ROW(A16)-1)*4)</f>
        <v>3495.1638400000002</v>
      </c>
      <c r="T20" s="64" cm="1">
        <f t="array" aca="1" ref="T20" ca="1">INDIRECT("'Java Impact of Technique'!S" &amp; 6 + (ROW(A16)-1)*4)</f>
        <v>4483.5956399999995</v>
      </c>
      <c r="U20" s="64" cm="1">
        <f t="array" aca="1" ref="U20" ca="1">INDIRECT("'Java Impact of Technique'!W" &amp; 5 + (ROW(A16)-1)*4)*100</f>
        <v>28.279984723119572</v>
      </c>
      <c r="V20" s="64">
        <v>2.8719490663203402E-11</v>
      </c>
      <c r="W20" s="64" t="s">
        <v>180</v>
      </c>
      <c r="X20" s="64">
        <f t="shared" ca="1" si="0"/>
        <v>30.140891288465802</v>
      </c>
    </row>
    <row r="21" spans="2:24" x14ac:dyDescent="0.25">
      <c r="B21" s="66" t="s">
        <v>57</v>
      </c>
      <c r="C21" s="64" cm="1">
        <f t="array" aca="1" ref="C21" ca="1">INDIRECT("'Java Impact of Technique'!G" &amp; 3 + (ROW(A17)-1)*4)</f>
        <v>1.5709999999999998E-2</v>
      </c>
      <c r="D21" s="64" cm="1">
        <f t="array" aca="1" ref="D21" ca="1">INDIRECT("'Java Impact of Technique'!G" &amp; 4 + (ROW(A17)-1)*4)</f>
        <v>1.5709999999999998E-2</v>
      </c>
      <c r="E21" s="64" cm="1">
        <f t="array" aca="1" ref="E21" ca="1">INDIRECT("'Java Impact of Technique'!T" &amp; 3 + (ROW(A17)-1)*4)*100</f>
        <v>0</v>
      </c>
      <c r="F21" s="64">
        <v>0.68976095727589448</v>
      </c>
      <c r="G21" s="64" t="s">
        <v>210</v>
      </c>
      <c r="H21" s="64" cm="1">
        <f t="array" aca="1" ref="H21" ca="1">INDIRECT("'Java Impact of Technique'!S" &amp; 3 + (ROW(A17)-1)*4)</f>
        <v>0.63719760000000003</v>
      </c>
      <c r="I21" s="64" cm="1">
        <f t="array" aca="1" ref="I21" ca="1">INDIRECT("'Java Impact of Technique'!S" &amp; 4 + (ROW(A17)-1)*4)</f>
        <v>0.63971120000000004</v>
      </c>
      <c r="J21" s="64" cm="1">
        <f t="array" aca="1" ref="J21" ca="1">INDIRECT("'Java Impact of Technique'!W" &amp; 3 + (ROW(A17)-1)*4)*100</f>
        <v>0.39447731755424137</v>
      </c>
      <c r="K21" s="64">
        <v>0.47334655725844976</v>
      </c>
      <c r="L21" s="64" t="s">
        <v>210</v>
      </c>
      <c r="M21" s="68" t="s">
        <v>57</v>
      </c>
      <c r="N21" s="64" cm="1">
        <f t="array" aca="1" ref="N21" ca="1">INDIRECT("'Java Impact of Technique'!G" &amp; 5 + (ROW(A17)-1)*4)</f>
        <v>3.944</v>
      </c>
      <c r="O21" s="64" cm="1">
        <f t="array" aca="1" ref="O21" ca="1">INDIRECT("'Java Impact of Technique'!G" &amp; 6 + (ROW(A17)-1)*4)</f>
        <v>3.839</v>
      </c>
      <c r="P21" s="64" cm="1">
        <f t="array" aca="1" ref="P21" ca="1">INDIRECT("'Java Impact of Technique'!T" &amp; 5 + (ROW(A17)-1)*4)*100</f>
        <v>-2.662271805273833</v>
      </c>
      <c r="Q21" s="64">
        <v>0.47334655725844976</v>
      </c>
      <c r="R21" s="64" t="s">
        <v>210</v>
      </c>
      <c r="S21" s="64" cm="1">
        <f t="array" aca="1" ref="S21" ca="1">INDIRECT("'Java Impact of Technique'!S" &amp; 5 + (ROW(A17)-1)*4)</f>
        <v>190.17967999999999</v>
      </c>
      <c r="T21" s="64" cm="1">
        <f t="array" aca="1" ref="T21" ca="1">INDIRECT("'Java Impact of Technique'!S" &amp; 6 + (ROW(A17)-1)*4)</f>
        <v>186.26828</v>
      </c>
      <c r="U21" s="64" cm="1">
        <f t="array" aca="1" ref="U21" ca="1">INDIRECT("'Java Impact of Technique'!W" &amp; 5 + (ROW(A17)-1)*4)*100</f>
        <v>-2.0566866029009967</v>
      </c>
      <c r="V21" s="64">
        <v>0.38305504584585626</v>
      </c>
      <c r="W21" s="64" t="s">
        <v>210</v>
      </c>
      <c r="X21" s="64">
        <f t="shared" ca="1" si="0"/>
        <v>-0.83110464267337769</v>
      </c>
    </row>
    <row r="22" spans="2:24" x14ac:dyDescent="0.25">
      <c r="B22" s="66" t="s">
        <v>61</v>
      </c>
      <c r="C22" s="64" cm="1">
        <f t="array" aca="1" ref="C22" ca="1">INDIRECT("'Java Impact of Technique'!G" &amp; 3 + (ROW(A18)-1)*4)</f>
        <v>57.192</v>
      </c>
      <c r="D22" s="64" cm="1">
        <f t="array" aca="1" ref="D22" ca="1">INDIRECT("'Java Impact of Technique'!G" &amp; 4 + (ROW(A18)-1)*4)</f>
        <v>76.671000000000006</v>
      </c>
      <c r="E22" s="64" cm="1">
        <f t="array" aca="1" ref="E22" ca="1">INDIRECT("'Java Impact of Technique'!T" &amp; 3 + (ROW(A18)-1)*4)*100</f>
        <v>34.058959295006311</v>
      </c>
      <c r="F22" s="64">
        <v>9.1932367313250572E-6</v>
      </c>
      <c r="G22" s="64" t="s">
        <v>180</v>
      </c>
      <c r="H22" s="64" cm="1">
        <f t="array" aca="1" ref="H22" ca="1">INDIRECT("'Java Impact of Technique'!S" &amp; 3 + (ROW(A18)-1)*4)</f>
        <v>2980.2751199999998</v>
      </c>
      <c r="I22" s="64" cm="1">
        <f t="array" aca="1" ref="I22" ca="1">INDIRECT("'Java Impact of Technique'!S" &amp; 4 + (ROW(A18)-1)*4)</f>
        <v>4225.3388100000002</v>
      </c>
      <c r="J22" s="64" cm="1">
        <f t="array" aca="1" ref="J22" ca="1">INDIRECT("'Java Impact of Technique'!W" &amp; 3 + (ROW(A18)-1)*4)*100</f>
        <v>41.77680381400495</v>
      </c>
      <c r="K22" s="64">
        <v>2.8719490663203402E-11</v>
      </c>
      <c r="L22" s="64" t="s">
        <v>180</v>
      </c>
      <c r="M22" s="68" t="s">
        <v>61</v>
      </c>
      <c r="N22" s="64" cm="1">
        <f t="array" aca="1" ref="N22" ca="1">INDIRECT("'Java Impact of Technique'!G" &amp; 5 + (ROW(A18)-1)*4)</f>
        <v>345.85</v>
      </c>
      <c r="O22" s="64" cm="1">
        <f t="array" aca="1" ref="O22" ca="1">INDIRECT("'Java Impact of Technique'!G" &amp; 6 + (ROW(A18)-1)*4)</f>
        <v>502.5</v>
      </c>
      <c r="P22" s="64" cm="1">
        <f t="array" aca="1" ref="P22" ca="1">INDIRECT("'Java Impact of Technique'!T" &amp; 5 + (ROW(A18)-1)*4)*100</f>
        <v>45.294202689027031</v>
      </c>
      <c r="Q22" s="64">
        <v>2.8719490663203402E-11</v>
      </c>
      <c r="R22" s="64" t="s">
        <v>180</v>
      </c>
      <c r="S22" s="64" cm="1">
        <f t="array" aca="1" ref="S22" ca="1">INDIRECT("'Java Impact of Technique'!S" &amp; 5 + (ROW(A18)-1)*4)</f>
        <v>17586.4725</v>
      </c>
      <c r="T22" s="64" cm="1">
        <f t="array" aca="1" ref="T22" ca="1">INDIRECT("'Java Impact of Technique'!S" &amp; 6 + (ROW(A18)-1)*4)</f>
        <v>28195.275000000001</v>
      </c>
      <c r="U22" s="64" cm="1">
        <f t="array" aca="1" ref="U22" ca="1">INDIRECT("'Java Impact of Technique'!W" &amp; 5 + (ROW(A18)-1)*4)*100</f>
        <v>60.32365217072384</v>
      </c>
      <c r="V22" s="64">
        <v>2.8719490663203402E-11</v>
      </c>
      <c r="W22" s="64" t="s">
        <v>180</v>
      </c>
      <c r="X22" s="64">
        <f t="shared" ca="1" si="0"/>
        <v>51.050227992364398</v>
      </c>
    </row>
    <row r="23" spans="2:24" x14ac:dyDescent="0.25">
      <c r="B23" s="66" t="s">
        <v>63</v>
      </c>
      <c r="C23" s="64" cm="1">
        <f t="array" aca="1" ref="C23" ca="1">INDIRECT("'Java Impact of Technique'!G" &amp; 3 + (ROW(A19)-1)*4)</f>
        <v>3.6650000000000002E-2</v>
      </c>
      <c r="D23" s="64" cm="1">
        <f t="array" aca="1" ref="D23" ca="1">INDIRECT("'Java Impact of Technique'!G" &amp; 4 + (ROW(A19)-1)*4)</f>
        <v>8.3770000000000011E-2</v>
      </c>
      <c r="E23" s="64" cm="1">
        <f t="array" aca="1" ref="E23" ca="1">INDIRECT("'Java Impact of Technique'!T" &amp; 3 + (ROW(A19)-1)*4)*100</f>
        <v>128.56753069577081</v>
      </c>
      <c r="F23" s="64">
        <v>2.8719490663203402E-11</v>
      </c>
      <c r="G23" s="67" t="s">
        <v>180</v>
      </c>
      <c r="H23" s="64" cm="1">
        <f t="array" aca="1" ref="H23" ca="1">INDIRECT("'Java Impact of Technique'!S" &amp; 3 + (ROW(A19)-1)*4)</f>
        <v>1.8783125000000001</v>
      </c>
      <c r="I23" s="64" cm="1">
        <f t="array" aca="1" ref="I23" ca="1">INDIRECT("'Java Impact of Technique'!S" &amp; 4 + (ROW(A19)-1)*4)</f>
        <v>4.6190778000000012</v>
      </c>
      <c r="J23" s="64" cm="1">
        <f t="array" aca="1" ref="J23" ca="1">INDIRECT("'Java Impact of Technique'!W" &amp; 3 + (ROW(A19)-1)*4)*100</f>
        <v>145.91636375736206</v>
      </c>
      <c r="K23" s="64">
        <v>2.8719490663203402E-11</v>
      </c>
      <c r="L23" s="64" t="s">
        <v>180</v>
      </c>
      <c r="M23" s="68" t="s">
        <v>63</v>
      </c>
      <c r="N23" s="64" cm="1">
        <f t="array" aca="1" ref="N23" ca="1">INDIRECT("'Java Impact of Technique'!G" &amp; 5 + (ROW(A19)-1)*4)</f>
        <v>4.7469999999999999</v>
      </c>
      <c r="O23" s="64" cm="1">
        <f t="array" aca="1" ref="O23" ca="1">INDIRECT("'Java Impact of Technique'!G" &amp; 6 + (ROW(A19)-1)*4)</f>
        <v>4.9390000000000001</v>
      </c>
      <c r="P23" s="64" cm="1">
        <f t="array" aca="1" ref="P23" ca="1">INDIRECT("'Java Impact of Technique'!T" &amp; 5 + (ROW(A19)-1)*4)*100</f>
        <v>4.0446597851274522</v>
      </c>
      <c r="Q23" s="64">
        <v>2.8719490663203402E-11</v>
      </c>
      <c r="R23" s="64" t="s">
        <v>180</v>
      </c>
      <c r="S23" s="64" cm="1">
        <f t="array" aca="1" ref="S23" ca="1">INDIRECT("'Java Impact of Technique'!S" &amp; 5 + (ROW(A19)-1)*4)</f>
        <v>277.41467999999998</v>
      </c>
      <c r="T23" s="64" cm="1">
        <f t="array" aca="1" ref="T23" ca="1">INDIRECT("'Java Impact of Technique'!S" &amp; 6 + (ROW(A19)-1)*4)</f>
        <v>295.50036999999998</v>
      </c>
      <c r="U23" s="64" cm="1">
        <f t="array" aca="1" ref="U23" ca="1">INDIRECT("'Java Impact of Technique'!W" &amp; 5 + (ROW(A19)-1)*4)*100</f>
        <v>6.5193702078058742</v>
      </c>
      <c r="V23" s="64">
        <v>3.9553873778822502E-5</v>
      </c>
      <c r="W23" s="64" t="s">
        <v>180</v>
      </c>
      <c r="X23" s="64">
        <f t="shared" ca="1" si="0"/>
        <v>76.217866982583971</v>
      </c>
    </row>
    <row r="24" spans="2:24" x14ac:dyDescent="0.25">
      <c r="B24" s="66" t="s">
        <v>65</v>
      </c>
      <c r="C24" s="64" cm="1">
        <f t="array" aca="1" ref="C24" ca="1">INDIRECT("'Java Impact of Technique'!G" &amp; 3 + (ROW(A20)-1)*4)</f>
        <v>1.5700000000000002E-2</v>
      </c>
      <c r="D24" s="64" cm="1">
        <f t="array" aca="1" ref="D24" ca="1">INDIRECT("'Java Impact of Technique'!G" &amp; 4 + (ROW(A20)-1)*4)</f>
        <v>1.5709999999999998E-2</v>
      </c>
      <c r="E24" s="64" cm="1">
        <f t="array" aca="1" ref="E24" ca="1">INDIRECT("'Java Impact of Technique'!T" &amp; 3 + (ROW(A20)-1)*4)*100</f>
        <v>6.3694267515916544E-2</v>
      </c>
      <c r="F24" s="64">
        <v>8.9091634427719835E-2</v>
      </c>
      <c r="G24" s="64" t="s">
        <v>210</v>
      </c>
      <c r="H24" s="64" cm="1">
        <f t="array" aca="1" ref="H24" ca="1">INDIRECT("'Java Impact of Technique'!S" &amp; 3 + (ROW(A20)-1)*4)</f>
        <v>0.66410999999999998</v>
      </c>
      <c r="I24" s="64" cm="1">
        <f t="array" aca="1" ref="I24" ca="1">INDIRECT("'Java Impact of Technique'!S" &amp; 4 + (ROW(A20)-1)*4)</f>
        <v>0.68024299999999993</v>
      </c>
      <c r="J24" s="64" cm="1">
        <f t="array" aca="1" ref="J24" ca="1">INDIRECT("'Java Impact of Technique'!W" &amp; 3 + (ROW(A20)-1)*4)*100</f>
        <v>2.4292662360151112</v>
      </c>
      <c r="K24" s="64">
        <v>4.5848230421562201E-4</v>
      </c>
      <c r="L24" s="64" t="s">
        <v>209</v>
      </c>
      <c r="M24" s="68" t="s">
        <v>65</v>
      </c>
      <c r="N24" s="64" cm="1">
        <f t="array" aca="1" ref="N24" ca="1">INDIRECT("'Java Impact of Technique'!G" &amp; 5 + (ROW(A20)-1)*4)</f>
        <v>13.457000000000001</v>
      </c>
      <c r="O24" s="64" cm="1">
        <f t="array" aca="1" ref="O24" ca="1">INDIRECT("'Java Impact of Technique'!G" &amp; 6 + (ROW(A20)-1)*4)</f>
        <v>13.512</v>
      </c>
      <c r="P24" s="64" cm="1">
        <f t="array" aca="1" ref="P24" ca="1">INDIRECT("'Java Impact of Technique'!T" &amp; 5 + (ROW(A20)-1)*4)*100</f>
        <v>0.40870922196626081</v>
      </c>
      <c r="Q24" s="64">
        <v>4.5848230421562201E-4</v>
      </c>
      <c r="R24" s="64" t="s">
        <v>209</v>
      </c>
      <c r="S24" s="64" cm="1">
        <f t="array" aca="1" ref="S24" ca="1">INDIRECT("'Java Impact of Technique'!S" &amp; 5 + (ROW(A20)-1)*4)</f>
        <v>584.43750999999997</v>
      </c>
      <c r="T24" s="64" cm="1">
        <f t="array" aca="1" ref="T24" ca="1">INDIRECT("'Java Impact of Technique'!S" &amp; 6 + (ROW(A20)-1)*4)</f>
        <v>591.82560000000001</v>
      </c>
      <c r="U24" s="64" cm="1">
        <f t="array" aca="1" ref="U24" ca="1">INDIRECT("'Java Impact of Technique'!W" &amp; 5 + (ROW(A20)-1)*4)*100</f>
        <v>1.2641368621257787</v>
      </c>
      <c r="V24" s="64">
        <v>3.2599394371983698E-3</v>
      </c>
      <c r="W24" s="64" t="s">
        <v>209</v>
      </c>
      <c r="X24" s="64">
        <f t="shared" ca="1" si="0"/>
        <v>1.846701549070445</v>
      </c>
    </row>
    <row r="25" spans="2:24" x14ac:dyDescent="0.25">
      <c r="B25" s="66" t="s">
        <v>71</v>
      </c>
      <c r="C25" s="64" cm="1">
        <f t="array" aca="1" ref="C25" ca="1">INDIRECT("'Java Impact of Technique'!G" &amp; 3 + (ROW(A21)-1)*4)</f>
        <v>0.59719999999999995</v>
      </c>
      <c r="D25" s="64" cm="1">
        <f t="array" aca="1" ref="D25" ca="1">INDIRECT("'Java Impact of Technique'!G" &amp; 4 + (ROW(A21)-1)*4)</f>
        <v>0.54500000000000004</v>
      </c>
      <c r="E25" s="64" cm="1">
        <f t="array" aca="1" ref="E25" ca="1">INDIRECT("'Java Impact of Technique'!T" &amp; 3 + (ROW(A21)-1)*4)*100</f>
        <v>-8.7407903549899508</v>
      </c>
      <c r="F25" s="64">
        <v>2.8719490663203402E-11</v>
      </c>
      <c r="G25" s="67" t="s">
        <v>180</v>
      </c>
      <c r="H25" s="64" cm="1">
        <f t="array" aca="1" ref="H25" ca="1">INDIRECT("'Java Impact of Technique'!S" &amp; 3 + (ROW(A21)-1)*4)</f>
        <v>32.607120000000002</v>
      </c>
      <c r="I25" s="64" cm="1">
        <f t="array" aca="1" ref="I25" ca="1">INDIRECT("'Java Impact of Technique'!S" &amp; 4 + (ROW(A21)-1)*4)</f>
        <v>30.541799999999999</v>
      </c>
      <c r="J25" s="64" cm="1">
        <f t="array" aca="1" ref="J25" ca="1">INDIRECT("'Java Impact of Technique'!W" &amp; 3 + (ROW(A21)-1)*4)*100</f>
        <v>-6.3339540566600281</v>
      </c>
      <c r="K25" s="64">
        <v>5.3167428036428199E-10</v>
      </c>
      <c r="L25" s="64" t="s">
        <v>180</v>
      </c>
      <c r="M25" s="68" t="s">
        <v>71</v>
      </c>
      <c r="N25" s="64" cm="1">
        <f t="array" aca="1" ref="N25" ca="1">INDIRECT("'Java Impact of Technique'!G" &amp; 5 + (ROW(A21)-1)*4)</f>
        <v>22.46</v>
      </c>
      <c r="O25" s="64" cm="1">
        <f t="array" aca="1" ref="O25" ca="1">INDIRECT("'Java Impact of Technique'!G" &amp; 6 + (ROW(A21)-1)*4)</f>
        <v>18.805</v>
      </c>
      <c r="P25" s="64" cm="1">
        <f t="array" aca="1" ref="P25" ca="1">INDIRECT("'Java Impact of Technique'!T" &amp; 5 + (ROW(A21)-1)*4)*100</f>
        <v>-16.273374888691013</v>
      </c>
      <c r="Q25" s="64">
        <v>5.3167428036428199E-10</v>
      </c>
      <c r="R25" s="64" t="s">
        <v>180</v>
      </c>
      <c r="S25" s="64" cm="1">
        <f t="array" aca="1" ref="S25" ca="1">INDIRECT("'Java Impact of Technique'!S" &amp; 5 + (ROW(A21)-1)*4)</f>
        <v>1313.91</v>
      </c>
      <c r="T25" s="64" cm="1">
        <f t="array" aca="1" ref="T25" ca="1">INDIRECT("'Java Impact of Technique'!S" &amp; 6 + (ROW(A21)-1)*4)</f>
        <v>1123.0346</v>
      </c>
      <c r="U25" s="64" cm="1">
        <f t="array" aca="1" ref="U25" ca="1">INDIRECT("'Java Impact of Technique'!W" &amp; 5 + (ROW(A21)-1)*4)*100</f>
        <v>-14.527281168420981</v>
      </c>
      <c r="V25" s="64">
        <v>2.8719490663203402E-11</v>
      </c>
      <c r="W25" s="64" t="s">
        <v>180</v>
      </c>
      <c r="X25" s="64">
        <f t="shared" ca="1" si="0"/>
        <v>-10.430617612540505</v>
      </c>
    </row>
    <row r="26" spans="2:24" x14ac:dyDescent="0.25">
      <c r="B26" s="66" t="s">
        <v>79</v>
      </c>
      <c r="C26" s="64" cm="1">
        <f t="array" aca="1" ref="C26" ca="1">INDIRECT("'Java Impact of Technique'!G" &amp; 3 + (ROW(A22)-1)*4)</f>
        <v>0.81101000000000001</v>
      </c>
      <c r="D26" s="64" cm="1">
        <f t="array" aca="1" ref="D26" ca="1">INDIRECT("'Java Impact of Technique'!G" &amp; 4 + (ROW(A22)-1)*4)</f>
        <v>0.81808999999999998</v>
      </c>
      <c r="E26" s="64" cm="1">
        <f t="array" aca="1" ref="E26" ca="1">INDIRECT("'Java Impact of Technique'!T" &amp; 3 + (ROW(A22)-1)*4)*100</f>
        <v>0.87298553655318478</v>
      </c>
      <c r="F26" s="64">
        <v>5.201921540448325E-3</v>
      </c>
      <c r="G26" s="64" t="s">
        <v>209</v>
      </c>
      <c r="H26" s="64" cm="1">
        <f t="array" aca="1" ref="H26" ca="1">INDIRECT("'Java Impact of Technique'!S" &amp; 3 + (ROW(A22)-1)*4)</f>
        <v>50.298840200000008</v>
      </c>
      <c r="I26" s="64" cm="1">
        <f t="array" aca="1" ref="I26" ca="1">INDIRECT("'Java Impact of Technique'!S" &amp; 4 + (ROW(A22)-1)*4)</f>
        <v>50.238906899999996</v>
      </c>
      <c r="J26" s="64" cm="1">
        <f t="array" aca="1" ref="J26" ca="1">INDIRECT("'Java Impact of Technique'!W" &amp; 3 + (ROW(A22)-1)*4)*100</f>
        <v>-0.11915443728265429</v>
      </c>
      <c r="K26" s="64">
        <v>0.67890053646689597</v>
      </c>
      <c r="L26" s="64" t="s">
        <v>210</v>
      </c>
      <c r="M26" s="68" t="s">
        <v>79</v>
      </c>
      <c r="N26" s="64" cm="1">
        <f t="array" aca="1" ref="N26" ca="1">INDIRECT("'Java Impact of Technique'!G" &amp; 5 + (ROW(A22)-1)*4)</f>
        <v>207.09</v>
      </c>
      <c r="O26" s="64" cm="1">
        <f t="array" aca="1" ref="O26" ca="1">INDIRECT("'Java Impact of Technique'!G" &amp; 6 + (ROW(A22)-1)*4)</f>
        <v>52.569999999999993</v>
      </c>
      <c r="P26" s="64" cm="1">
        <f t="array" aca="1" ref="P26" ca="1">INDIRECT("'Java Impact of Technique'!T" &amp; 5 + (ROW(A22)-1)*4)*100</f>
        <v>-74.614901733545807</v>
      </c>
      <c r="Q26" s="64">
        <v>0.67890053646689597</v>
      </c>
      <c r="R26" s="64" t="s">
        <v>210</v>
      </c>
      <c r="S26" s="64" cm="1">
        <f t="array" aca="1" ref="S26" ca="1">INDIRECT("'Java Impact of Technique'!S" &amp; 5 + (ROW(A22)-1)*4)</f>
        <v>10097.7084</v>
      </c>
      <c r="T26" s="64" cm="1">
        <f t="array" aca="1" ref="T26" ca="1">INDIRECT("'Java Impact of Technique'!S" &amp; 6 + (ROW(A22)-1)*4)</f>
        <v>2827.7402999999999</v>
      </c>
      <c r="U26" s="64" cm="1">
        <f t="array" aca="1" ref="U26" ca="1">INDIRECT("'Java Impact of Technique'!W" &amp; 5 + (ROW(A22)-1)*4)*100</f>
        <v>-71.996217478413229</v>
      </c>
      <c r="V26" s="64">
        <v>2.8719490663203402E-11</v>
      </c>
      <c r="W26" s="64" t="s">
        <v>180</v>
      </c>
      <c r="X26" s="64">
        <f t="shared" ca="1" si="0"/>
        <v>-36.057685957847944</v>
      </c>
    </row>
    <row r="27" spans="2:24" x14ac:dyDescent="0.25">
      <c r="B27" s="66" t="s">
        <v>87</v>
      </c>
      <c r="C27" s="64" cm="1">
        <f t="array" aca="1" ref="C27" ca="1">INDIRECT("'Java Impact of Technique'!G" &amp; 3 + (ROW(A23)-1)*4)</f>
        <v>1.5709999999999998E-2</v>
      </c>
      <c r="D27" s="64" cm="1">
        <f t="array" aca="1" ref="D27" ca="1">INDIRECT("'Java Impact of Technique'!G" &amp; 4 + (ROW(A23)-1)*4)</f>
        <v>1.5700000000000002E-2</v>
      </c>
      <c r="E27" s="64" cm="1">
        <f t="array" aca="1" ref="E27" ca="1">INDIRECT("'Java Impact of Technique'!T" &amp; 3 + (ROW(A23)-1)*4)*100</f>
        <v>-6.3653723742831944E-2</v>
      </c>
      <c r="F27" s="64">
        <v>0.23984999119107975</v>
      </c>
      <c r="G27" s="67" t="s">
        <v>210</v>
      </c>
      <c r="H27" s="64" cm="1">
        <f t="array" aca="1" ref="H27" ca="1">INDIRECT("'Java Impact of Technique'!S" &amp; 3 + (ROW(A23)-1)*4)</f>
        <v>0.67552999999999996</v>
      </c>
      <c r="I27" s="64" cm="1">
        <f t="array" aca="1" ref="I27" ca="1">INDIRECT("'Java Impact of Technique'!S" &amp; 4 + (ROW(A23)-1)*4)</f>
        <v>0.66379600000000016</v>
      </c>
      <c r="J27" s="64" cm="1">
        <f t="array" aca="1" ref="J27" ca="1">INDIRECT("'Java Impact of Technique'!W" &amp; 3 + (ROW(A23)-1)*4)*100</f>
        <v>-1.7370064986010687</v>
      </c>
      <c r="K27" s="64">
        <v>1.2469625319240056E-2</v>
      </c>
      <c r="L27" s="64" t="s">
        <v>209</v>
      </c>
      <c r="M27" s="68" t="s">
        <v>87</v>
      </c>
      <c r="N27" s="64" cm="1">
        <f t="array" aca="1" ref="N27" ca="1">INDIRECT("'Java Impact of Technique'!G" &amp; 5 + (ROW(A23)-1)*4)</f>
        <v>4.0490000000000004</v>
      </c>
      <c r="O27" s="64" cm="1">
        <f t="array" aca="1" ref="O27" ca="1">INDIRECT("'Java Impact of Technique'!G" &amp; 6 + (ROW(A23)-1)*4)</f>
        <v>3.7869999999999999</v>
      </c>
      <c r="P27" s="64" cm="1">
        <f t="array" aca="1" ref="P27" ca="1">INDIRECT("'Java Impact of Technique'!T" &amp; 5 + (ROW(A23)-1)*4)*100</f>
        <v>-6.470733514448022</v>
      </c>
      <c r="Q27" s="64">
        <v>1.2469625319240056E-2</v>
      </c>
      <c r="R27" s="64" t="s">
        <v>209</v>
      </c>
      <c r="S27" s="64" cm="1">
        <f t="array" aca="1" ref="S27" ca="1">INDIRECT("'Java Impact of Technique'!S" &amp; 5 + (ROW(A23)-1)*4)</f>
        <v>203.74567999999999</v>
      </c>
      <c r="T27" s="64" cm="1">
        <f t="array" aca="1" ref="T27" ca="1">INDIRECT("'Java Impact of Technique'!S" &amp; 6 + (ROW(A23)-1)*4)</f>
        <v>187.19140999999999</v>
      </c>
      <c r="U27" s="64" cm="1">
        <f t="array" aca="1" ref="U27" ca="1">INDIRECT("'Java Impact of Technique'!W" &amp; 5 + (ROW(A23)-1)*4)*100</f>
        <v>-8.124967361271171</v>
      </c>
      <c r="V27" s="64">
        <v>4.5310544365324669E-3</v>
      </c>
      <c r="W27" s="64" t="s">
        <v>209</v>
      </c>
      <c r="X27" s="64">
        <f t="shared" ca="1" si="0"/>
        <v>-4.93098692993612</v>
      </c>
    </row>
    <row r="28" spans="2:24" x14ac:dyDescent="0.25">
      <c r="B28" s="66" t="s">
        <v>91</v>
      </c>
      <c r="C28" s="64" cm="1">
        <f t="array" aca="1" ref="C28" ca="1">INDIRECT("'Java Impact of Technique'!G" &amp; 3 + (ROW(A24)-1)*4)</f>
        <v>0.51968999999999999</v>
      </c>
      <c r="D28" s="64" cm="1">
        <f t="array" aca="1" ref="D28" ca="1">INDIRECT("'Java Impact of Technique'!G" &amp; 4 + (ROW(A24)-1)*4)</f>
        <v>0.51008000000000009</v>
      </c>
      <c r="E28" s="64" cm="1">
        <f t="array" aca="1" ref="E28" ca="1">INDIRECT("'Java Impact of Technique'!T" &amp; 3 + (ROW(A24)-1)*4)*100</f>
        <v>-1.8491793184398364</v>
      </c>
      <c r="F28" s="64">
        <v>2.8719490663203402E-11</v>
      </c>
      <c r="G28" s="67" t="s">
        <v>180</v>
      </c>
      <c r="H28" s="64" cm="1">
        <f t="array" aca="1" ref="H28" ca="1">INDIRECT("'Java Impact of Technique'!S" &amp; 3 + (ROW(A24)-1)*4)</f>
        <v>30.7552542</v>
      </c>
      <c r="I28" s="64" cm="1">
        <f t="array" aca="1" ref="I28" ca="1">INDIRECT("'Java Impact of Technique'!S" &amp; 4 + (ROW(A24)-1)*4)</f>
        <v>30.47728</v>
      </c>
      <c r="J28" s="64" cm="1">
        <f t="array" aca="1" ref="J28" ca="1">INDIRECT("'Java Impact of Technique'!W" &amp; 3 + (ROW(A24)-1)*4)*100</f>
        <v>-0.90382670288577605</v>
      </c>
      <c r="K28" s="64">
        <v>1.5958584261266201E-2</v>
      </c>
      <c r="L28" s="64" t="s">
        <v>209</v>
      </c>
      <c r="M28" s="68" t="s">
        <v>91</v>
      </c>
      <c r="N28" s="64" cm="1">
        <f t="array" aca="1" ref="N28" ca="1">INDIRECT("'Java Impact of Technique'!G" &amp; 5 + (ROW(A24)-1)*4)</f>
        <v>18.853000000000002</v>
      </c>
      <c r="O28" s="64" cm="1">
        <f t="array" aca="1" ref="O28" ca="1">INDIRECT("'Java Impact of Technique'!G" &amp; 6 + (ROW(A24)-1)*4)</f>
        <v>14.739000000000001</v>
      </c>
      <c r="P28" s="64" cm="1">
        <f t="array" aca="1" ref="P28" ca="1">INDIRECT("'Java Impact of Technique'!T" &amp; 5 + (ROW(A24)-1)*4)*100</f>
        <v>-21.821460775473405</v>
      </c>
      <c r="Q28" s="64">
        <v>1.5958584261266201E-2</v>
      </c>
      <c r="R28" s="64" t="s">
        <v>209</v>
      </c>
      <c r="S28" s="64" cm="1">
        <f t="array" aca="1" ref="S28" ca="1">INDIRECT("'Java Impact of Technique'!S" &amp; 5 + (ROW(A24)-1)*4)</f>
        <v>1084.0474999999999</v>
      </c>
      <c r="T28" s="64" cm="1">
        <f t="array" aca="1" ref="T28" ca="1">INDIRECT("'Java Impact of Technique'!S" &amp; 6 + (ROW(A24)-1)*4)</f>
        <v>856.48329000000001</v>
      </c>
      <c r="U28" s="64" cm="1">
        <f t="array" aca="1" ref="U28" ca="1">INDIRECT("'Java Impact of Technique'!W" &amp; 5 + (ROW(A24)-1)*4)*100</f>
        <v>-20.992088446308848</v>
      </c>
      <c r="V28" s="64">
        <v>2.8719490663203402E-11</v>
      </c>
      <c r="W28" s="64" t="s">
        <v>180</v>
      </c>
      <c r="X28" s="64">
        <f t="shared" ca="1" si="0"/>
        <v>-10.947957574597313</v>
      </c>
    </row>
    <row r="29" spans="2:24" x14ac:dyDescent="0.25">
      <c r="B29" s="66" t="s">
        <v>93</v>
      </c>
      <c r="C29" s="64" cm="1">
        <f t="array" aca="1" ref="C29" ca="1">INDIRECT("'Java Impact of Technique'!G" &amp; 3 + (ROW(A25)-1)*4)</f>
        <v>225.60300000000001</v>
      </c>
      <c r="D29" s="64" cm="1">
        <f t="array" aca="1" ref="D29" ca="1">INDIRECT("'Java Impact of Technique'!G" &amp; 4 + (ROW(A25)-1)*4)</f>
        <v>167.15799999999999</v>
      </c>
      <c r="E29" s="64" cm="1">
        <f t="array" aca="1" ref="E29" ca="1">INDIRECT("'Java Impact of Technique'!T" &amp; 3 + (ROW(A25)-1)*4)*100</f>
        <v>-25.906127134834207</v>
      </c>
      <c r="F29" s="64">
        <v>2.8719490663203402E-11</v>
      </c>
      <c r="G29" s="67" t="s">
        <v>180</v>
      </c>
      <c r="H29" s="64" cm="1">
        <f t="array" aca="1" ref="H29" ca="1">INDIRECT("'Java Impact of Technique'!S" &amp; 3 + (ROW(A25)-1)*4)</f>
        <v>15873.427079999999</v>
      </c>
      <c r="I29" s="64" cm="1">
        <f t="array" aca="1" ref="I29" ca="1">INDIRECT("'Java Impact of Technique'!S" &amp; 4 + (ROW(A25)-1)*4)</f>
        <v>12583.65424</v>
      </c>
      <c r="J29" s="64" cm="1">
        <f t="array" aca="1" ref="J29" ca="1">INDIRECT("'Java Impact of Technique'!W" &amp; 3 + (ROW(A25)-1)*4)*100</f>
        <v>-20.725031988492304</v>
      </c>
      <c r="K29" s="64">
        <v>2.8719490663203402E-11</v>
      </c>
      <c r="L29" s="64" t="s">
        <v>180</v>
      </c>
      <c r="M29" s="68" t="s">
        <v>93</v>
      </c>
      <c r="N29" s="64" cm="1">
        <f t="array" aca="1" ref="N29" ca="1">INDIRECT("'Java Impact of Technique'!G" &amp; 5 + (ROW(A25)-1)*4)</f>
        <v>2229.58</v>
      </c>
      <c r="O29" s="64" cm="1">
        <f t="array" aca="1" ref="O29" ca="1">INDIRECT("'Java Impact of Technique'!G" &amp; 6 + (ROW(A25)-1)*4)</f>
        <v>1141.71</v>
      </c>
      <c r="P29" s="64" cm="1">
        <f t="array" aca="1" ref="P29" ca="1">INDIRECT("'Java Impact of Technique'!T" &amp; 5 + (ROW(A25)-1)*4)*100</f>
        <v>-48.792597708985546</v>
      </c>
      <c r="Q29" s="64">
        <v>2.8719490663203402E-11</v>
      </c>
      <c r="R29" s="64" t="s">
        <v>180</v>
      </c>
      <c r="S29" s="64" cm="1">
        <f t="array" aca="1" ref="S29" ca="1">INDIRECT("'Java Impact of Technique'!S" &amp; 5 + (ROW(A25)-1)*4)</f>
        <v>147553.60440000001</v>
      </c>
      <c r="T29" s="64" cm="1">
        <f t="array" aca="1" ref="T29" ca="1">INDIRECT("'Java Impact of Technique'!S" &amp; 6 + (ROW(A25)-1)*4)</f>
        <v>77076.842100000009</v>
      </c>
      <c r="U29" s="64" cm="1">
        <f t="array" aca="1" ref="U29" ca="1">INDIRECT("'Java Impact of Technique'!W" &amp; 5 + (ROW(A25)-1)*4)*100</f>
        <v>-47.763497602502483</v>
      </c>
      <c r="V29" s="64">
        <v>2.8719490663203402E-11</v>
      </c>
      <c r="W29" s="64" t="s">
        <v>180</v>
      </c>
      <c r="X29" s="64">
        <f t="shared" ca="1" si="0"/>
        <v>-34.244264795497394</v>
      </c>
    </row>
    <row r="30" spans="2:24" x14ac:dyDescent="0.25">
      <c r="B30" s="23" t="s">
        <v>95</v>
      </c>
      <c r="C30" s="64" cm="1">
        <f t="array" aca="1" ref="C30" ca="1">INDIRECT("'Java Impact of Technique'!G" &amp; 3 + (ROW(A26)-1)*4)</f>
        <v>30.221</v>
      </c>
      <c r="D30" s="64" cm="1">
        <f t="array" aca="1" ref="D30" ca="1">INDIRECT("'Java Impact of Technique'!G" &amp; 4 + (ROW(A26)-1)*4)</f>
        <v>24.710999999999999</v>
      </c>
      <c r="E30" s="64" cm="1">
        <f t="array" aca="1" ref="E30" ca="1">INDIRECT("'Java Impact of Technique'!T" &amp; 3 + (ROW(A26)-1)*4)*100</f>
        <v>-18.232354984944248</v>
      </c>
      <c r="F30" s="64">
        <v>8.8909913232989431E-10</v>
      </c>
      <c r="G30" s="67" t="s">
        <v>180</v>
      </c>
      <c r="H30" s="64" cm="1">
        <f t="array" aca="1" ref="H30" ca="1">INDIRECT("'Java Impact of Technique'!S" &amp; 3 + (ROW(A26)-1)*4)</f>
        <v>2023.59816</v>
      </c>
      <c r="I30" s="64" cm="1">
        <f t="array" aca="1" ref="I30" ca="1">INDIRECT("'Java Impact of Technique'!S" &amp; 4 + (ROW(A26)-1)*4)</f>
        <v>1651.9303500000001</v>
      </c>
      <c r="J30" s="64" cm="1">
        <f t="array" aca="1" ref="J30" ca="1">INDIRECT("'Java Impact of Technique'!W" &amp; 3 + (ROW(A26)-1)*4)*100</f>
        <v>-18.366680566659536</v>
      </c>
      <c r="K30" s="64">
        <v>7.7326296978688598E-10</v>
      </c>
      <c r="L30" s="64" t="s">
        <v>180</v>
      </c>
      <c r="M30" s="69" t="s">
        <v>95</v>
      </c>
      <c r="N30" s="64" cm="1">
        <f t="array" aca="1" ref="N30" ca="1">INDIRECT("'Java Impact of Technique'!G" &amp; 5 + (ROW(A26)-1)*4)</f>
        <v>1457.33</v>
      </c>
      <c r="O30" s="64" cm="1">
        <f t="array" aca="1" ref="O30" ca="1">INDIRECT("'Java Impact of Technique'!G" &amp; 6 + (ROW(A26)-1)*4)</f>
        <v>873.3</v>
      </c>
      <c r="P30" s="64" cm="1">
        <f t="array" aca="1" ref="P30" ca="1">INDIRECT("'Java Impact of Technique'!T" &amp; 5 + (ROW(A26)-1)*4)*100</f>
        <v>-40.075343264737576</v>
      </c>
      <c r="Q30" s="64">
        <v>7.7326296978688598E-10</v>
      </c>
      <c r="R30" s="64" t="s">
        <v>180</v>
      </c>
      <c r="S30" s="64" cm="1">
        <f t="array" aca="1" ref="S30" ca="1">INDIRECT("'Java Impact of Technique'!S" &amp; 5 + (ROW(A26)-1)*4)</f>
        <v>84058.794400000013</v>
      </c>
      <c r="T30" s="64" cm="1">
        <f t="array" aca="1" ref="T30" ca="1">INDIRECT("'Java Impact of Technique'!S" &amp; 6 + (ROW(A26)-1)*4)</f>
        <v>53550.756000000001</v>
      </c>
      <c r="U30" s="64" cm="1">
        <f t="array" aca="1" ref="U30" ca="1">INDIRECT("'Java Impact of Technique'!W" &amp; 5 + (ROW(A26)-1)*4)*100</f>
        <v>-36.293690169793827</v>
      </c>
      <c r="V30" s="64">
        <v>1.2291147519974046E-9</v>
      </c>
      <c r="W30" s="64" t="s">
        <v>180</v>
      </c>
      <c r="X30" s="64">
        <f t="shared" ca="1" si="0"/>
        <v>-27.33018536822668</v>
      </c>
    </row>
    <row r="32" spans="2:24" ht="18.75" x14ac:dyDescent="0.3">
      <c r="B32" s="108" t="s">
        <v>149</v>
      </c>
      <c r="C32" s="109"/>
      <c r="D32" s="109"/>
      <c r="E32" s="109"/>
      <c r="F32" s="109"/>
      <c r="G32" s="109"/>
      <c r="H32" s="109"/>
      <c r="I32" s="109"/>
      <c r="J32" s="109"/>
      <c r="K32" s="109"/>
      <c r="L32" s="109"/>
      <c r="M32" s="109"/>
      <c r="N32" s="109"/>
      <c r="O32" s="110"/>
    </row>
    <row r="33" spans="2:15" ht="15.75" x14ac:dyDescent="0.25">
      <c r="B33" s="105" t="s">
        <v>205</v>
      </c>
      <c r="C33" s="106"/>
      <c r="D33" s="106"/>
      <c r="E33" s="107"/>
      <c r="F33" s="70"/>
      <c r="G33" s="105" t="s">
        <v>205</v>
      </c>
      <c r="H33" s="106"/>
      <c r="I33" s="106"/>
      <c r="J33" s="107"/>
      <c r="K33" s="70"/>
      <c r="L33" s="105" t="s">
        <v>205</v>
      </c>
      <c r="M33" s="106"/>
      <c r="N33" s="106"/>
      <c r="O33" s="107"/>
    </row>
    <row r="34" spans="2:15" x14ac:dyDescent="0.25">
      <c r="B34" s="82" t="s">
        <v>206</v>
      </c>
      <c r="C34" s="83"/>
      <c r="D34" s="83"/>
      <c r="E34" s="84"/>
      <c r="F34" s="71"/>
      <c r="G34" s="82" t="s">
        <v>207</v>
      </c>
      <c r="H34" s="83"/>
      <c r="I34" s="83"/>
      <c r="J34" s="84"/>
      <c r="K34" s="71"/>
      <c r="L34" s="82" t="s">
        <v>212</v>
      </c>
      <c r="M34" s="83"/>
      <c r="N34" s="83"/>
      <c r="O34" s="84"/>
    </row>
    <row r="35" spans="2:15" x14ac:dyDescent="0.25">
      <c r="B35" s="39" t="s">
        <v>149</v>
      </c>
      <c r="C35" s="40" t="s">
        <v>173</v>
      </c>
      <c r="D35" s="40" t="s">
        <v>174</v>
      </c>
      <c r="E35" s="41" t="s">
        <v>175</v>
      </c>
      <c r="F35" s="71"/>
      <c r="G35" s="39" t="s">
        <v>149</v>
      </c>
      <c r="H35" s="40" t="s">
        <v>173</v>
      </c>
      <c r="I35" s="40" t="s">
        <v>174</v>
      </c>
      <c r="J35" s="41" t="s">
        <v>175</v>
      </c>
      <c r="K35" s="71"/>
      <c r="L35" s="39" t="s">
        <v>149</v>
      </c>
      <c r="M35" s="40" t="s">
        <v>173</v>
      </c>
      <c r="N35" s="40" t="s">
        <v>174</v>
      </c>
      <c r="O35" s="41" t="s">
        <v>175</v>
      </c>
    </row>
    <row r="36" spans="2:15" x14ac:dyDescent="0.25">
      <c r="B36" s="5" t="s">
        <v>176</v>
      </c>
      <c r="C36" s="28" cm="1">
        <f t="array" aca="1" ref="C36" ca="1">AVERAGE(_xlfn._xlws.FILTER($J$5:$J$30, ISNUMBER(MATCH($B$5:$B$30, _xlfn.TEXTSPLIT(_xlfn.TEXTJOIN(", ", TRUE, AA6:AA8), ", "), 0))))</f>
        <v>-49.05476373505121</v>
      </c>
      <c r="D36" s="28" cm="1">
        <f t="array" aca="1" ref="D36" ca="1">MIN(_xlfn._xlws.FILTER($J$5:$J$30, ISNUMBER(MATCH($B$5:$B$30, _xlfn.TEXTSPLIT(_xlfn.TEXTJOIN(", ", TRUE, AA6:AA8), ", "), 0))))</f>
        <v>-99.955927879231425</v>
      </c>
      <c r="E36" s="28" cm="1">
        <f t="array" aca="1" ref="E36" ca="1">MAX(_xlfn._xlws.FILTER($J$5:$J$30, ISNUMBER(MATCH($B$5:$B$30, _xlfn.TEXTSPLIT(_xlfn.TEXTJOIN(", ", TRUE, AA6:AA8), ", "), 0))))</f>
        <v>-6.3339540566600281</v>
      </c>
      <c r="F36" s="71"/>
      <c r="G36" s="5" t="s">
        <v>176</v>
      </c>
      <c r="H36" s="28" cm="1">
        <f t="array" aca="1" ref="H36" ca="1">AVERAGE(_xlfn._xlws.FILTER($U$5:$U$30, ISNUMBER(MATCH($M$5:$M$30, _xlfn.TEXTSPLIT(_xlfn.TEXTJOIN(", ", TRUE, AD6:AD8), ", "), 0))))</f>
        <v>-36.481978771519124</v>
      </c>
      <c r="I36" s="28" cm="1">
        <f t="array" aca="1" ref="I36" ca="1">MIN(_xlfn._xlws.FILTER($U$5:$U$30, ISNUMBER(MATCH($M$5:$M$30, _xlfn.TEXTSPLIT(_xlfn.TEXTJOIN(", ", TRUE, AD6:AD8), ", "), 0))))</f>
        <v>-96.329673918942476</v>
      </c>
      <c r="J36" s="28" cm="1">
        <f t="array" aca="1" ref="J36" ca="1">MAX(_xlfn._xlws.FILTER($U$5:$U$30, ISNUMBER(MATCH($M$5:$M$30, _xlfn.TEXTSPLIT(_xlfn.TEXTJOIN(", ", TRUE, AD6:AD8), ", "), 0))))</f>
        <v>-5.8125667257532037</v>
      </c>
      <c r="K36" s="71"/>
      <c r="L36" s="5" t="s">
        <v>176</v>
      </c>
      <c r="M36" s="28">
        <f ca="1">AVERAGE(C36,H36)</f>
        <v>-42.768371253285167</v>
      </c>
      <c r="N36" s="28">
        <f ca="1">MIN(D36,I36)</f>
        <v>-99.955927879231425</v>
      </c>
      <c r="O36" s="28">
        <f ca="1">MAX(E36,J36)</f>
        <v>-5.8125667257532037</v>
      </c>
    </row>
    <row r="37" spans="2:15" x14ac:dyDescent="0.25">
      <c r="B37" s="5" t="s">
        <v>177</v>
      </c>
      <c r="C37" s="28" cm="1">
        <f t="array" aca="1" ref="C37" ca="1">AVERAGE(_xlfn._xlws.FILTER($J$5:$J$30, ISNUMBER(MATCH($B$5:$B$30, _xlfn.TEXTSPLIT(_xlfn.TEXTJOIN(", ", TRUE, AA9), ", "), 0))))</f>
        <v>-0.10739232379104934</v>
      </c>
      <c r="D37" s="28" cm="1">
        <f t="array" aca="1" ref="D37" ca="1">MIN(_xlfn._xlws.FILTER($J$5:$J$30, ISNUMBER(MATCH($B$5:$B$30, _xlfn.TEXTSPLIT(_xlfn.TEXTJOIN(", ", TRUE, AA9), ", "), 0))))</f>
        <v>-2.3607428272206743</v>
      </c>
      <c r="E37" s="28" cm="1">
        <f t="array" aca="1" ref="E37" ca="1">MAX(_xlfn._xlws.FILTER($J$5:$J$30, ISNUMBER(MATCH($B$5:$B$30, _xlfn.TEXTSPLIT(_xlfn.TEXTJOIN(", ", TRUE, AA9), ", "), 0))))</f>
        <v>2.4292662360151112</v>
      </c>
      <c r="F37" s="71"/>
      <c r="G37" s="5" t="s">
        <v>177</v>
      </c>
      <c r="H37" s="28" cm="1">
        <f t="array" aca="1" ref="H37" ca="1">AVERAGE(_xlfn._xlws.FILTER($U$5:$U$30, ISNUMBER(MATCH($M$5:$M$30, _xlfn.TEXTSPLIT(_xlfn.TEXTJOIN(", ", TRUE, AD9), ", "), 0))))</f>
        <v>-1.5639435209000152</v>
      </c>
      <c r="I37" s="28" cm="1">
        <f t="array" aca="1" ref="I37" ca="1">MIN(_xlfn._xlws.FILTER($U$5:$U$30, ISNUMBER(MATCH($M$5:$M$30, _xlfn.TEXTSPLIT(_xlfn.TEXTJOIN(", ", TRUE, AD9), ", "), 0))))</f>
        <v>-2.9288824540189271</v>
      </c>
      <c r="J37" s="28" cm="1">
        <f t="array" aca="1" ref="J37" ca="1">MAX(_xlfn._xlws.FILTER($U$5:$U$30, ISNUMBER(MATCH($M$5:$M$30, _xlfn.TEXTSPLIT(_xlfn.TEXTJOIN(", ", TRUE, AD9), ", "), 0))))</f>
        <v>1.2641368621257787</v>
      </c>
      <c r="K37" s="71"/>
      <c r="L37" s="5" t="s">
        <v>177</v>
      </c>
      <c r="M37" s="28">
        <f ca="1">AVERAGE(C37,H37)</f>
        <v>-0.83566792234553222</v>
      </c>
      <c r="N37" s="28">
        <f ca="1">MIN(D37,I37)</f>
        <v>-2.9288824540189271</v>
      </c>
      <c r="O37" s="28">
        <f ca="1">MAX(E37,J37)</f>
        <v>2.4292662360151112</v>
      </c>
    </row>
    <row r="38" spans="2:15" x14ac:dyDescent="0.25">
      <c r="B38" s="5" t="s">
        <v>178</v>
      </c>
      <c r="C38" s="28" cm="1">
        <f t="array" aca="1" ref="C38" ca="1">AVERAGE(_xlfn._xlws.FILTER($J$5:$J$30, ISNUMBER(MATCH($B$5:$B$30, _xlfn.TEXTSPLIT(_xlfn.TEXTJOIN(", ", TRUE, AA10:AA12), ", "), 0))))</f>
        <v>61.092684721427055</v>
      </c>
      <c r="D38" s="28" cm="1">
        <f t="array" aca="1" ref="D38" ca="1">MIN(_xlfn._xlws.FILTER($J$5:$J$30, ISNUMBER(MATCH($B$5:$B$30, _xlfn.TEXTSPLIT(_xlfn.TEXTJOIN(", ", TRUE, AA10:AA12), ", "), 0))))</f>
        <v>4.1647277803629761</v>
      </c>
      <c r="E38" s="28" cm="1">
        <f t="array" aca="1" ref="E38" ca="1">MAX(_xlfn._xlws.FILTER($J$5:$J$30, ISNUMBER(MATCH($B$5:$B$30, _xlfn.TEXTSPLIT(_xlfn.TEXTJOIN(", ", TRUE, AA10:AA12), ", "), 0))))</f>
        <v>145.91636375736206</v>
      </c>
      <c r="F38" s="71"/>
      <c r="G38" s="5" t="s">
        <v>178</v>
      </c>
      <c r="H38" s="28" cm="1">
        <f t="array" aca="1" ref="H38" ca="1">AVERAGE(_xlfn._xlws.FILTER($U$5:$U$30, ISNUMBER(MATCH($M$5:$M$30, _xlfn.TEXTSPLIT(_xlfn.TEXTJOIN(", ", TRUE, AD10:AD12), ", "), 0))))</f>
        <v>25.029925672086428</v>
      </c>
      <c r="I38" s="28" cm="1">
        <f t="array" aca="1" ref="I38" ca="1">MIN(_xlfn._xlws.FILTER($U$5:$U$30, ISNUMBER(MATCH($M$5:$M$30, _xlfn.TEXTSPLIT(_xlfn.TEXTJOIN(", ", TRUE, AD10:AD12), ", "), 0))))</f>
        <v>4.9966955866964273</v>
      </c>
      <c r="J38" s="28" cm="1">
        <f t="array" aca="1" ref="J38" ca="1">MAX(_xlfn._xlws.FILTER($U$5:$U$30, ISNUMBER(MATCH($M$5:$M$30, _xlfn.TEXTSPLIT(_xlfn.TEXTJOIN(", ", TRUE, AD10:AD12), ", "), 0))))</f>
        <v>60.32365217072384</v>
      </c>
      <c r="K38" s="71"/>
      <c r="L38" s="5" t="s">
        <v>178</v>
      </c>
      <c r="M38" s="28">
        <f ca="1">AVERAGE(C38,H38)</f>
        <v>43.061305196756742</v>
      </c>
      <c r="N38" s="28">
        <f ca="1">MIN(D38,I38)</f>
        <v>4.1647277803629761</v>
      </c>
      <c r="O38" s="28">
        <f ca="1">MAX(E38,J38)</f>
        <v>145.91636375736206</v>
      </c>
    </row>
    <row r="39" spans="2:15" x14ac:dyDescent="0.25">
      <c r="B39" s="5" t="s">
        <v>121</v>
      </c>
      <c r="C39" s="28" cm="1">
        <f t="array" aca="1" ref="C39" ca="1">AVERAGE(_xlfn._xlws.FILTER($J$5:$J$30, ISNUMBER(MATCH($B$5:$B$30, _xlfn.TEXTSPLIT(_xlfn.TEXTJOIN(", ", TRUE, AA6:AA12), ", "), 0))))</f>
        <v>-3.3988764031753078</v>
      </c>
      <c r="D39" s="28" cm="1">
        <f t="array" aca="1" ref="D39" ca="1">MIN(_xlfn._xlws.FILTER($J$5:$J$30, ISNUMBER(MATCH($B$5:$B$30, _xlfn.TEXTSPLIT(_xlfn.TEXTJOIN(", ", TRUE, AA6:AA12), ", "), 0))))</f>
        <v>-99.955927879231425</v>
      </c>
      <c r="E39" s="28" cm="1">
        <f t="array" aca="1" ref="E39" ca="1">MAX(_xlfn._xlws.FILTER($J$5:$J$30, ISNUMBER(MATCH($B$5:$B$30, _xlfn.TEXTSPLIT(_xlfn.TEXTJOIN(", ", TRUE, AA6:AA12), ", "), 0))))</f>
        <v>145.91636375736206</v>
      </c>
      <c r="F39" s="72"/>
      <c r="G39" s="5" t="s">
        <v>121</v>
      </c>
      <c r="H39" s="28" cm="1">
        <f t="array" aca="1" ref="H39" ca="1">AVERAGE(_xlfn._xlws.FILTER($U$5:$U$30, ISNUMBER(MATCH($M$5:$M$30, _xlfn.TEXTSPLIT(_xlfn.TEXTJOIN(", ", TRUE, AD6:AD12), ", "), 0))))</f>
        <v>-20.303602078153059</v>
      </c>
      <c r="I39" s="28" cm="1">
        <f t="array" aca="1" ref="I39" ca="1">MIN(_xlfn._xlws.FILTER($U$5:$U$30, ISNUMBER(MATCH($M$5:$M$30, _xlfn.TEXTSPLIT(_xlfn.TEXTJOIN(", ", TRUE, AD6:AD12), ", "), 0))))</f>
        <v>-96.329673918942476</v>
      </c>
      <c r="J39" s="28" cm="1">
        <f t="array" aca="1" ref="J39" ca="1">MAX(_xlfn._xlws.FILTER($U$5:$U$30, ISNUMBER(MATCH($M$5:$M$30, _xlfn.TEXTSPLIT(_xlfn.TEXTJOIN(", ", TRUE, AD6:AD12), ", "), 0))))</f>
        <v>60.32365217072384</v>
      </c>
      <c r="K39" s="72"/>
      <c r="L39" s="5" t="s">
        <v>121</v>
      </c>
      <c r="M39" s="28">
        <f ca="1">AVERAGE(C39,H39)</f>
        <v>-11.851239240664183</v>
      </c>
      <c r="N39" s="28">
        <f ca="1">MIN(D39,I39)</f>
        <v>-99.955927879231425</v>
      </c>
      <c r="O39" s="28">
        <f ca="1">MAX(E39,J39)</f>
        <v>145.91636375736206</v>
      </c>
    </row>
    <row r="41" spans="2:15" ht="21" x14ac:dyDescent="0.35">
      <c r="B41" s="102" t="s">
        <v>148</v>
      </c>
      <c r="C41" s="103"/>
      <c r="D41" s="103"/>
      <c r="E41" s="103"/>
      <c r="F41" s="103"/>
      <c r="G41" s="103"/>
      <c r="H41" s="103"/>
      <c r="I41" s="103"/>
      <c r="J41" s="103"/>
      <c r="K41" s="103"/>
      <c r="L41" s="103"/>
      <c r="M41" s="103"/>
      <c r="N41" s="103"/>
      <c r="O41" s="104"/>
    </row>
    <row r="42" spans="2:15" ht="15.75" x14ac:dyDescent="0.25">
      <c r="B42" s="105" t="s">
        <v>205</v>
      </c>
      <c r="C42" s="106"/>
      <c r="D42" s="106"/>
      <c r="E42" s="107"/>
      <c r="F42" s="70"/>
      <c r="G42" s="105" t="s">
        <v>205</v>
      </c>
      <c r="H42" s="106"/>
      <c r="I42" s="106"/>
      <c r="J42" s="107"/>
      <c r="K42" s="70"/>
      <c r="L42" s="105" t="s">
        <v>205</v>
      </c>
      <c r="M42" s="106"/>
      <c r="N42" s="106"/>
      <c r="O42" s="107"/>
    </row>
    <row r="43" spans="2:15" x14ac:dyDescent="0.25">
      <c r="B43" s="82" t="s">
        <v>206</v>
      </c>
      <c r="C43" s="83"/>
      <c r="D43" s="83"/>
      <c r="E43" s="84"/>
      <c r="F43" s="71"/>
      <c r="G43" s="82" t="s">
        <v>207</v>
      </c>
      <c r="H43" s="83"/>
      <c r="I43" s="83"/>
      <c r="J43" s="84"/>
      <c r="K43" s="71"/>
      <c r="L43" s="82" t="s">
        <v>212</v>
      </c>
      <c r="M43" s="83"/>
      <c r="N43" s="83"/>
      <c r="O43" s="84"/>
    </row>
    <row r="44" spans="2:15" x14ac:dyDescent="0.25">
      <c r="B44" s="39" t="s">
        <v>149</v>
      </c>
      <c r="C44" s="82" t="s">
        <v>214</v>
      </c>
      <c r="D44" s="83"/>
      <c r="E44" s="15" t="s">
        <v>213</v>
      </c>
      <c r="F44" s="73"/>
      <c r="G44" s="39" t="s">
        <v>149</v>
      </c>
      <c r="H44" s="82" t="s">
        <v>214</v>
      </c>
      <c r="I44" s="83"/>
      <c r="J44" s="15" t="s">
        <v>213</v>
      </c>
      <c r="K44" s="71"/>
      <c r="L44" s="39" t="s">
        <v>149</v>
      </c>
      <c r="M44" s="82" t="s">
        <v>214</v>
      </c>
      <c r="N44" s="83"/>
      <c r="O44" s="15" t="s">
        <v>213</v>
      </c>
    </row>
    <row r="45" spans="2:15" x14ac:dyDescent="0.25">
      <c r="B45" s="5" t="s">
        <v>176</v>
      </c>
      <c r="C45" s="100" cm="1">
        <f t="array" aca="1" ref="C45" ca="1">COUNT(_xlfn._xlws.FILTER($J$5:$J$30, ISNUMBER(MATCH($B$5:$B$30, _xlfn.TEXTSPLIT(_xlfn.TEXTJOIN(", ", TRUE, AA6:AA8), ", "), 0))))</f>
        <v>8</v>
      </c>
      <c r="D45" s="101"/>
      <c r="E45" s="56">
        <f ca="1">C45/C$48</f>
        <v>0.30769230769230771</v>
      </c>
      <c r="F45" s="71"/>
      <c r="G45" s="5" t="s">
        <v>176</v>
      </c>
      <c r="H45" s="100" cm="1">
        <f t="array" aca="1" ref="H45" ca="1">COUNT(_xlfn._xlws.FILTER($U$5:$U$30, ISNUMBER(MATCH($M$5:$M$30, _xlfn.TEXTSPLIT(_xlfn.TEXTJOIN(", ", TRUE, AD6:AD8), ", "), 0))))</f>
        <v>17</v>
      </c>
      <c r="I45" s="101"/>
      <c r="J45" s="56">
        <f ca="1">H45/H$48</f>
        <v>0.65384615384615385</v>
      </c>
      <c r="K45" s="71"/>
      <c r="L45" s="5" t="s">
        <v>176</v>
      </c>
      <c r="M45" s="100">
        <f ca="1">SUM(C45,H45)</f>
        <v>25</v>
      </c>
      <c r="N45" s="101"/>
      <c r="O45" s="56">
        <f ca="1">M45/M$48</f>
        <v>0.48076923076923078</v>
      </c>
    </row>
    <row r="46" spans="2:15" x14ac:dyDescent="0.25">
      <c r="B46" s="5" t="s">
        <v>177</v>
      </c>
      <c r="C46" s="100" cm="1">
        <f t="array" aca="1" ref="C46" ca="1">COUNT(_xlfn._xlws.FILTER($J$5:$J$30, ISNUMBER(MATCH($B$5:$B$30, _xlfn.TEXTSPLIT(_xlfn.TEXTJOIN(", ", TRUE, AA9), ", "), 0))))</f>
        <v>13</v>
      </c>
      <c r="D46" s="101"/>
      <c r="E46" s="56">
        <f ca="1">C46/C$48</f>
        <v>0.5</v>
      </c>
      <c r="F46" s="71"/>
      <c r="G46" s="5" t="s">
        <v>177</v>
      </c>
      <c r="H46" s="100" cm="1">
        <f t="array" aca="1" ref="H46" ca="1">COUNT(_xlfn._xlws.FILTER($U$5:$U$30, ISNUMBER(MATCH($M$5:$M$30, _xlfn.TEXTSPLIT(_xlfn.TEXTJOIN(", ", TRUE, AD9), ", "), 0))))</f>
        <v>5</v>
      </c>
      <c r="I46" s="101"/>
      <c r="J46" s="56">
        <f ca="1">H46/H$48</f>
        <v>0.19230769230769232</v>
      </c>
      <c r="K46" s="71"/>
      <c r="L46" s="5" t="s">
        <v>177</v>
      </c>
      <c r="M46" s="100">
        <f ca="1">SUM(C46,H46)</f>
        <v>18</v>
      </c>
      <c r="N46" s="101"/>
      <c r="O46" s="56">
        <f ca="1">M46/M$48</f>
        <v>0.34615384615384615</v>
      </c>
    </row>
    <row r="47" spans="2:15" x14ac:dyDescent="0.25">
      <c r="B47" s="5" t="s">
        <v>178</v>
      </c>
      <c r="C47" s="100" cm="1">
        <f t="array" aca="1" ref="C47" ca="1">COUNT(_xlfn._xlws.FILTER($J$5:$J$30, ISNUMBER(MATCH($B$5:$B$30, _xlfn.TEXTSPLIT(_xlfn.TEXTJOIN(", ", TRUE, AA10:AA12), ", "), 0))))</f>
        <v>5</v>
      </c>
      <c r="D47" s="101"/>
      <c r="E47" s="56">
        <f ca="1">C47/C$48</f>
        <v>0.19230769230769232</v>
      </c>
      <c r="F47" s="71"/>
      <c r="G47" s="5" t="s">
        <v>178</v>
      </c>
      <c r="H47" s="100" cm="1">
        <f t="array" aca="1" ref="H47" ca="1">COUNT(_xlfn._xlws.FILTER($U$5:$U$30, ISNUMBER(MATCH($M$5:$M$30, _xlfn.TEXTSPLIT(_xlfn.TEXTJOIN(", ", TRUE, AD10:AD12), ", "), 0))))</f>
        <v>4</v>
      </c>
      <c r="I47" s="101"/>
      <c r="J47" s="56">
        <f ca="1">H47/H$48</f>
        <v>0.15384615384615385</v>
      </c>
      <c r="K47" s="71"/>
      <c r="L47" s="5" t="s">
        <v>178</v>
      </c>
      <c r="M47" s="100">
        <f ca="1">SUM(C47,H47)</f>
        <v>9</v>
      </c>
      <c r="N47" s="101"/>
      <c r="O47" s="56">
        <f ca="1">M47/M$48</f>
        <v>0.17307692307692307</v>
      </c>
    </row>
    <row r="48" spans="2:15" x14ac:dyDescent="0.25">
      <c r="B48" s="5" t="s">
        <v>121</v>
      </c>
      <c r="C48" s="100">
        <f ca="1">SUM(C45:D47)</f>
        <v>26</v>
      </c>
      <c r="D48" s="101"/>
      <c r="E48" s="56">
        <f ca="1">C48/C$48</f>
        <v>1</v>
      </c>
      <c r="F48" s="72"/>
      <c r="G48" s="5" t="s">
        <v>121</v>
      </c>
      <c r="H48" s="100">
        <f ca="1">SUM(H45:I47)</f>
        <v>26</v>
      </c>
      <c r="I48" s="101"/>
      <c r="J48" s="56">
        <f ca="1">H48/H$48</f>
        <v>1</v>
      </c>
      <c r="K48" s="72"/>
      <c r="L48" s="5" t="s">
        <v>121</v>
      </c>
      <c r="M48" s="100">
        <f ca="1">SUM(M45:N47)</f>
        <v>52</v>
      </c>
      <c r="N48" s="101"/>
      <c r="O48" s="56">
        <f ca="1">M48/M$48</f>
        <v>1</v>
      </c>
    </row>
    <row r="53" spans="9:9" x14ac:dyDescent="0.25">
      <c r="I53" s="80"/>
    </row>
  </sheetData>
  <mergeCells count="39">
    <mergeCell ref="C2:L2"/>
    <mergeCell ref="H3:L3"/>
    <mergeCell ref="N2:W2"/>
    <mergeCell ref="C3:G3"/>
    <mergeCell ref="N3:R3"/>
    <mergeCell ref="Z3:AA3"/>
    <mergeCell ref="AC3:AD3"/>
    <mergeCell ref="Z4:AA4"/>
    <mergeCell ref="AC4:AD4"/>
    <mergeCell ref="B33:E33"/>
    <mergeCell ref="G33:J33"/>
    <mergeCell ref="L33:O33"/>
    <mergeCell ref="B32:O32"/>
    <mergeCell ref="S3:U3"/>
    <mergeCell ref="B34:E34"/>
    <mergeCell ref="G34:J34"/>
    <mergeCell ref="L34:O34"/>
    <mergeCell ref="B43:E43"/>
    <mergeCell ref="G43:J43"/>
    <mergeCell ref="L43:O43"/>
    <mergeCell ref="B41:O41"/>
    <mergeCell ref="C44:D44"/>
    <mergeCell ref="C45:D45"/>
    <mergeCell ref="B42:E42"/>
    <mergeCell ref="G42:J42"/>
    <mergeCell ref="L42:O42"/>
    <mergeCell ref="M45:N45"/>
    <mergeCell ref="C46:D46"/>
    <mergeCell ref="C47:D47"/>
    <mergeCell ref="C48:D48"/>
    <mergeCell ref="H45:I45"/>
    <mergeCell ref="H46:I46"/>
    <mergeCell ref="H47:I47"/>
    <mergeCell ref="H48:I48"/>
    <mergeCell ref="M46:N46"/>
    <mergeCell ref="M47:N47"/>
    <mergeCell ref="M48:N48"/>
    <mergeCell ref="H44:I44"/>
    <mergeCell ref="M44:N44"/>
  </mergeCells>
  <conditionalFormatting sqref="E5:E30">
    <cfRule type="expression" dxfId="90" priority="15">
      <formula>AND(E5 &gt; -3, E5 &lt; 3)</formula>
    </cfRule>
    <cfRule type="expression" dxfId="89" priority="16">
      <formula>AND(E5 &gt; -25, E5 &lt;= -3)</formula>
    </cfRule>
    <cfRule type="expression" dxfId="88" priority="17">
      <formula>AND(E5 &gt; -75, E5 &lt;= -25)</formula>
    </cfRule>
    <cfRule type="expression" dxfId="87" priority="18">
      <formula>E5 &lt;= -75</formula>
    </cfRule>
    <cfRule type="expression" dxfId="86" priority="19">
      <formula>AND(E5 &lt; 25, E5 &gt;= 3)</formula>
    </cfRule>
    <cfRule type="expression" dxfId="85" priority="20">
      <formula>AND(E5 &lt; 75, E5 &gt;= 25)</formula>
    </cfRule>
    <cfRule type="expression" dxfId="84" priority="21">
      <formula>E5 &gt;= 75</formula>
    </cfRule>
  </conditionalFormatting>
  <conditionalFormatting sqref="J5:J30">
    <cfRule type="expression" dxfId="83" priority="45">
      <formula>AND(J5 &gt; -3, J5 &lt; 3)</formula>
    </cfRule>
    <cfRule type="expression" dxfId="82" priority="46">
      <formula>AND(J5 &gt; -25, J5 &lt;= -3)</formula>
    </cfRule>
    <cfRule type="expression" dxfId="81" priority="47">
      <formula>AND(J5 &gt; -75, J5 &lt;= -25)</formula>
    </cfRule>
    <cfRule type="expression" dxfId="80" priority="48">
      <formula>J5 &lt;= -75</formula>
    </cfRule>
    <cfRule type="expression" dxfId="79" priority="49">
      <formula>AND(J5 &lt; 25, J5 &gt;= 3)</formula>
    </cfRule>
    <cfRule type="expression" dxfId="78" priority="50">
      <formula>AND(J5 &lt; 75, J5 &gt;= 25)</formula>
    </cfRule>
    <cfRule type="expression" dxfId="77" priority="51">
      <formula>J5 &gt;= 75</formula>
    </cfRule>
  </conditionalFormatting>
  <conditionalFormatting sqref="P5:P30">
    <cfRule type="expression" dxfId="76" priority="8">
      <formula>AND(P5 &gt; -3, P5 &lt; 3)</formula>
    </cfRule>
    <cfRule type="expression" dxfId="75" priority="9">
      <formula>AND(P5 &gt; -25, P5 &lt;= -3)</formula>
    </cfRule>
    <cfRule type="expression" dxfId="74" priority="10">
      <formula>AND(P5 &gt; -75, P5 &lt;= -25)</formula>
    </cfRule>
    <cfRule type="expression" dxfId="73" priority="11">
      <formula>P5 &lt;= -75</formula>
    </cfRule>
    <cfRule type="expression" dxfId="72" priority="12">
      <formula>AND(P5 &lt; 25, P5 &gt;= 3)</formula>
    </cfRule>
    <cfRule type="expression" dxfId="71" priority="13">
      <formula>AND(P5 &lt; 75, P5 &gt;= 25)</formula>
    </cfRule>
    <cfRule type="expression" dxfId="70" priority="14">
      <formula>P5 &gt;= 75</formula>
    </cfRule>
  </conditionalFormatting>
  <conditionalFormatting sqref="U5:U30">
    <cfRule type="expression" dxfId="69" priority="38">
      <formula>AND(U5 &gt; -3, U5 &lt; 3)</formula>
    </cfRule>
    <cfRule type="expression" dxfId="68" priority="39">
      <formula>AND(U5 &gt; -25, U5 &lt;= -3)</formula>
    </cfRule>
    <cfRule type="expression" dxfId="67" priority="40">
      <formula>AND(U5 &gt; -75, U5 &lt;= -25)</formula>
    </cfRule>
    <cfRule type="expression" dxfId="66" priority="41">
      <formula>U5 &lt;= -75</formula>
    </cfRule>
    <cfRule type="expression" dxfId="65" priority="42">
      <formula>AND(U5 &lt; 25, U5 &gt;= 3)</formula>
    </cfRule>
    <cfRule type="expression" dxfId="64" priority="43">
      <formula>AND(U5 &lt; 75, U5 &gt;= 25)</formula>
    </cfRule>
    <cfRule type="expression" dxfId="63" priority="44">
      <formula>U5 &gt;= 75</formula>
    </cfRule>
  </conditionalFormatting>
  <conditionalFormatting sqref="X5:X30">
    <cfRule type="expression" dxfId="62" priority="1">
      <formula>AND(X5 &gt; -3, X5 &lt; 3)</formula>
    </cfRule>
    <cfRule type="expression" dxfId="61" priority="2">
      <formula>AND(X5 &gt; -25, X5 &lt;= -3)</formula>
    </cfRule>
    <cfRule type="expression" dxfId="60" priority="3">
      <formula>AND(X5 &gt; -75, X5 &lt;= -25)</formula>
    </cfRule>
    <cfRule type="expression" dxfId="59" priority="4">
      <formula>X5 &lt;= -75</formula>
    </cfRule>
    <cfRule type="expression" dxfId="58" priority="5">
      <formula>AND(X5 &lt; 25, X5 &gt;= 3)</formula>
    </cfRule>
    <cfRule type="expression" dxfId="57" priority="6">
      <formula>AND(X5 &lt; 75, X5 &gt;= 25)</formula>
    </cfRule>
    <cfRule type="expression" dxfId="56" priority="7">
      <formula>X5 &gt;= 75</formula>
    </cfRule>
  </conditionalFormatting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7F110-078A-4CA5-A803-CBA47FAB5D53}">
  <dimension ref="B2:V44"/>
  <sheetViews>
    <sheetView zoomScale="85" zoomScaleNormal="85" workbookViewId="0">
      <selection activeCell="K33" sqref="K33"/>
    </sheetView>
  </sheetViews>
  <sheetFormatPr baseColWidth="10" defaultRowHeight="15" x14ac:dyDescent="0.25"/>
  <cols>
    <col min="3" max="3" width="14.85546875" bestFit="1" customWidth="1"/>
    <col min="4" max="4" width="15.28515625" bestFit="1" customWidth="1"/>
    <col min="5" max="5" width="13.5703125" bestFit="1" customWidth="1"/>
    <col min="6" max="6" width="14.85546875" bestFit="1" customWidth="1"/>
    <col min="7" max="7" width="15.28515625" bestFit="1" customWidth="1"/>
    <col min="10" max="10" width="11.28515625" bestFit="1" customWidth="1"/>
    <col min="11" max="11" width="12.85546875" bestFit="1" customWidth="1"/>
    <col min="12" max="12" width="10.42578125" bestFit="1" customWidth="1"/>
    <col min="13" max="13" width="12.85546875" bestFit="1" customWidth="1"/>
    <col min="14" max="14" width="11.28515625" bestFit="1" customWidth="1"/>
    <col min="16" max="16" width="18.7109375" bestFit="1" customWidth="1"/>
    <col min="18" max="18" width="12.85546875" bestFit="1" customWidth="1"/>
    <col min="19" max="19" width="98.5703125" bestFit="1" customWidth="1"/>
    <col min="21" max="21" width="12.85546875" bestFit="1" customWidth="1"/>
    <col min="22" max="22" width="102.85546875" bestFit="1" customWidth="1"/>
  </cols>
  <sheetData>
    <row r="2" spans="2:22" x14ac:dyDescent="0.25">
      <c r="B2" s="38"/>
      <c r="C2" s="88" t="s">
        <v>111</v>
      </c>
      <c r="D2" s="88"/>
      <c r="E2" s="88"/>
      <c r="F2" s="88"/>
      <c r="G2" s="88"/>
      <c r="H2" s="88"/>
      <c r="J2" s="82" t="s">
        <v>114</v>
      </c>
      <c r="K2" s="83"/>
      <c r="L2" s="83"/>
      <c r="M2" s="83"/>
      <c r="N2" s="83"/>
      <c r="O2" s="84"/>
    </row>
    <row r="3" spans="2:22" ht="15.75" x14ac:dyDescent="0.25">
      <c r="B3" s="38"/>
      <c r="C3" s="82" t="s">
        <v>100</v>
      </c>
      <c r="D3" s="83"/>
      <c r="E3" s="83"/>
      <c r="F3" s="88" t="s">
        <v>205</v>
      </c>
      <c r="G3" s="88"/>
      <c r="H3" s="88"/>
      <c r="J3" s="82" t="s">
        <v>100</v>
      </c>
      <c r="K3" s="83"/>
      <c r="L3" s="83"/>
      <c r="M3" s="83" t="s">
        <v>205</v>
      </c>
      <c r="N3" s="83"/>
      <c r="O3" s="84"/>
      <c r="R3" s="85" t="s">
        <v>205</v>
      </c>
      <c r="S3" s="86"/>
      <c r="U3" s="85" t="s">
        <v>205</v>
      </c>
      <c r="V3" s="86"/>
    </row>
    <row r="4" spans="2:22" x14ac:dyDescent="0.25">
      <c r="B4" s="39" t="s">
        <v>97</v>
      </c>
      <c r="C4" s="29" t="s">
        <v>206</v>
      </c>
      <c r="D4" s="29" t="s">
        <v>207</v>
      </c>
      <c r="E4" s="29" t="s">
        <v>147</v>
      </c>
      <c r="F4" s="29" t="s">
        <v>206</v>
      </c>
      <c r="G4" s="29" t="s">
        <v>207</v>
      </c>
      <c r="H4" s="29" t="s">
        <v>147</v>
      </c>
      <c r="I4" s="39" t="s">
        <v>97</v>
      </c>
      <c r="J4" s="29" t="s">
        <v>207</v>
      </c>
      <c r="K4" s="29" t="s">
        <v>207</v>
      </c>
      <c r="L4" s="29" t="s">
        <v>147</v>
      </c>
      <c r="M4" s="29" t="s">
        <v>206</v>
      </c>
      <c r="N4" s="29" t="s">
        <v>207</v>
      </c>
      <c r="O4" s="29" t="s">
        <v>147</v>
      </c>
      <c r="P4" s="63" t="s">
        <v>172</v>
      </c>
      <c r="R4" s="82" t="s">
        <v>111</v>
      </c>
      <c r="S4" s="84"/>
      <c r="T4" s="42"/>
      <c r="U4" s="82" t="s">
        <v>114</v>
      </c>
      <c r="V4" s="84"/>
    </row>
    <row r="5" spans="2:22" x14ac:dyDescent="0.25">
      <c r="B5" s="66" t="s">
        <v>150</v>
      </c>
      <c r="C5" s="65" cm="1">
        <f t="array" aca="1" ref="C5" ca="1">INDIRECT("'Java Impact of Optimization'!G" &amp; 3 + (ROW(A1)-1)*4)</f>
        <v>0.41822999999999999</v>
      </c>
      <c r="D5" s="65" cm="1">
        <f t="array" aca="1" ref="D5" ca="1">INDIRECT("'Java Impact of Optimization'!G" &amp; 4 + (ROW(A1)-1)*4)</f>
        <v>94.863</v>
      </c>
      <c r="E5" s="64" cm="1">
        <f t="array" aca="1" ref="E5" ca="1">INDIRECT("'Java Impact of Optimization'!T" &amp; 3 + (ROW(A1)-1)*4)*100</f>
        <v>-99.559122102400309</v>
      </c>
      <c r="F5" s="65" cm="1">
        <f t="array" aca="1" ref="F5" ca="1">INDIRECT("'Java Impact of Optimization'!R" &amp; 3 + (ROW(A1)-1)*4)</f>
        <v>8.7619185000000002</v>
      </c>
      <c r="G5" s="65" cm="1">
        <f t="array" aca="1" ref="G5" ca="1">INDIRECT("'Java Impact of Optimization'!R" &amp; 4 + (ROW(A1)-1)*4)</f>
        <v>2116.3935299999998</v>
      </c>
      <c r="H5" s="64" cm="1">
        <f t="array" aca="1" ref="H5" ca="1">INDIRECT("'Java Impact of Optimization'!W" &amp; 3 + (ROW(A1)-1)*4)*100</f>
        <v>-99.61726072593649</v>
      </c>
      <c r="I5" s="66" t="s">
        <v>150</v>
      </c>
      <c r="J5" s="65" cm="1">
        <f t="array" aca="1" ref="J5" ca="1">INDIRECT("'Java Impact of Optimization'!G" &amp; 5 + (ROW(A1)-1)*4)</f>
        <v>0.42030000000000001</v>
      </c>
      <c r="K5" s="65" cm="1">
        <f t="array" aca="1" ref="K5" ca="1">INDIRECT("'Java Impact of Optimization'!G" &amp; 6 + (ROW(A1)-1)*4)</f>
        <v>19.542999999999999</v>
      </c>
      <c r="L5" s="64" cm="1">
        <f t="array" aca="1" ref="L5" ca="1">INDIRECT("'Java Impact of Optimization'!T" &amp; 5 + (ROW(A1)-1)*4)*100</f>
        <v>-97.849357826331669</v>
      </c>
      <c r="M5" s="65" cm="1">
        <f t="array" aca="1" ref="M5" ca="1">INDIRECT("'Java Impact of Optimization'!R" &amp; 5 + (ROW(A1)-1)*4)</f>
        <v>8.7254280000000008</v>
      </c>
      <c r="N5" s="65" cm="1">
        <f t="array" aca="1" ref="N5" ca="1">INDIRECT("'Java Impact of Optimization'!R" &amp; 6 + (ROW(A1)-1)*4)</f>
        <v>489.35671999999988</v>
      </c>
      <c r="O5" s="64" cm="1">
        <f t="array" aca="1" ref="O5" ca="1">INDIRECT("'Java Impact of Optimization'!W" &amp; 5 + (ROW(A1)-1)*4)*100</f>
        <v>-98.347846339408946</v>
      </c>
      <c r="P5" s="64">
        <f ca="1">AVERAGE(H5,O5)</f>
        <v>-98.982553532672711</v>
      </c>
      <c r="R5" s="15" t="s">
        <v>149</v>
      </c>
      <c r="S5" s="15" t="s">
        <v>148</v>
      </c>
      <c r="T5" s="42"/>
      <c r="U5" s="15" t="s">
        <v>149</v>
      </c>
      <c r="V5" s="15" t="s">
        <v>148</v>
      </c>
    </row>
    <row r="6" spans="2:22" x14ac:dyDescent="0.25">
      <c r="B6" s="66" t="s">
        <v>151</v>
      </c>
      <c r="C6" s="65" cm="1">
        <f t="array" aca="1" ref="C6" ca="1">INDIRECT("'Java Impact of Optimization'!G" &amp; 3 + (ROW(A2)-1)*4)</f>
        <v>133.154</v>
      </c>
      <c r="D6" s="65" cm="1">
        <f t="array" aca="1" ref="D6" ca="1">INDIRECT("'Java Impact of Optimization'!G" &amp; 4 + (ROW(A2)-1)*4)</f>
        <v>2668.4500000000003</v>
      </c>
      <c r="E6" s="64" cm="1">
        <f t="array" aca="1" ref="E6" ca="1">INDIRECT("'Java Impact of Optimization'!T" &amp; 3 + (ROW(A2)-1)*4)*100</f>
        <v>-95.010062021023444</v>
      </c>
      <c r="F6" s="65" cm="1">
        <f t="array" aca="1" ref="F6" ca="1">INDIRECT("'Java Impact of Optimization'!R" &amp; 3 + (ROW(A2)-1)*4)</f>
        <v>3391.4323800000002</v>
      </c>
      <c r="G6" s="65" cm="1">
        <f t="array" aca="1" ref="G6" ca="1">INDIRECT("'Java Impact of Optimization'!R" &amp; 4 + (ROW(A2)-1)*4)</f>
        <v>71941.412000000011</v>
      </c>
      <c r="H6" s="64" cm="1">
        <f t="array" aca="1" ref="H6" ca="1">INDIRECT("'Java Impact of Optimization'!W" &amp; 3 + (ROW(A2)-1)*4)*100</f>
        <v>-95.222983247215424</v>
      </c>
      <c r="I6" s="66" t="s">
        <v>151</v>
      </c>
      <c r="J6" s="65" cm="1">
        <f t="array" aca="1" ref="J6" ca="1">INDIRECT("'Java Impact of Optimization'!G" &amp; 5 + (ROW(A2)-1)*4)</f>
        <v>41.545999999999999</v>
      </c>
      <c r="K6" s="65" cm="1">
        <f t="array" aca="1" ref="K6" ca="1">INDIRECT("'Java Impact of Optimization'!G" &amp; 6 + (ROW(A2)-1)*4)</f>
        <v>2484.9899999999998</v>
      </c>
      <c r="L6" s="64" cm="1">
        <f t="array" aca="1" ref="L6" ca="1">INDIRECT("'Java Impact of Optimization'!T" &amp; 5 + (ROW(A2)-1)*4)*100</f>
        <v>-98.328122044756725</v>
      </c>
      <c r="M6" s="65" cm="1">
        <f t="array" aca="1" ref="M6" ca="1">INDIRECT("'Java Impact of Optimization'!R" &amp; 5 + (ROW(A2)-1)*4)</f>
        <v>1021.61614</v>
      </c>
      <c r="N6" s="65" cm="1">
        <f t="array" aca="1" ref="N6" ca="1">INDIRECT("'Java Impact of Optimization'!R" &amp; 6 + (ROW(A2)-1)*4)</f>
        <v>67591.727999999988</v>
      </c>
      <c r="O6" s="64" cm="1">
        <f t="array" aca="1" ref="O6" ca="1">INDIRECT("'Java Impact of Optimization'!W" &amp; 5 + (ROW(A2)-1)*4)*100</f>
        <v>-98.421864592222818</v>
      </c>
      <c r="P6" s="64">
        <f t="shared" ref="P6:P30" ca="1" si="0">AVERAGE(H6,O6)</f>
        <v>-96.822423919719114</v>
      </c>
      <c r="R6" s="43" t="s">
        <v>155</v>
      </c>
      <c r="S6" s="24" t="str" cm="1">
        <f t="array" aca="1" ref="S6" ca="1">_xlfn.TEXTJOIN(", ", TRUE, IF(H5:H30 &lt;= -75, B5:B30, ""))</f>
        <v>T4, T5, T7, T8, T9, T11, T12, T13, T16, T17, T19, T20, T25, T26, T28, T29, T31, T32, T33, T36, T40, T44, T49, T50, T51</v>
      </c>
      <c r="U6" s="43" t="s">
        <v>155</v>
      </c>
      <c r="V6" s="24" t="str" cm="1">
        <f t="array" aca="1" ref="V6" ca="1">_xlfn.TEXTJOIN(", ", TRUE, IF(O5:O30 &lt;= -75, I5:I30, ""))</f>
        <v>T4, T5, T7, T8, T9, T10, T11, T12, T13, T16, T17, T19, T20, T25, T26, T28, T29, T31, T32, T33, T36, T40, T44, T49, T50, T51</v>
      </c>
    </row>
    <row r="7" spans="2:22" x14ac:dyDescent="0.25">
      <c r="B7" s="66" t="s">
        <v>152</v>
      </c>
      <c r="C7" s="65" cm="1">
        <f t="array" aca="1" ref="C7" ca="1">INDIRECT("'Java Impact of Optimization'!G" &amp; 3 + (ROW(A3)-1)*4)</f>
        <v>2.094E-2</v>
      </c>
      <c r="D7" s="65" cm="1">
        <f t="array" aca="1" ref="D7" ca="1">INDIRECT("'Java Impact of Optimization'!G" &amp; 4 + (ROW(A3)-1)*4)</f>
        <v>4.7649999999999997</v>
      </c>
      <c r="E7" s="64" cm="1">
        <f t="array" aca="1" ref="E7" ca="1">INDIRECT("'Java Impact of Optimization'!T" &amp; 3 + (ROW(A3)-1)*4)*100</f>
        <v>-99.560545645330521</v>
      </c>
      <c r="F7" s="65" cm="1">
        <f t="array" aca="1" ref="F7" ca="1">INDIRECT("'Java Impact of Optimization'!R" &amp; 3 + (ROW(A3)-1)*4)</f>
        <v>0.44141519999999995</v>
      </c>
      <c r="G7" s="65" cm="1">
        <f t="array" aca="1" ref="G7" ca="1">INDIRECT("'Java Impact of Optimization'!R" &amp; 4 + (ROW(A3)-1)*4)</f>
        <v>101.16095</v>
      </c>
      <c r="H7" s="64" cm="1">
        <f t="array" aca="1" ref="H7" ca="1">INDIRECT("'Java Impact of Optimization'!W" &amp; 3 + (ROW(A3)-1)*4)*100</f>
        <v>-99.587606032312351</v>
      </c>
      <c r="I7" s="66" t="s">
        <v>152</v>
      </c>
      <c r="J7" s="65" cm="1">
        <f t="array" aca="1" ref="J7" ca="1">INDIRECT("'Java Impact of Optimization'!G" &amp; 5 + (ROW(A3)-1)*4)</f>
        <v>2.094E-2</v>
      </c>
      <c r="K7" s="65" cm="1">
        <f t="array" aca="1" ref="K7" ca="1">INDIRECT("'Java Impact of Optimization'!G" &amp; 6 + (ROW(A3)-1)*4)</f>
        <v>4.7649999999999997</v>
      </c>
      <c r="L7" s="64" cm="1">
        <f t="array" aca="1" ref="L7" ca="1">INDIRECT("'Java Impact of Optimization'!T" &amp; 5 + (ROW(A3)-1)*4)*100</f>
        <v>-99.560545645330521</v>
      </c>
      <c r="M7" s="65" cm="1">
        <f t="array" aca="1" ref="M7" ca="1">INDIRECT("'Java Impact of Optimization'!R" &amp; 5 + (ROW(A3)-1)*4)</f>
        <v>0.44309040000000005</v>
      </c>
      <c r="N7" s="65" cm="1">
        <f t="array" aca="1" ref="N7" ca="1">INDIRECT("'Java Impact of Optimization'!R" &amp; 6 + (ROW(A3)-1)*4)</f>
        <v>97.396600000000007</v>
      </c>
      <c r="O7" s="64" cm="1">
        <f t="array" aca="1" ref="O7" ca="1">INDIRECT("'Java Impact of Optimization'!W" &amp; 5 + (ROW(A3)-1)*4)*100</f>
        <v>-99.578391093814233</v>
      </c>
      <c r="P7" s="64">
        <f t="shared" ca="1" si="0"/>
        <v>-99.582998563063285</v>
      </c>
      <c r="R7" s="44" t="s">
        <v>156</v>
      </c>
      <c r="S7" s="24" t="str" cm="1">
        <f t="array" aca="1" ref="S7" ca="1">_xlfn.TEXTJOIN(", ", TRUE, IF((H5:H30 &gt; -75) * (H5:H30 &lt;= -25), B5:B30, ""))</f>
        <v>T10</v>
      </c>
      <c r="U7" s="44" t="s">
        <v>156</v>
      </c>
      <c r="V7" s="24" t="str" cm="1">
        <f t="array" aca="1" ref="V7" ca="1">_xlfn.TEXTJOIN(", ", TRUE, IF((O5:O30 &gt; -75) * (O5:O30 &lt;= -25), I5:I30, ""))</f>
        <v/>
      </c>
    </row>
    <row r="8" spans="2:22" x14ac:dyDescent="0.25">
      <c r="B8" s="66" t="s">
        <v>154</v>
      </c>
      <c r="C8" s="65" cm="1">
        <f t="array" aca="1" ref="C8" ca="1">INDIRECT("'Java Impact of Optimization'!G" &amp; 3 + (ROW(A4)-1)*4)</f>
        <v>2.4197100000000002</v>
      </c>
      <c r="D8" s="65" cm="1">
        <f t="array" aca="1" ref="D8" ca="1">INDIRECT("'Java Impact of Optimization'!G" &amp; 4 + (ROW(A4)-1)*4)</f>
        <v>175.42000000000002</v>
      </c>
      <c r="E8" s="64" cm="1">
        <f t="array" aca="1" ref="E8" ca="1">INDIRECT("'Java Impact of Optimization'!T" &amp; 3 + (ROW(A4)-1)*4)*100</f>
        <v>-98.620619085623076</v>
      </c>
      <c r="F8" s="65" cm="1">
        <f t="array" aca="1" ref="F8" ca="1">INDIRECT("'Java Impact of Optimization'!R" &amp; 3 + (ROW(A4)-1)*4)</f>
        <v>64.340088899999998</v>
      </c>
      <c r="G8" s="65" cm="1">
        <f t="array" aca="1" ref="G8" ca="1">INDIRECT("'Java Impact of Optimization'!R" &amp; 4 + (ROW(A4)-1)*4)</f>
        <v>4073.2524000000003</v>
      </c>
      <c r="H8" s="64" cm="1">
        <f t="array" aca="1" ref="H8" ca="1">INDIRECT("'Java Impact of Optimization'!W" &amp; 3 + (ROW(A4)-1)*4)*100</f>
        <v>-98.450927289894949</v>
      </c>
      <c r="I8" s="66" t="s">
        <v>154</v>
      </c>
      <c r="J8" s="65" cm="1">
        <f t="array" aca="1" ref="J8" ca="1">INDIRECT("'Java Impact of Optimization'!G" &amp; 5 + (ROW(A4)-1)*4)</f>
        <v>0.20865</v>
      </c>
      <c r="K8" s="65" cm="1">
        <f t="array" aca="1" ref="K8" ca="1">INDIRECT("'Java Impact of Optimization'!G" &amp; 6 + (ROW(A4)-1)*4)</f>
        <v>33.450000000000003</v>
      </c>
      <c r="L8" s="64" cm="1">
        <f t="array" aca="1" ref="L8" ca="1">INDIRECT("'Java Impact of Optimization'!T" &amp; 5 + (ROW(A4)-1)*4)*100</f>
        <v>-99.376233183856513</v>
      </c>
      <c r="M8" s="65" cm="1">
        <f t="array" aca="1" ref="M8" ca="1">INDIRECT("'Java Impact of Optimization'!R" &amp; 5 + (ROW(A4)-1)*4)</f>
        <v>5.0806275000000003</v>
      </c>
      <c r="N8" s="65" cm="1">
        <f t="array" aca="1" ref="N8" ca="1">INDIRECT("'Java Impact of Optimization'!R" &amp; 6 + (ROW(A4)-1)*4)</f>
        <v>659.96850000000006</v>
      </c>
      <c r="O8" s="64" cm="1">
        <f t="array" aca="1" ref="O8" ca="1">INDIRECT("'Java Impact of Optimization'!W" &amp; 5 + (ROW(A4)-1)*4)*100</f>
        <v>-99.300601934869107</v>
      </c>
      <c r="P8" s="64">
        <f t="shared" ca="1" si="0"/>
        <v>-98.875764612382028</v>
      </c>
      <c r="R8" s="45" t="s">
        <v>161</v>
      </c>
      <c r="S8" s="24" t="str" cm="1">
        <f t="array" aca="1" ref="S8" ca="1">_xlfn.TEXTJOIN(", ", TRUE, IF((H5:H30 &gt; -25) * (H5:H30 &lt;= -3), B5:B30, ""))</f>
        <v/>
      </c>
      <c r="U8" s="45" t="s">
        <v>161</v>
      </c>
      <c r="V8" s="24" t="str" cm="1">
        <f t="array" aca="1" ref="V8" ca="1">_xlfn.TEXTJOIN(", ", TRUE, IF((O5:O30 &gt; -25) * (O5:O30 &lt;= -3), I5:I30, ""))</f>
        <v/>
      </c>
    </row>
    <row r="9" spans="2:22" x14ac:dyDescent="0.25">
      <c r="B9" s="66" t="s">
        <v>153</v>
      </c>
      <c r="C9" s="65" cm="1">
        <f t="array" aca="1" ref="C9" ca="1">INDIRECT("'Java Impact of Optimization'!G" &amp; 3 + (ROW(A5)-1)*4)</f>
        <v>2.094E-2</v>
      </c>
      <c r="D9" s="65" cm="1">
        <f t="array" aca="1" ref="D9" ca="1">INDIRECT("'Java Impact of Optimization'!G" &amp; 4 + (ROW(A5)-1)*4)</f>
        <v>3.7519999999999998</v>
      </c>
      <c r="E9" s="64" cm="1">
        <f t="array" aca="1" ref="E9" ca="1">INDIRECT("'Java Impact of Optimization'!T" &amp; 3 + (ROW(A5)-1)*4)*100</f>
        <v>-99.441897654584224</v>
      </c>
      <c r="F9" s="65" cm="1">
        <f t="array" aca="1" ref="F9" ca="1">INDIRECT("'Java Impact of Optimization'!R" &amp; 3 + (ROW(A5)-1)*4)</f>
        <v>0.45544499999999999</v>
      </c>
      <c r="G9" s="65" cm="1">
        <f t="array" aca="1" ref="G9" ca="1">INDIRECT("'Java Impact of Optimization'!R" &amp; 4 + (ROW(A5)-1)*4)</f>
        <v>75.415199999999999</v>
      </c>
      <c r="H9" s="64" cm="1">
        <f t="array" aca="1" ref="H9" ca="1">INDIRECT("'Java Impact of Optimization'!W" &amp; 3 + (ROW(A5)-1)*4)*100</f>
        <v>-99.480642836640982</v>
      </c>
      <c r="I9" s="66" t="s">
        <v>153</v>
      </c>
      <c r="J9" s="65" cm="1">
        <f t="array" aca="1" ref="J9" ca="1">INDIRECT("'Java Impact of Optimization'!G" &amp; 5 + (ROW(A5)-1)*4)</f>
        <v>2.094E-2</v>
      </c>
      <c r="K9" s="65" cm="1">
        <f t="array" aca="1" ref="K9" ca="1">INDIRECT("'Java Impact of Optimization'!G" &amp; 6 + (ROW(A5)-1)*4)</f>
        <v>3.8570000000000002</v>
      </c>
      <c r="L9" s="64" cm="1">
        <f t="array" aca="1" ref="L9" ca="1">INDIRECT("'Java Impact of Optimization'!T" &amp; 5 + (ROW(A5)-1)*4)*100</f>
        <v>-99.457091003370508</v>
      </c>
      <c r="M9" s="65" cm="1">
        <f t="array" aca="1" ref="M9" ca="1">INDIRECT("'Java Impact of Optimization'!R" &amp; 5 + (ROW(A5)-1)*4)</f>
        <v>0.45649200000000001</v>
      </c>
      <c r="N9" s="65" cm="1">
        <f t="array" aca="1" ref="N9" ca="1">INDIRECT("'Java Impact of Optimization'!R" &amp; 6 + (ROW(A5)-1)*4)</f>
        <v>77.448560000000001</v>
      </c>
      <c r="O9" s="64" cm="1">
        <f t="array" aca="1" ref="O9" ca="1">INDIRECT("'Java Impact of Optimization'!W" &amp; 5 + (ROW(A5)-1)*4)*100</f>
        <v>-99.44117361241257</v>
      </c>
      <c r="P9" s="64">
        <f t="shared" ca="1" si="0"/>
        <v>-99.460908224526776</v>
      </c>
      <c r="R9" s="46" t="s">
        <v>157</v>
      </c>
      <c r="S9" s="24" t="str" cm="1">
        <f t="array" aca="1" ref="S9" ca="1">_xlfn.TEXTJOIN(", ", TRUE, IF((H5:H30 &gt; -3) * (H5:H30 &lt; 3), B5:B30, ""))</f>
        <v/>
      </c>
      <c r="U9" s="46" t="s">
        <v>157</v>
      </c>
      <c r="V9" s="24" t="str" cm="1">
        <f t="array" aca="1" ref="V9" ca="1">_xlfn.TEXTJOIN(", ", TRUE, IF((O5:O30 &gt; -3) * (O5:O30 &lt; 3), I5:I30, ""))</f>
        <v/>
      </c>
    </row>
    <row r="10" spans="2:22" x14ac:dyDescent="0.25">
      <c r="B10" s="66" t="s">
        <v>19</v>
      </c>
      <c r="C10" s="65" cm="1">
        <f t="array" aca="1" ref="C10" ca="1">INDIRECT("'Java Impact of Optimization'!G" &amp; 3 + (ROW(A6)-1)*4)</f>
        <v>37.091999999999999</v>
      </c>
      <c r="D10" s="65" cm="1">
        <f t="array" aca="1" ref="D10" ca="1">INDIRECT("'Java Impact of Optimization'!G" &amp; 4 + (ROW(A6)-1)*4)</f>
        <v>89.501999999999995</v>
      </c>
      <c r="E10" s="64" cm="1">
        <f t="array" aca="1" ref="E10" ca="1">INDIRECT("'Java Impact of Optimization'!T" &amp; 3 + (ROW(A6)-1)*4)*100</f>
        <v>-58.55735067372796</v>
      </c>
      <c r="F10" s="65" cm="1">
        <f t="array" aca="1" ref="F10" ca="1">INDIRECT("'Java Impact of Optimization'!R" &amp; 3 + (ROW(A6)-1)*4)</f>
        <v>1122.77484</v>
      </c>
      <c r="G10" s="65" cm="1">
        <f t="array" aca="1" ref="G10" ca="1">INDIRECT("'Java Impact of Optimization'!R" &amp; 4 + (ROW(A6)-1)*4)</f>
        <v>2497.1057999999998</v>
      </c>
      <c r="H10" s="64" cm="1">
        <f t="array" aca="1" ref="H10" ca="1">INDIRECT("'Java Impact of Optimization'!W" &amp; 3 + (ROW(A6)-1)*4)*100</f>
        <v>-51.310855569574663</v>
      </c>
      <c r="I10" s="66" t="s">
        <v>19</v>
      </c>
      <c r="J10" s="65" cm="1">
        <f t="array" aca="1" ref="J10" ca="1">INDIRECT("'Java Impact of Optimization'!G" &amp; 5 + (ROW(A6)-1)*4)</f>
        <v>2.1030000000000004E-2</v>
      </c>
      <c r="K10" s="65" cm="1">
        <f t="array" aca="1" ref="K10" ca="1">INDIRECT("'Java Impact of Optimization'!G" &amp; 6 + (ROW(A6)-1)*4)</f>
        <v>4.2240000000000002</v>
      </c>
      <c r="L10" s="64" cm="1">
        <f t="array" aca="1" ref="L10" ca="1">INDIRECT("'Java Impact of Optimization'!T" &amp; 5 + (ROW(A6)-1)*4)*100</f>
        <v>-99.502130681818187</v>
      </c>
      <c r="M10" s="65" cm="1">
        <f t="array" aca="1" ref="M10" ca="1">INDIRECT("'Java Impact of Optimization'!R" &amp; 5 + (ROW(A6)-1)*4)</f>
        <v>0.4428918</v>
      </c>
      <c r="N10" s="65" cm="1">
        <f t="array" aca="1" ref="N10" ca="1">INDIRECT("'Java Impact of Optimization'!R" &amp; 6 + (ROW(A6)-1)*4)</f>
        <v>87.985919999999993</v>
      </c>
      <c r="O10" s="64" cm="1">
        <f t="array" aca="1" ref="O10" ca="1">INDIRECT("'Java Impact of Optimization'!W" &amp; 5 + (ROW(A6)-1)*4)*100</f>
        <v>-99.415356072984736</v>
      </c>
      <c r="P10" s="64">
        <f t="shared" ca="1" si="0"/>
        <v>-75.363105821279703</v>
      </c>
      <c r="R10" s="47" t="s">
        <v>158</v>
      </c>
      <c r="S10" s="24" t="str" cm="1">
        <f t="array" aca="1" ref="S10" ca="1">_xlfn.TEXTJOIN(", ", TRUE, IF((H5:H30 &gt;= 3) * (H5:H30 &lt; 25), B5:B30, ""))</f>
        <v/>
      </c>
      <c r="U10" s="47" t="s">
        <v>158</v>
      </c>
      <c r="V10" s="24" t="str" cm="1">
        <f t="array" aca="1" ref="V10" ca="1">_xlfn.TEXTJOIN(", ", TRUE, IF((O5:O30 &gt;= 3) * (O5:O30 &lt; 25), I5:I30, ""))</f>
        <v/>
      </c>
    </row>
    <row r="11" spans="2:22" x14ac:dyDescent="0.25">
      <c r="B11" s="66" t="s">
        <v>21</v>
      </c>
      <c r="C11" s="65" cm="1">
        <f t="array" aca="1" ref="C11" ca="1">INDIRECT("'Java Impact of Optimization'!G" &amp; 3 + (ROW(A7)-1)*4)</f>
        <v>2.094E-2</v>
      </c>
      <c r="D11" s="65" cm="1">
        <f t="array" aca="1" ref="D11" ca="1">INDIRECT("'Java Impact of Optimization'!G" &amp; 4 + (ROW(A7)-1)*4)</f>
        <v>14.871</v>
      </c>
      <c r="E11" s="64" cm="1">
        <f t="array" aca="1" ref="E11" ca="1">INDIRECT("'Java Impact of Optimization'!T" &amp; 3 + (ROW(A7)-1)*4)*100</f>
        <v>-99.859189025620338</v>
      </c>
      <c r="F11" s="65" cm="1">
        <f t="array" aca="1" ref="F11" ca="1">INDIRECT("'Java Impact of Optimization'!R" &amp; 3 + (ROW(A7)-1)*4)</f>
        <v>0.45293220000000001</v>
      </c>
      <c r="G11" s="65" cm="1">
        <f t="array" aca="1" ref="G11" ca="1">INDIRECT("'Java Impact of Optimization'!R" &amp; 4 + (ROW(A7)-1)*4)</f>
        <v>382.33341000000001</v>
      </c>
      <c r="H11" s="64" cm="1">
        <f t="array" aca="1" ref="H11" ca="1">INDIRECT("'Java Impact of Optimization'!W" &amp; 3 + (ROW(A7)-1)*4)*100</f>
        <v>-99.896687339043382</v>
      </c>
      <c r="I11" s="66" t="s">
        <v>21</v>
      </c>
      <c r="J11" s="65" cm="1">
        <f t="array" aca="1" ref="J11" ca="1">INDIRECT("'Java Impact of Optimization'!G" &amp; 5 + (ROW(A7)-1)*4)</f>
        <v>2.094E-2</v>
      </c>
      <c r="K11" s="65" cm="1">
        <f t="array" aca="1" ref="K11" ca="1">INDIRECT("'Java Impact of Optimization'!G" &amp; 6 + (ROW(A7)-1)*4)</f>
        <v>9.9960000000000004</v>
      </c>
      <c r="L11" s="64" cm="1">
        <f t="array" aca="1" ref="L11" ca="1">INDIRECT("'Java Impact of Optimization'!T" &amp; 5 + (ROW(A7)-1)*4)*100</f>
        <v>-99.790516206482593</v>
      </c>
      <c r="M11" s="65" cm="1">
        <f t="array" aca="1" ref="M11" ca="1">INDIRECT("'Java Impact of Optimization'!R" &amp; 5 + (ROW(A7)-1)*4)</f>
        <v>0.45481679999999997</v>
      </c>
      <c r="N11" s="65" cm="1">
        <f t="array" aca="1" ref="N11" ca="1">INDIRECT("'Java Impact of Optimization'!R" &amp; 6 + (ROW(A7)-1)*4)</f>
        <v>257.89679999999998</v>
      </c>
      <c r="O11" s="64" cm="1">
        <f t="array" aca="1" ref="O11" ca="1">INDIRECT("'Java Impact of Optimization'!W" &amp; 5 + (ROW(A7)-1)*4)*100</f>
        <v>-99.836695291036492</v>
      </c>
      <c r="P11" s="64">
        <f t="shared" ca="1" si="0"/>
        <v>-99.86669131503993</v>
      </c>
      <c r="R11" s="48" t="s">
        <v>159</v>
      </c>
      <c r="S11" s="24" t="str" cm="1">
        <f t="array" aca="1" ref="S11" ca="1">_xlfn.TEXTJOIN(", ", TRUE, IF((H5:H30 &gt;= 25) * (H5:H30 &lt; 75), B5:B30, ""))</f>
        <v/>
      </c>
      <c r="U11" s="48" t="s">
        <v>159</v>
      </c>
      <c r="V11" s="24" t="str" cm="1">
        <f t="array" aca="1" ref="V11" ca="1">_xlfn.TEXTJOIN(", ", TRUE, IF((O5:O30 &gt;= 25) * (O5:O30 &lt; 75), I5:I30, ""))</f>
        <v/>
      </c>
    </row>
    <row r="12" spans="2:22" x14ac:dyDescent="0.25">
      <c r="B12" s="66" t="s">
        <v>23</v>
      </c>
      <c r="C12" s="65" cm="1">
        <f t="array" aca="1" ref="C12" ca="1">INDIRECT("'Java Impact of Optimization'!G" &amp; 3 + (ROW(A8)-1)*4)</f>
        <v>2.094E-2</v>
      </c>
      <c r="D12" s="65" cm="1">
        <f t="array" aca="1" ref="D12" ca="1">INDIRECT("'Java Impact of Optimization'!G" &amp; 4 + (ROW(A8)-1)*4)</f>
        <v>13.420999999999999</v>
      </c>
      <c r="E12" s="64" cm="1">
        <f t="array" aca="1" ref="E12" ca="1">INDIRECT("'Java Impact of Optimization'!T" &amp; 3 + (ROW(A8)-1)*4)*100</f>
        <v>-99.843975858728868</v>
      </c>
      <c r="F12" s="65" cm="1">
        <f t="array" aca="1" ref="F12" ca="1">INDIRECT("'Java Impact of Optimization'!R" &amp; 3 + (ROW(A8)-1)*4)</f>
        <v>0.44497500000000001</v>
      </c>
      <c r="G12" s="65" cm="1">
        <f t="array" aca="1" ref="G12" ca="1">INDIRECT("'Java Impact of Optimization'!R" &amp; 4 + (ROW(A8)-1)*4)</f>
        <v>274.19103000000001</v>
      </c>
      <c r="H12" s="64" cm="1">
        <f t="array" aca="1" ref="H12" ca="1">INDIRECT("'Java Impact of Optimization'!W" &amp; 3 + (ROW(A8)-1)*4)*100</f>
        <v>-99.841263887956487</v>
      </c>
      <c r="I12" s="66" t="s">
        <v>23</v>
      </c>
      <c r="J12" s="65" cm="1">
        <f t="array" aca="1" ref="J12" ca="1">INDIRECT("'Java Impact of Optimization'!G" &amp; 5 + (ROW(A8)-1)*4)</f>
        <v>2.094E-2</v>
      </c>
      <c r="K12" s="65" cm="1">
        <f t="array" aca="1" ref="K12" ca="1">INDIRECT("'Java Impact of Optimization'!G" &amp; 6 + (ROW(A8)-1)*4)</f>
        <v>8.9749999999999996</v>
      </c>
      <c r="L12" s="64" cm="1">
        <f t="array" aca="1" ref="L12" ca="1">INDIRECT("'Java Impact of Optimization'!T" &amp; 5 + (ROW(A8)-1)*4)*100</f>
        <v>-99.766685236768808</v>
      </c>
      <c r="M12" s="65" cm="1">
        <f t="array" aca="1" ref="M12" ca="1">INDIRECT("'Java Impact of Optimization'!R" &amp; 5 + (ROW(A8)-1)*4)</f>
        <v>0.44497500000000001</v>
      </c>
      <c r="N12" s="65" cm="1">
        <f t="array" aca="1" ref="N12" ca="1">INDIRECT("'Java Impact of Optimization'!R" &amp; 6 + (ROW(A8)-1)*4)</f>
        <v>181.02574999999999</v>
      </c>
      <c r="O12" s="64" cm="1">
        <f t="array" aca="1" ref="O12" ca="1">INDIRECT("'Java Impact of Optimization'!W" &amp; 5 + (ROW(A8)-1)*4)*100</f>
        <v>-99.760817315948614</v>
      </c>
      <c r="P12" s="64">
        <f t="shared" ca="1" si="0"/>
        <v>-99.80104060195255</v>
      </c>
      <c r="R12" s="49" t="s">
        <v>160</v>
      </c>
      <c r="S12" s="27" t="str" cm="1">
        <f t="array" aca="1" ref="S12" ca="1">_xlfn.TEXTJOIN(", ", TRUE, IF(H5:H30 &gt;= 75, B5:B30, ""))</f>
        <v/>
      </c>
      <c r="U12" s="49" t="s">
        <v>160</v>
      </c>
      <c r="V12" s="27" t="str" cm="1">
        <f t="array" aca="1" ref="V12" ca="1">_xlfn.TEXTJOIN(", ", TRUE, IF(O5:O30 &gt;= 75, I5:I30, ""))</f>
        <v/>
      </c>
    </row>
    <row r="13" spans="2:22" x14ac:dyDescent="0.25">
      <c r="B13" s="66" t="s">
        <v>25</v>
      </c>
      <c r="C13" s="65" cm="1">
        <f t="array" aca="1" ref="C13" ca="1">INDIRECT("'Java Impact of Optimization'!G" &amp; 3 + (ROW(A9)-1)*4)</f>
        <v>0.10994</v>
      </c>
      <c r="D13" s="65" cm="1">
        <f t="array" aca="1" ref="D13" ca="1">INDIRECT("'Java Impact of Optimization'!G" &amp; 4 + (ROW(A9)-1)*4)</f>
        <v>223.56</v>
      </c>
      <c r="E13" s="64" cm="1">
        <f t="array" aca="1" ref="E13" ca="1">INDIRECT("'Java Impact of Optimization'!T" &amp; 3 + (ROW(A9)-1)*4)*100</f>
        <v>-99.950823045267484</v>
      </c>
      <c r="F13" s="65" cm="1">
        <f t="array" aca="1" ref="F13" ca="1">INDIRECT("'Java Impact of Optimization'!R" &amp; 3 + (ROW(A9)-1)*4)</f>
        <v>2.352716</v>
      </c>
      <c r="G13" s="65" cm="1">
        <f t="array" aca="1" ref="G13" ca="1">INDIRECT("'Java Impact of Optimization'!R" &amp; 4 + (ROW(A9)-1)*4)</f>
        <v>4956.3252000000011</v>
      </c>
      <c r="H13" s="64" cm="1">
        <f t="array" aca="1" ref="H13" ca="1">INDIRECT("'Java Impact of Optimization'!W" &amp; 3 + (ROW(A9)-1)*4)*100</f>
        <v>-99.956076560918049</v>
      </c>
      <c r="I13" s="66" t="s">
        <v>25</v>
      </c>
      <c r="J13" s="65" cm="1">
        <f t="array" aca="1" ref="J13" ca="1">INDIRECT("'Java Impact of Optimization'!G" &amp; 5 + (ROW(A9)-1)*4)</f>
        <v>2.6179999999999998E-2</v>
      </c>
      <c r="K13" s="65" cm="1">
        <f t="array" aca="1" ref="K13" ca="1">INDIRECT("'Java Impact of Optimization'!G" &amp; 6 + (ROW(A9)-1)*4)</f>
        <v>230.45000000000002</v>
      </c>
      <c r="L13" s="64" cm="1">
        <f t="array" aca="1" ref="L13" ca="1">INDIRECT("'Java Impact of Optimization'!T" &amp; 5 + (ROW(A9)-1)*4)*100</f>
        <v>-99.988639618138421</v>
      </c>
      <c r="M13" s="65" cm="1">
        <f t="array" aca="1" ref="M13" ca="1">INDIRECT("'Java Impact of Optimization'!R" &amp; 5 + (ROW(A9)-1)*4)</f>
        <v>0.57438920000000004</v>
      </c>
      <c r="N13" s="65" cm="1">
        <f t="array" aca="1" ref="N13" ca="1">INDIRECT("'Java Impact of Optimization'!R" &amp; 6 + (ROW(A9)-1)*4)</f>
        <v>4993.8515000000016</v>
      </c>
      <c r="O13" s="64" cm="1">
        <f t="array" aca="1" ref="O13" ca="1">INDIRECT("'Java Impact of Optimization'!W" &amp; 5 + (ROW(A9)-1)*4)*100</f>
        <v>-99.988553134653628</v>
      </c>
      <c r="P13" s="64">
        <f t="shared" ca="1" si="0"/>
        <v>-99.972314847785839</v>
      </c>
    </row>
    <row r="14" spans="2:22" x14ac:dyDescent="0.25">
      <c r="B14" s="66" t="s">
        <v>31</v>
      </c>
      <c r="C14" s="65" cm="1">
        <f t="array" aca="1" ref="C14" ca="1">INDIRECT("'Java Impact of Optimization'!G" &amp; 3 + (ROW(A10)-1)*4)</f>
        <v>2.094E-2</v>
      </c>
      <c r="D14" s="65" cm="1">
        <f t="array" aca="1" ref="D14" ca="1">INDIRECT("'Java Impact of Optimization'!G" &amp; 4 + (ROW(A10)-1)*4)</f>
        <v>9.1270000000000007</v>
      </c>
      <c r="E14" s="64" cm="1">
        <f t="array" aca="1" ref="E14" ca="1">INDIRECT("'Java Impact of Optimization'!T" &amp; 3 + (ROW(A10)-1)*4)*100</f>
        <v>-99.770570833789861</v>
      </c>
      <c r="F14" s="65" cm="1">
        <f t="array" aca="1" ref="F14" ca="1">INDIRECT("'Java Impact of Optimization'!R" &amp; 3 + (ROW(A10)-1)*4)</f>
        <v>0.44288099999999991</v>
      </c>
      <c r="G14" s="65" cm="1">
        <f t="array" aca="1" ref="G14" ca="1">INDIRECT("'Java Impact of Optimization'!R" &amp; 4 + (ROW(A10)-1)*4)</f>
        <v>188.56381999999999</v>
      </c>
      <c r="H14" s="64" cm="1">
        <f t="array" aca="1" ref="H14" ca="1">INDIRECT("'Java Impact of Optimization'!W" &amp; 3 + (ROW(A10)-1)*4)*100</f>
        <v>-99.785240930212851</v>
      </c>
      <c r="I14" s="66" t="s">
        <v>31</v>
      </c>
      <c r="J14" s="65" cm="1">
        <f t="array" aca="1" ref="J14" ca="1">INDIRECT("'Java Impact of Optimization'!G" &amp; 5 + (ROW(A10)-1)*4)</f>
        <v>2.0950000000000003E-2</v>
      </c>
      <c r="K14" s="65" cm="1">
        <f t="array" aca="1" ref="K14" ca="1">INDIRECT("'Java Impact of Optimization'!G" &amp; 6 + (ROW(A10)-1)*4)</f>
        <v>9.0670000000000002</v>
      </c>
      <c r="L14" s="64" cm="1">
        <f t="array" aca="1" ref="L14" ca="1">INDIRECT("'Java Impact of Optimization'!T" &amp; 5 + (ROW(A10)-1)*4)*100</f>
        <v>-99.768942318297121</v>
      </c>
      <c r="M14" s="65" cm="1">
        <f t="array" aca="1" ref="M14" ca="1">INDIRECT("'Java Impact of Optimization'!R" &amp; 5 + (ROW(A10)-1)*4)</f>
        <v>0.44141650000000016</v>
      </c>
      <c r="N14" s="65" cm="1">
        <f t="array" aca="1" ref="N14" ca="1">INDIRECT("'Java Impact of Optimization'!R" &amp; 6 + (ROW(A10)-1)*4)</f>
        <v>183.69741999999999</v>
      </c>
      <c r="O14" s="64" cm="1">
        <f t="array" aca="1" ref="O14" ca="1">INDIRECT("'Java Impact of Optimization'!W" &amp; 5 + (ROW(A10)-1)*4)*100</f>
        <v>-99.78056936668267</v>
      </c>
      <c r="P14" s="64">
        <f t="shared" ca="1" si="0"/>
        <v>-99.782905148447753</v>
      </c>
    </row>
    <row r="15" spans="2:22" x14ac:dyDescent="0.25">
      <c r="B15" s="66" t="s">
        <v>33</v>
      </c>
      <c r="C15" s="65" cm="1">
        <f t="array" aca="1" ref="C15" ca="1">INDIRECT("'Java Impact of Optimization'!G" &amp; 3 + (ROW(A11)-1)*4)</f>
        <v>2.094E-2</v>
      </c>
      <c r="D15" s="65" cm="1">
        <f t="array" aca="1" ref="D15" ca="1">INDIRECT("'Java Impact of Optimization'!G" &amp; 4 + (ROW(A11)-1)*4)</f>
        <v>8.9700000000000006</v>
      </c>
      <c r="E15" s="64" cm="1">
        <f t="array" aca="1" ref="E15" ca="1">INDIRECT("'Java Impact of Optimization'!T" &amp; 3 + (ROW(A11)-1)*4)*100</f>
        <v>-99.766555183946494</v>
      </c>
      <c r="F15" s="65" cm="1">
        <f t="array" aca="1" ref="F15" ca="1">INDIRECT("'Java Impact of Optimization'!R" &amp; 3 + (ROW(A11)-1)*4)</f>
        <v>0.43764599999999987</v>
      </c>
      <c r="G15" s="65" cm="1">
        <f t="array" aca="1" ref="G15" ca="1">INDIRECT("'Java Impact of Optimization'!R" &amp; 4 + (ROW(A11)-1)*4)</f>
        <v>177.9648</v>
      </c>
      <c r="H15" s="64" cm="1">
        <f t="array" aca="1" ref="H15" ca="1">INDIRECT("'Java Impact of Optimization'!W" &amp; 3 + (ROW(A11)-1)*4)*100</f>
        <v>-99.781391694280813</v>
      </c>
      <c r="I15" s="66" t="s">
        <v>33</v>
      </c>
      <c r="J15" s="65" cm="1">
        <f t="array" aca="1" ref="J15" ca="1">INDIRECT("'Java Impact of Optimization'!G" &amp; 5 + (ROW(A11)-1)*4)</f>
        <v>2.094E-2</v>
      </c>
      <c r="K15" s="65" cm="1">
        <f t="array" aca="1" ref="K15" ca="1">INDIRECT("'Java Impact of Optimization'!G" &amp; 6 + (ROW(A11)-1)*4)</f>
        <v>9.1029999999999998</v>
      </c>
      <c r="L15" s="64" cm="1">
        <f t="array" aca="1" ref="L15" ca="1">INDIRECT("'Java Impact of Optimization'!T" &amp; 5 + (ROW(A11)-1)*4)*100</f>
        <v>-99.769965945292768</v>
      </c>
      <c r="M15" s="65" cm="1">
        <f t="array" aca="1" ref="M15" ca="1">INDIRECT("'Java Impact of Optimization'!R" &amp; 5 + (ROW(A11)-1)*4)</f>
        <v>0.43806480000000003</v>
      </c>
      <c r="N15" s="65" cm="1">
        <f t="array" aca="1" ref="N15" ca="1">INDIRECT("'Java Impact of Optimization'!R" &amp; 6 + (ROW(A11)-1)*4)</f>
        <v>185.15502000000001</v>
      </c>
      <c r="O15" s="64" cm="1">
        <f t="array" aca="1" ref="O15" ca="1">INDIRECT("'Java Impact of Optimization'!W" &amp; 5 + (ROW(A11)-1)*4)*100</f>
        <v>-99.795644391984283</v>
      </c>
      <c r="P15" s="64">
        <f t="shared" ca="1" si="0"/>
        <v>-99.788518043132541</v>
      </c>
    </row>
    <row r="16" spans="2:22" x14ac:dyDescent="0.25">
      <c r="B16" s="66" t="s">
        <v>37</v>
      </c>
      <c r="C16" s="65" cm="1">
        <f t="array" aca="1" ref="C16" ca="1">INDIRECT("'Java Impact of Optimization'!G" &amp; 3 + (ROW(A12)-1)*4)</f>
        <v>2.0070000000000001</v>
      </c>
      <c r="D16" s="65" cm="1">
        <f t="array" aca="1" ref="D16" ca="1">INDIRECT("'Java Impact of Optimization'!G" &amp; 4 + (ROW(A12)-1)*4)</f>
        <v>60.072000000000003</v>
      </c>
      <c r="E16" s="64" cm="1">
        <f t="array" aca="1" ref="E16" ca="1">INDIRECT("'Java Impact of Optimization'!T" &amp; 3 + (ROW(A12)-1)*4)*100</f>
        <v>-96.659009188973229</v>
      </c>
      <c r="F16" s="65" cm="1">
        <f t="array" aca="1" ref="F16" ca="1">INDIRECT("'Java Impact of Optimization'!R" &amp; 3 + (ROW(A12)-1)*4)</f>
        <v>34.159140000000001</v>
      </c>
      <c r="G16" s="65" cm="1">
        <f t="array" aca="1" ref="G16" ca="1">INDIRECT("'Java Impact of Optimization'!R" &amp; 4 + (ROW(A12)-1)*4)</f>
        <v>1591.30728</v>
      </c>
      <c r="H16" s="64" cm="1">
        <f t="array" aca="1" ref="H16" ca="1">INDIRECT("'Java Impact of Optimization'!W" &amp; 3 + (ROW(A12)-1)*4)*100</f>
        <v>-97.326150261451076</v>
      </c>
      <c r="I16" s="66" t="s">
        <v>37</v>
      </c>
      <c r="J16" s="65" cm="1">
        <f t="array" aca="1" ref="J16" ca="1">INDIRECT("'Java Impact of Optimization'!G" &amp; 5 + (ROW(A12)-1)*4)</f>
        <v>1.571</v>
      </c>
      <c r="K16" s="65" cm="1">
        <f t="array" aca="1" ref="K16" ca="1">INDIRECT("'Java Impact of Optimization'!G" &amp; 6 + (ROW(A12)-1)*4)</f>
        <v>58.143999999999998</v>
      </c>
      <c r="L16" s="64" cm="1">
        <f t="array" aca="1" ref="L16" ca="1">INDIRECT("'Java Impact of Optimization'!T" &amp; 5 + (ROW(A12)-1)*4)*100</f>
        <v>-97.298087506879469</v>
      </c>
      <c r="M16" s="65" cm="1">
        <f t="array" aca="1" ref="M16" ca="1">INDIRECT("'Java Impact of Optimization'!R" &amp; 5 + (ROW(A12)-1)*4)</f>
        <v>30.618790000000001</v>
      </c>
      <c r="N16" s="65" cm="1">
        <f t="array" aca="1" ref="N16" ca="1">INDIRECT("'Java Impact of Optimization'!R" &amp; 6 + (ROW(A12)-1)*4)</f>
        <v>1504.1852799999999</v>
      </c>
      <c r="O16" s="64" cm="1">
        <f t="array" aca="1" ref="O16" ca="1">INDIRECT("'Java Impact of Optimization'!W" &amp; 5 + (ROW(A12)-1)*4)*100</f>
        <v>-97.478182468938996</v>
      </c>
      <c r="P16" s="64">
        <f t="shared" ca="1" si="0"/>
        <v>-97.402166365195029</v>
      </c>
    </row>
    <row r="17" spans="2:16" x14ac:dyDescent="0.25">
      <c r="B17" s="66" t="s">
        <v>39</v>
      </c>
      <c r="C17" s="65" cm="1">
        <f t="array" aca="1" ref="C17" ca="1">INDIRECT("'Java Impact of Optimization'!G" &amp; 3 + (ROW(A13)-1)*4)</f>
        <v>0.49692000000000003</v>
      </c>
      <c r="D17" s="65" cm="1">
        <f t="array" aca="1" ref="D17" ca="1">INDIRECT("'Java Impact of Optimization'!G" &amp; 4 + (ROW(A13)-1)*4)</f>
        <v>29.222999999999999</v>
      </c>
      <c r="E17" s="64" cm="1">
        <f t="array" aca="1" ref="E17" ca="1">INDIRECT("'Java Impact of Optimization'!T" &amp; 3 + (ROW(A13)-1)*4)*100</f>
        <v>-98.299558566882254</v>
      </c>
      <c r="F17" s="65" cm="1">
        <f t="array" aca="1" ref="F17" ca="1">INDIRECT("'Java Impact of Optimization'!R" &amp; 3 + (ROW(A13)-1)*4)</f>
        <v>12.090063600000001</v>
      </c>
      <c r="G17" s="65" cm="1">
        <f t="array" aca="1" ref="G17" ca="1">INDIRECT("'Java Impact of Optimization'!R" &amp; 4 + (ROW(A13)-1)*4)</f>
        <v>778.50072</v>
      </c>
      <c r="H17" s="64" cm="1">
        <f t="array" aca="1" ref="H17" ca="1">INDIRECT("'Java Impact of Optimization'!W" &amp; 3 + (ROW(A13)-1)*4)*100</f>
        <v>-98.381880822624041</v>
      </c>
      <c r="I17" s="66" t="s">
        <v>39</v>
      </c>
      <c r="J17" s="65" cm="1">
        <f t="array" aca="1" ref="J17" ca="1">INDIRECT("'Java Impact of Optimization'!G" &amp; 5 + (ROW(A13)-1)*4)</f>
        <v>1.0803100000000001</v>
      </c>
      <c r="K17" s="65" cm="1">
        <f t="array" aca="1" ref="K17" ca="1">INDIRECT("'Java Impact of Optimization'!G" &amp; 6 + (ROW(A13)-1)*4)</f>
        <v>20.661999999999999</v>
      </c>
      <c r="L17" s="64" cm="1">
        <f t="array" aca="1" ref="L17" ca="1">INDIRECT("'Java Impact of Optimization'!T" &amp; 5 + (ROW(A13)-1)*4)*100</f>
        <v>-94.771512922272777</v>
      </c>
      <c r="M17" s="65" cm="1">
        <f t="array" aca="1" ref="M17" ca="1">INDIRECT("'Java Impact of Optimization'!R" &amp; 5 + (ROW(A13)-1)*4)</f>
        <v>21.152469799999999</v>
      </c>
      <c r="N17" s="65" cm="1">
        <f t="array" aca="1" ref="N17" ca="1">INDIRECT("'Java Impact of Optimization'!R" &amp; 6 + (ROW(A13)-1)*4)</f>
        <v>548.98933999999997</v>
      </c>
      <c r="O17" s="64" cm="1">
        <f t="array" aca="1" ref="O17" ca="1">INDIRECT("'Java Impact of Optimization'!W" &amp; 5 + (ROW(A13)-1)*4)*100</f>
        <v>-95.928658965992113</v>
      </c>
      <c r="P17" s="64">
        <f t="shared" ca="1" si="0"/>
        <v>-97.155269894308077</v>
      </c>
    </row>
    <row r="18" spans="2:16" x14ac:dyDescent="0.25">
      <c r="B18" s="66" t="s">
        <v>49</v>
      </c>
      <c r="C18" s="65" cm="1">
        <f t="array" aca="1" ref="C18" ca="1">INDIRECT("'Java Impact of Optimization'!G" &amp; 3 + (ROW(A14)-1)*4)</f>
        <v>1.0469999999999999</v>
      </c>
      <c r="D18" s="65" cm="1">
        <f t="array" aca="1" ref="D18" ca="1">INDIRECT("'Java Impact of Optimization'!G" &amp; 4 + (ROW(A14)-1)*4)</f>
        <v>70.376000000000005</v>
      </c>
      <c r="E18" s="64" cm="1">
        <f t="array" aca="1" ref="E18" ca="1">INDIRECT("'Java Impact of Optimization'!T" &amp; 3 + (ROW(A14)-1)*4)*100</f>
        <v>-98.512276912583843</v>
      </c>
      <c r="F18" s="65" cm="1">
        <f t="array" aca="1" ref="F18" ca="1">INDIRECT("'Java Impact of Optimization'!R" &amp; 3 + (ROW(A14)-1)*4)</f>
        <v>19.23339</v>
      </c>
      <c r="G18" s="65" cm="1">
        <f t="array" aca="1" ref="G18" ca="1">INDIRECT("'Java Impact of Optimization'!R" &amp; 4 + (ROW(A14)-1)*4)</f>
        <v>1853.00008</v>
      </c>
      <c r="H18" s="64" cm="1">
        <f t="array" aca="1" ref="H18" ca="1">INDIRECT("'Java Impact of Optimization'!W" &amp; 3 + (ROW(A14)-1)*4)*100</f>
        <v>-98.850383618205868</v>
      </c>
      <c r="I18" s="66" t="s">
        <v>49</v>
      </c>
      <c r="J18" s="65" cm="1">
        <f t="array" aca="1" ref="J18" ca="1">INDIRECT("'Java Impact of Optimization'!G" &amp; 5 + (ROW(A14)-1)*4)</f>
        <v>1.0469999999999999</v>
      </c>
      <c r="K18" s="65" cm="1">
        <f t="array" aca="1" ref="K18" ca="1">INDIRECT("'Java Impact of Optimization'!G" &amp; 6 + (ROW(A14)-1)*4)</f>
        <v>52.027000000000001</v>
      </c>
      <c r="L18" s="64" cm="1">
        <f t="array" aca="1" ref="L18" ca="1">INDIRECT("'Java Impact of Optimization'!T" &amp; 5 + (ROW(A14)-1)*4)*100</f>
        <v>-97.987583370173184</v>
      </c>
      <c r="M18" s="65" cm="1">
        <f t="array" aca="1" ref="M18" ca="1">INDIRECT("'Java Impact of Optimization'!R" &amp; 5 + (ROW(A14)-1)*4)</f>
        <v>20.175689999999999</v>
      </c>
      <c r="N18" s="65" cm="1">
        <f t="array" aca="1" ref="N18" ca="1">INDIRECT("'Java Impact of Optimization'!R" &amp; 6 + (ROW(A14)-1)*4)</f>
        <v>1383.3979300000001</v>
      </c>
      <c r="O18" s="64" cm="1">
        <f t="array" aca="1" ref="O18" ca="1">INDIRECT("'Java Impact of Optimization'!W" &amp; 5 + (ROW(A14)-1)*4)*100</f>
        <v>-98.462494081980552</v>
      </c>
      <c r="P18" s="64">
        <f t="shared" ca="1" si="0"/>
        <v>-98.65643885009321</v>
      </c>
    </row>
    <row r="19" spans="2:16" x14ac:dyDescent="0.25">
      <c r="B19" s="66" t="s">
        <v>51</v>
      </c>
      <c r="C19" s="65" cm="1">
        <f t="array" aca="1" ref="C19" ca="1">INDIRECT("'Java Impact of Optimization'!G" &amp; 3 + (ROW(A15)-1)*4)</f>
        <v>0.53459999999999996</v>
      </c>
      <c r="D19" s="65" cm="1">
        <f t="array" aca="1" ref="D19" ca="1">INDIRECT("'Java Impact of Optimization'!G" &amp; 4 + (ROW(A15)-1)*4)</f>
        <v>74.183000000000007</v>
      </c>
      <c r="E19" s="64" cm="1">
        <f t="array" aca="1" ref="E19" ca="1">INDIRECT("'Java Impact of Optimization'!T" &amp; 3 + (ROW(A15)-1)*4)*100</f>
        <v>-99.279349716242265</v>
      </c>
      <c r="F19" s="65" cm="1">
        <f t="array" aca="1" ref="F19" ca="1">INDIRECT("'Java Impact of Optimization'!R" &amp; 3 + (ROW(A15)-1)*4)</f>
        <v>14.284511999999999</v>
      </c>
      <c r="G19" s="65" cm="1">
        <f t="array" aca="1" ref="G19" ca="1">INDIRECT("'Java Impact of Optimization'!R" &amp; 4 + (ROW(A15)-1)*4)</f>
        <v>1939.1436200000001</v>
      </c>
      <c r="H19" s="64" cm="1">
        <f t="array" aca="1" ref="H19" ca="1">INDIRECT("'Java Impact of Optimization'!W" &amp; 3 + (ROW(A15)-1)*4)*100</f>
        <v>-99.289119095088978</v>
      </c>
      <c r="I19" s="66" t="s">
        <v>51</v>
      </c>
      <c r="J19" s="65" cm="1">
        <f t="array" aca="1" ref="J19" ca="1">INDIRECT("'Java Impact of Optimization'!G" &amp; 5 + (ROW(A15)-1)*4)</f>
        <v>0.53251999999999999</v>
      </c>
      <c r="K19" s="65" cm="1">
        <f t="array" aca="1" ref="K19" ca="1">INDIRECT("'Java Impact of Optimization'!G" &amp; 6 + (ROW(A15)-1)*4)</f>
        <v>54.01</v>
      </c>
      <c r="L19" s="64" cm="1">
        <f t="array" aca="1" ref="L19" ca="1">INDIRECT("'Java Impact of Optimization'!T" &amp; 5 + (ROW(A15)-1)*4)*100</f>
        <v>-99.014034438067029</v>
      </c>
      <c r="M19" s="65" cm="1">
        <f t="array" aca="1" ref="M19" ca="1">INDIRECT("'Java Impact of Optimization'!R" &amp; 5 + (ROW(A15)-1)*4)</f>
        <v>14.367389599999999</v>
      </c>
      <c r="N19" s="65" cm="1">
        <f t="array" aca="1" ref="N19" ca="1">INDIRECT("'Java Impact of Optimization'!R" &amp; 6 + (ROW(A15)-1)*4)</f>
        <v>1440.4467</v>
      </c>
      <c r="O19" s="64" cm="1">
        <f t="array" aca="1" ref="O19" ca="1">INDIRECT("'Java Impact of Optimization'!W" &amp; 5 + (ROW(A15)-1)*4)*100</f>
        <v>-99.035152617512125</v>
      </c>
      <c r="P19" s="64">
        <f t="shared" ca="1" si="0"/>
        <v>-99.162135856300551</v>
      </c>
    </row>
    <row r="20" spans="2:16" x14ac:dyDescent="0.25">
      <c r="B20" s="66" t="s">
        <v>55</v>
      </c>
      <c r="C20" s="65" cm="1">
        <f t="array" aca="1" ref="C20" ca="1">INDIRECT("'Java Impact of Optimization'!G" &amp; 3 + (ROW(A16)-1)*4)</f>
        <v>1.0469999999999999</v>
      </c>
      <c r="D20" s="65" cm="1">
        <f t="array" aca="1" ref="D20" ca="1">INDIRECT("'Java Impact of Optimization'!G" &amp; 4 + (ROW(A16)-1)*4)</f>
        <v>62.048000000000002</v>
      </c>
      <c r="E20" s="64" cm="1">
        <f t="array" aca="1" ref="E20" ca="1">INDIRECT("'Java Impact of Optimization'!T" &amp; 3 + (ROW(A16)-1)*4)*100</f>
        <v>-98.312596699329561</v>
      </c>
      <c r="F20" s="65" cm="1">
        <f t="array" aca="1" ref="F20" ca="1">INDIRECT("'Java Impact of Optimization'!R" &amp; 3 + (ROW(A16)-1)*4)</f>
        <v>19.882529999999999</v>
      </c>
      <c r="G20" s="65" cm="1">
        <f t="array" aca="1" ref="G20" ca="1">INDIRECT("'Java Impact of Optimization'!R" &amp; 4 + (ROW(A16)-1)*4)</f>
        <v>1656.0611200000001</v>
      </c>
      <c r="H20" s="64" cm="1">
        <f t="array" aca="1" ref="H20" ca="1">INDIRECT("'Java Impact of Optimization'!W" &amp; 3 + (ROW(A16)-1)*4)*100</f>
        <v>-98.400965947278735</v>
      </c>
      <c r="I20" s="66" t="s">
        <v>55</v>
      </c>
      <c r="J20" s="65" cm="1">
        <f t="array" aca="1" ref="J20" ca="1">INDIRECT("'Java Impact of Optimization'!G" &amp; 5 + (ROW(A16)-1)*4)</f>
        <v>1.57</v>
      </c>
      <c r="K20" s="65" cm="1">
        <f t="array" aca="1" ref="K20" ca="1">INDIRECT("'Java Impact of Optimization'!G" &amp; 6 + (ROW(A16)-1)*4)</f>
        <v>80.308000000000007</v>
      </c>
      <c r="L20" s="64" cm="1">
        <f t="array" aca="1" ref="L20" ca="1">INDIRECT("'Java Impact of Optimization'!T" &amp; 5 + (ROW(A16)-1)*4)*100</f>
        <v>-98.045026647407482</v>
      </c>
      <c r="M20" s="65" cm="1">
        <f t="array" aca="1" ref="M20" ca="1">INDIRECT("'Java Impact of Optimization'!R" &amp; 5 + (ROW(A16)-1)*4)</f>
        <v>26.894100000000002</v>
      </c>
      <c r="N20" s="65" cm="1">
        <f t="array" aca="1" ref="N20" ca="1">INDIRECT("'Java Impact of Optimization'!R" &amp; 6 + (ROW(A16)-1)*4)</f>
        <v>2128.9650799999999</v>
      </c>
      <c r="O20" s="64" cm="1">
        <f t="array" aca="1" ref="O20" ca="1">INDIRECT("'Java Impact of Optimization'!W" &amp; 5 + (ROW(A16)-1)*4)*100</f>
        <v>-98.354572849035961</v>
      </c>
      <c r="P20" s="64">
        <f t="shared" ca="1" si="0"/>
        <v>-98.377769398157341</v>
      </c>
    </row>
    <row r="21" spans="2:16" x14ac:dyDescent="0.25">
      <c r="B21" s="66" t="s">
        <v>57</v>
      </c>
      <c r="C21" s="65" cm="1">
        <f t="array" aca="1" ref="C21" ca="1">INDIRECT("'Java Impact of Optimization'!G" &amp; 3 + (ROW(A17)-1)*4)</f>
        <v>1.5709999999999998E-2</v>
      </c>
      <c r="D21" s="65" cm="1">
        <f t="array" aca="1" ref="D21" ca="1">INDIRECT("'Java Impact of Optimization'!G" &amp; 4 + (ROW(A17)-1)*4)</f>
        <v>3.944</v>
      </c>
      <c r="E21" s="64" cm="1">
        <f t="array" aca="1" ref="E21" ca="1">INDIRECT("'Java Impact of Optimization'!T" &amp; 3 + (ROW(A17)-1)*4)*100</f>
        <v>-99.601673427991884</v>
      </c>
      <c r="F21" s="65" cm="1">
        <f t="array" aca="1" ref="F21" ca="1">INDIRECT("'Java Impact of Optimization'!R" &amp; 3 + (ROW(A17)-1)*4)</f>
        <v>0.30100359999999998</v>
      </c>
      <c r="G21" s="65" cm="1">
        <f t="array" aca="1" ref="G21" ca="1">INDIRECT("'Java Impact of Optimization'!R" &amp; 4 + (ROW(A17)-1)*4)</f>
        <v>80.299840000000003</v>
      </c>
      <c r="H21" s="64" cm="1">
        <f t="array" aca="1" ref="H21" ca="1">INDIRECT("'Java Impact of Optimization'!W" &amp; 3 + (ROW(A17)-1)*4)*100</f>
        <v>-99.664949693889483</v>
      </c>
      <c r="I21" s="66" t="s">
        <v>57</v>
      </c>
      <c r="J21" s="65" cm="1">
        <f t="array" aca="1" ref="J21" ca="1">INDIRECT("'Java Impact of Optimization'!G" &amp; 5 + (ROW(A17)-1)*4)</f>
        <v>1.5709999999999998E-2</v>
      </c>
      <c r="K21" s="65" cm="1">
        <f t="array" aca="1" ref="K21" ca="1">INDIRECT("'Java Impact of Optimization'!G" &amp; 6 + (ROW(A17)-1)*4)</f>
        <v>3.839</v>
      </c>
      <c r="L21" s="64" cm="1">
        <f t="array" aca="1" ref="L21" ca="1">INDIRECT("'Java Impact of Optimization'!T" &amp; 5 + (ROW(A17)-1)*4)*100</f>
        <v>-99.590778848658516</v>
      </c>
      <c r="M21" s="65" cm="1">
        <f t="array" aca="1" ref="M21" ca="1">INDIRECT("'Java Impact of Optimization'!R" &amp; 5 + (ROW(A17)-1)*4)</f>
        <v>0.3006894</v>
      </c>
      <c r="N21" s="65" cm="1">
        <f t="array" aca="1" ref="N21" ca="1">INDIRECT("'Java Impact of Optimization'!R" &amp; 6 + (ROW(A17)-1)*4)</f>
        <v>79.006619999999998</v>
      </c>
      <c r="O21" s="64" cm="1">
        <f t="array" aca="1" ref="O21" ca="1">INDIRECT("'Java Impact of Optimization'!W" &amp; 5 + (ROW(A17)-1)*4)*100</f>
        <v>-99.656564606705984</v>
      </c>
      <c r="P21" s="64">
        <f t="shared" ca="1" si="0"/>
        <v>-99.660757150297741</v>
      </c>
    </row>
    <row r="22" spans="2:16" x14ac:dyDescent="0.25">
      <c r="B22" s="66" t="s">
        <v>61</v>
      </c>
      <c r="C22" s="65" cm="1">
        <f t="array" aca="1" ref="C22" ca="1">INDIRECT("'Java Impact of Optimization'!G" &amp; 3 + (ROW(A18)-1)*4)</f>
        <v>57.192</v>
      </c>
      <c r="D22" s="65" cm="1">
        <f t="array" aca="1" ref="D22" ca="1">INDIRECT("'Java Impact of Optimization'!G" &amp; 4 + (ROW(A18)-1)*4)</f>
        <v>345.85</v>
      </c>
      <c r="E22" s="64" cm="1">
        <f t="array" aca="1" ref="E22" ca="1">INDIRECT("'Java Impact of Optimization'!T" &amp; 3 + (ROW(A18)-1)*4)*100</f>
        <v>-83.463351163799331</v>
      </c>
      <c r="F22" s="65" cm="1">
        <f t="array" aca="1" ref="F22" ca="1">INDIRECT("'Java Impact of Optimization'!R" &amp; 3 + (ROW(A18)-1)*4)</f>
        <v>1442.3822399999999</v>
      </c>
      <c r="G22" s="65" cm="1">
        <f t="array" aca="1" ref="G22" ca="1">INDIRECT("'Java Impact of Optimization'!R" &amp; 4 + (ROW(A18)-1)*4)</f>
        <v>8027.1785</v>
      </c>
      <c r="H22" s="64" cm="1">
        <f t="array" aca="1" ref="H22" ca="1">INDIRECT("'Java Impact of Optimization'!W" &amp; 3 + (ROW(A18)-1)*4)*100</f>
        <v>-83.053593493521788</v>
      </c>
      <c r="I22" s="66" t="s">
        <v>61</v>
      </c>
      <c r="J22" s="65" cm="1">
        <f t="array" aca="1" ref="J22" ca="1">INDIRECT("'Java Impact of Optimization'!G" &amp; 5 + (ROW(A18)-1)*4)</f>
        <v>76.671000000000006</v>
      </c>
      <c r="K22" s="65" cm="1">
        <f t="array" aca="1" ref="K22" ca="1">INDIRECT("'Java Impact of Optimization'!G" &amp; 6 + (ROW(A18)-1)*4)</f>
        <v>502.5</v>
      </c>
      <c r="L22" s="64" cm="1">
        <f t="array" aca="1" ref="L22" ca="1">INDIRECT("'Java Impact of Optimization'!T" &amp; 5 + (ROW(A18)-1)*4)*100</f>
        <v>-84.742089552238809</v>
      </c>
      <c r="M22" s="65" cm="1">
        <f t="array" aca="1" ref="M22" ca="1">INDIRECT("'Java Impact of Optimization'!R" &amp; 5 + (ROW(A18)-1)*4)</f>
        <v>2019.51414</v>
      </c>
      <c r="N22" s="65" cm="1">
        <f t="array" aca="1" ref="N22" ca="1">INDIRECT("'Java Impact of Optimization'!R" &amp; 6 + (ROW(A18)-1)*4)</f>
        <v>12678.074999999999</v>
      </c>
      <c r="O22" s="64" cm="1">
        <f t="array" aca="1" ref="O22" ca="1">INDIRECT("'Java Impact of Optimization'!W" &amp; 5 + (ROW(A18)-1)*4)*100</f>
        <v>-85.014018093457139</v>
      </c>
      <c r="P22" s="64">
        <f t="shared" ca="1" si="0"/>
        <v>-84.033805793489464</v>
      </c>
    </row>
    <row r="23" spans="2:16" x14ac:dyDescent="0.25">
      <c r="B23" s="66" t="s">
        <v>63</v>
      </c>
      <c r="C23" s="65" cm="1">
        <f t="array" aca="1" ref="C23" ca="1">INDIRECT("'Java Impact of Optimization'!G" &amp; 3 + (ROW(A19)-1)*4)</f>
        <v>3.6650000000000002E-2</v>
      </c>
      <c r="D23" s="65" cm="1">
        <f t="array" aca="1" ref="D23" ca="1">INDIRECT("'Java Impact of Optimization'!G" &amp; 4 + (ROW(A19)-1)*4)</f>
        <v>4.7469999999999999</v>
      </c>
      <c r="E23" s="64" cm="1">
        <f t="array" aca="1" ref="E23" ca="1">INDIRECT("'Java Impact of Optimization'!T" &amp; 3 + (ROW(A19)-1)*4)*100</f>
        <v>-99.227933431641034</v>
      </c>
      <c r="F23" s="65" cm="1">
        <f t="array" aca="1" ref="F23" ca="1">INDIRECT("'Java Impact of Optimization'!R" &amp; 3 + (ROW(A19)-1)*4)</f>
        <v>0.76635149999999996</v>
      </c>
      <c r="G23" s="65" cm="1">
        <f t="array" aca="1" ref="G23" ca="1">INDIRECT("'Java Impact of Optimization'!R" &amp; 4 + (ROW(A19)-1)*4)</f>
        <v>103.19978</v>
      </c>
      <c r="H23" s="64" cm="1">
        <f t="array" aca="1" ref="H23" ca="1">INDIRECT("'Java Impact of Optimization'!W" &amp; 3 + (ROW(A19)-1)*4)*100</f>
        <v>-99.322922456735171</v>
      </c>
      <c r="I23" s="66" t="s">
        <v>63</v>
      </c>
      <c r="J23" s="65" cm="1">
        <f t="array" aca="1" ref="J23" ca="1">INDIRECT("'Java Impact of Optimization'!G" &amp; 5 + (ROW(A19)-1)*4)</f>
        <v>8.3770000000000011E-2</v>
      </c>
      <c r="K23" s="65" cm="1">
        <f t="array" aca="1" ref="K23" ca="1">INDIRECT("'Java Impact of Optimization'!G" &amp; 6 + (ROW(A19)-1)*4)</f>
        <v>4.9390000000000001</v>
      </c>
      <c r="L23" s="64" cm="1">
        <f t="array" aca="1" ref="L23" ca="1">INDIRECT("'Java Impact of Optimization'!T" &amp; 5 + (ROW(A19)-1)*4)*100</f>
        <v>-98.303907673618127</v>
      </c>
      <c r="M23" s="65" cm="1">
        <f t="array" aca="1" ref="M23" ca="1">INDIRECT("'Java Impact of Optimization'!R" &amp; 5 + (ROW(A19)-1)*4)</f>
        <v>1.9367624000000001</v>
      </c>
      <c r="N23" s="65" cm="1">
        <f t="array" aca="1" ref="N23" ca="1">INDIRECT("'Java Impact of Optimization'!R" &amp; 6 + (ROW(A19)-1)*4)</f>
        <v>108.658</v>
      </c>
      <c r="O23" s="64" cm="1">
        <f t="array" aca="1" ref="O23" ca="1">INDIRECT("'Java Impact of Optimization'!W" &amp; 5 + (ROW(A19)-1)*4)*100</f>
        <v>-98.436862261796819</v>
      </c>
      <c r="P23" s="64">
        <f t="shared" ca="1" si="0"/>
        <v>-98.879892359265995</v>
      </c>
    </row>
    <row r="24" spans="2:16" x14ac:dyDescent="0.25">
      <c r="B24" s="66" t="s">
        <v>65</v>
      </c>
      <c r="C24" s="65" cm="1">
        <f t="array" aca="1" ref="C24" ca="1">INDIRECT("'Java Impact of Optimization'!G" &amp; 3 + (ROW(A20)-1)*4)</f>
        <v>1.5700000000000002E-2</v>
      </c>
      <c r="D24" s="65" cm="1">
        <f t="array" aca="1" ref="D24" ca="1">INDIRECT("'Java Impact of Optimization'!G" &amp; 4 + (ROW(A20)-1)*4)</f>
        <v>13.457000000000001</v>
      </c>
      <c r="E24" s="64" cm="1">
        <f t="array" aca="1" ref="E24" ca="1">INDIRECT("'Java Impact of Optimization'!T" &amp; 3 + (ROW(A20)-1)*4)*100</f>
        <v>-99.883332094820531</v>
      </c>
      <c r="F24" s="65" cm="1">
        <f t="array" aca="1" ref="F24" ca="1">INDIRECT("'Java Impact of Optimization'!R" &amp; 3 + (ROW(A20)-1)*4)</f>
        <v>0.30018400000000001</v>
      </c>
      <c r="G24" s="65" cm="1">
        <f t="array" aca="1" ref="G24" ca="1">INDIRECT("'Java Impact of Optimization'!R" &amp; 4 + (ROW(A20)-1)*4)</f>
        <v>275.19565</v>
      </c>
      <c r="H24" s="64" cm="1">
        <f t="array" aca="1" ref="H24" ca="1">INDIRECT("'Java Impact of Optimization'!W" &amp; 3 + (ROW(A20)-1)*4)*100</f>
        <v>-99.886367663156989</v>
      </c>
      <c r="I24" s="66" t="s">
        <v>65</v>
      </c>
      <c r="J24" s="65" cm="1">
        <f t="array" aca="1" ref="J24" ca="1">INDIRECT("'Java Impact of Optimization'!G" &amp; 5 + (ROW(A20)-1)*4)</f>
        <v>1.5709999999999998E-2</v>
      </c>
      <c r="K24" s="65" cm="1">
        <f t="array" aca="1" ref="K24" ca="1">INDIRECT("'Java Impact of Optimization'!G" &amp; 6 + (ROW(A20)-1)*4)</f>
        <v>13.512</v>
      </c>
      <c r="L24" s="64" cm="1">
        <f t="array" aca="1" ref="L24" ca="1">INDIRECT("'Java Impact of Optimization'!T" &amp; 5 + (ROW(A20)-1)*4)*100</f>
        <v>-99.883732978093548</v>
      </c>
      <c r="M24" s="65" cm="1">
        <f t="array" aca="1" ref="M24" ca="1">INDIRECT("'Java Impact of Optimization'!R" &amp; 5 + (ROW(A20)-1)*4)</f>
        <v>0.3011607</v>
      </c>
      <c r="N24" s="65" cm="1">
        <f t="array" aca="1" ref="N24" ca="1">INDIRECT("'Java Impact of Optimization'!R" &amp; 6 + (ROW(A20)-1)*4)</f>
        <v>276.18527999999998</v>
      </c>
      <c r="O24" s="64" cm="1">
        <f t="array" aca="1" ref="O24" ca="1">INDIRECT("'Java Impact of Optimization'!W" &amp; 5 + (ROW(A20)-1)*4)*100</f>
        <v>-99.885060227202061</v>
      </c>
      <c r="P24" s="64">
        <f t="shared" ca="1" si="0"/>
        <v>-99.885713945179532</v>
      </c>
    </row>
    <row r="25" spans="2:16" x14ac:dyDescent="0.25">
      <c r="B25" s="66" t="s">
        <v>71</v>
      </c>
      <c r="C25" s="65" cm="1">
        <f t="array" aca="1" ref="C25" ca="1">INDIRECT("'Java Impact of Optimization'!G" &amp; 3 + (ROW(A21)-1)*4)</f>
        <v>0.59719999999999995</v>
      </c>
      <c r="D25" s="65" cm="1">
        <f t="array" aca="1" ref="D25" ca="1">INDIRECT("'Java Impact of Optimization'!G" &amp; 4 + (ROW(A21)-1)*4)</f>
        <v>22.46</v>
      </c>
      <c r="E25" s="64" cm="1">
        <f t="array" aca="1" ref="E25" ca="1">INDIRECT("'Java Impact of Optimization'!T" &amp; 3 + (ROW(A21)-1)*4)*100</f>
        <v>-97.341050756901154</v>
      </c>
      <c r="F25" s="65" cm="1">
        <f t="array" aca="1" ref="F25" ca="1">INDIRECT("'Java Impact of Optimization'!R" &amp; 3 + (ROW(A21)-1)*4)</f>
        <v>15.091244</v>
      </c>
      <c r="G25" s="65" cm="1">
        <f t="array" aca="1" ref="G25" ca="1">INDIRECT("'Java Impact of Optimization'!R" &amp; 4 + (ROW(A21)-1)*4)</f>
        <v>590.02420000000006</v>
      </c>
      <c r="H25" s="64" cm="1">
        <f t="array" aca="1" ref="H25" ca="1">INDIRECT("'Java Impact of Optimization'!W" &amp; 3 + (ROW(A21)-1)*4)*100</f>
        <v>-97.518314039774424</v>
      </c>
      <c r="I25" s="66" t="s">
        <v>71</v>
      </c>
      <c r="J25" s="65" cm="1">
        <f t="array" aca="1" ref="J25" ca="1">INDIRECT("'Java Impact of Optimization'!G" &amp; 5 + (ROW(A21)-1)*4)</f>
        <v>0.54500000000000004</v>
      </c>
      <c r="K25" s="65" cm="1">
        <f t="array" aca="1" ref="K25" ca="1">INDIRECT("'Java Impact of Optimization'!G" &amp; 6 + (ROW(A21)-1)*4)</f>
        <v>18.805</v>
      </c>
      <c r="L25" s="64" cm="1">
        <f t="array" aca="1" ref="L25" ca="1">INDIRECT("'Java Impact of Optimization'!T" &amp; 5 + (ROW(A21)-1)*4)*100</f>
        <v>-97.101834618452529</v>
      </c>
      <c r="M25" s="65" cm="1">
        <f t="array" aca="1" ref="M25" ca="1">INDIRECT("'Java Impact of Optimization'!R" &amp; 5 + (ROW(A21)-1)*4)</f>
        <v>13.91385</v>
      </c>
      <c r="N25" s="65" cm="1">
        <f t="array" aca="1" ref="N25" ca="1">INDIRECT("'Java Impact of Optimization'!R" &amp; 6 + (ROW(A21)-1)*4)</f>
        <v>493.06709999999998</v>
      </c>
      <c r="O25" s="64" cm="1">
        <f t="array" aca="1" ref="O25" ca="1">INDIRECT("'Java Impact of Optimization'!W" &amp; 5 + (ROW(A21)-1)*4)*100</f>
        <v>-97.280422170430015</v>
      </c>
      <c r="P25" s="64">
        <f t="shared" ca="1" si="0"/>
        <v>-97.399368105102212</v>
      </c>
    </row>
    <row r="26" spans="2:16" x14ac:dyDescent="0.25">
      <c r="B26" s="66" t="s">
        <v>79</v>
      </c>
      <c r="C26" s="65" cm="1">
        <f t="array" aca="1" ref="C26" ca="1">INDIRECT("'Java Impact of Optimization'!G" &amp; 3 + (ROW(A22)-1)*4)</f>
        <v>0.81101000000000001</v>
      </c>
      <c r="D26" s="65" cm="1">
        <f t="array" aca="1" ref="D26" ca="1">INDIRECT("'Java Impact of Optimization'!G" &amp; 4 + (ROW(A22)-1)*4)</f>
        <v>207.09</v>
      </c>
      <c r="E26" s="64" cm="1">
        <f t="array" aca="1" ref="E26" ca="1">INDIRECT("'Java Impact of Optimization'!T" &amp; 3 + (ROW(A22)-1)*4)*100</f>
        <v>-99.608377999903425</v>
      </c>
      <c r="F26" s="65" cm="1">
        <f t="array" aca="1" ref="F26" ca="1">INDIRECT("'Java Impact of Optimization'!R" &amp; 3 + (ROW(A22)-1)*4)</f>
        <v>21.8810498</v>
      </c>
      <c r="G26" s="65" cm="1">
        <f t="array" aca="1" ref="G26" ca="1">INDIRECT("'Java Impact of Optimization'!R" &amp; 4 + (ROW(A22)-1)*4)</f>
        <v>4545.6255000000001</v>
      </c>
      <c r="H26" s="64" cm="1">
        <f t="array" aca="1" ref="H26" ca="1">INDIRECT("'Java Impact of Optimization'!W" &amp; 3 + (ROW(A22)-1)*4)*100</f>
        <v>-99.501878661895219</v>
      </c>
      <c r="I26" s="66" t="s">
        <v>79</v>
      </c>
      <c r="J26" s="65" cm="1">
        <f t="array" aca="1" ref="J26" ca="1">INDIRECT("'Java Impact of Optimization'!G" &amp; 5 + (ROW(A22)-1)*4)</f>
        <v>0.81808999999999998</v>
      </c>
      <c r="K26" s="65" cm="1">
        <f t="array" aca="1" ref="K26" ca="1">INDIRECT("'Java Impact of Optimization'!G" &amp; 6 + (ROW(A22)-1)*4)</f>
        <v>52.569999999999993</v>
      </c>
      <c r="L26" s="64" cm="1">
        <f t="array" aca="1" ref="L26" ca="1">INDIRECT("'Java Impact of Optimization'!T" &amp; 5 + (ROW(A22)-1)*4)*100</f>
        <v>-98.443808255659121</v>
      </c>
      <c r="M26" s="65" cm="1">
        <f t="array" aca="1" ref="M26" ca="1">INDIRECT("'Java Impact of Optimization'!R" &amp; 5 + (ROW(A22)-1)*4)</f>
        <v>22.022982800000001</v>
      </c>
      <c r="N26" s="65" cm="1">
        <f t="array" aca="1" ref="N26" ca="1">INDIRECT("'Java Impact of Optimization'!R" &amp; 6 + (ROW(A22)-1)*4)</f>
        <v>1201.7501999999999</v>
      </c>
      <c r="O26" s="64" cm="1">
        <f t="array" aca="1" ref="O26" ca="1">INDIRECT("'Java Impact of Optimization'!W" &amp; 5 + (ROW(A22)-1)*4)*100</f>
        <v>-98.223354991262809</v>
      </c>
      <c r="P26" s="64">
        <f t="shared" ca="1" si="0"/>
        <v>-98.862616826579014</v>
      </c>
    </row>
    <row r="27" spans="2:16" x14ac:dyDescent="0.25">
      <c r="B27" s="66" t="s">
        <v>87</v>
      </c>
      <c r="C27" s="65" cm="1">
        <f t="array" aca="1" ref="C27" ca="1">INDIRECT("'Java Impact of Optimization'!G" &amp; 3 + (ROW(A23)-1)*4)</f>
        <v>1.5709999999999998E-2</v>
      </c>
      <c r="D27" s="65" cm="1">
        <f t="array" aca="1" ref="D27" ca="1">INDIRECT("'Java Impact of Optimization'!G" &amp; 4 + (ROW(A23)-1)*4)</f>
        <v>4.0490000000000004</v>
      </c>
      <c r="E27" s="64" cm="1">
        <f t="array" aca="1" ref="E27" ca="1">INDIRECT("'Java Impact of Optimization'!T" &amp; 3 + (ROW(A23)-1)*4)*100</f>
        <v>-99.612002963694735</v>
      </c>
      <c r="F27" s="65" cm="1">
        <f t="array" aca="1" ref="F27" ca="1">INDIRECT("'Java Impact of Optimization'!R" &amp; 3 + (ROW(A23)-1)*4)</f>
        <v>0.29801870000000003</v>
      </c>
      <c r="G27" s="65" cm="1">
        <f t="array" aca="1" ref="G27" ca="1">INDIRECT("'Java Impact of Optimization'!R" &amp; 4 + (ROW(A23)-1)*4)</f>
        <v>82.964010000000002</v>
      </c>
      <c r="H27" s="64" cm="1">
        <f t="array" aca="1" ref="H27" ca="1">INDIRECT("'Java Impact of Optimization'!W" &amp; 3 + (ROW(A23)-1)*4)*100</f>
        <v>-99.668444503952173</v>
      </c>
      <c r="I27" s="66" t="s">
        <v>87</v>
      </c>
      <c r="J27" s="65" cm="1">
        <f t="array" aca="1" ref="J27" ca="1">INDIRECT("'Java Impact of Optimization'!G" &amp; 5 + (ROW(A23)-1)*4)</f>
        <v>1.5700000000000002E-2</v>
      </c>
      <c r="K27" s="65" cm="1">
        <f t="array" aca="1" ref="K27" ca="1">INDIRECT("'Java Impact of Optimization'!G" &amp; 6 + (ROW(A23)-1)*4)</f>
        <v>3.7869999999999999</v>
      </c>
      <c r="L27" s="64" cm="1">
        <f t="array" aca="1" ref="L27" ca="1">INDIRECT("'Java Impact of Optimization'!T" &amp; 5 + (ROW(A23)-1)*4)*100</f>
        <v>-99.585423818325864</v>
      </c>
      <c r="M27" s="65" cm="1">
        <f t="array" aca="1" ref="M27" ca="1">INDIRECT("'Java Impact of Optimization'!R" &amp; 5 + (ROW(A23)-1)*4)</f>
        <v>0.29547400000000001</v>
      </c>
      <c r="N27" s="65" cm="1">
        <f t="array" aca="1" ref="N27" ca="1">INDIRECT("'Java Impact of Optimization'!R" &amp; 6 + (ROW(A23)-1)*4)</f>
        <v>77.103319999999997</v>
      </c>
      <c r="O27" s="64" cm="1">
        <f t="array" aca="1" ref="O27" ca="1">INDIRECT("'Java Impact of Optimization'!W" &amp; 5 + (ROW(A23)-1)*4)*100</f>
        <v>-99.645391847841736</v>
      </c>
      <c r="P27" s="64">
        <f t="shared" ca="1" si="0"/>
        <v>-99.656918175896948</v>
      </c>
    </row>
    <row r="28" spans="2:16" x14ac:dyDescent="0.25">
      <c r="B28" s="66" t="s">
        <v>91</v>
      </c>
      <c r="C28" s="65" cm="1">
        <f t="array" aca="1" ref="C28" ca="1">INDIRECT("'Java Impact of Optimization'!G" &amp; 3 + (ROW(A24)-1)*4)</f>
        <v>0.51968999999999999</v>
      </c>
      <c r="D28" s="65" cm="1">
        <f t="array" aca="1" ref="D28" ca="1">INDIRECT("'Java Impact of Optimization'!G" &amp; 4 + (ROW(A24)-1)*4)</f>
        <v>18.853000000000002</v>
      </c>
      <c r="E28" s="64" cm="1">
        <f t="array" aca="1" ref="E28" ca="1">INDIRECT("'Java Impact of Optimization'!T" &amp; 3 + (ROW(A24)-1)*4)*100</f>
        <v>-97.243462578899909</v>
      </c>
      <c r="F28" s="65" cm="1">
        <f t="array" aca="1" ref="F28" ca="1">INDIRECT("'Java Impact of Optimization'!R" &amp; 3 + (ROW(A24)-1)*4)</f>
        <v>12.992249999999999</v>
      </c>
      <c r="G28" s="65" cm="1">
        <f t="array" aca="1" ref="G28" ca="1">INDIRECT("'Java Impact of Optimization'!R" &amp; 4 + (ROW(A24)-1)*4)</f>
        <v>489.80094000000003</v>
      </c>
      <c r="H28" s="64" cm="1">
        <f t="array" aca="1" ref="H28" ca="1">INDIRECT("'Java Impact of Optimization'!W" &amp; 3 + (ROW(A24)-1)*4)*100</f>
        <v>-97.16292374642255</v>
      </c>
      <c r="I28" s="66" t="s">
        <v>91</v>
      </c>
      <c r="J28" s="65" cm="1">
        <f t="array" aca="1" ref="J28" ca="1">INDIRECT("'Java Impact of Optimization'!G" &amp; 5 + (ROW(A24)-1)*4)</f>
        <v>0.51008000000000009</v>
      </c>
      <c r="K28" s="65" cm="1">
        <f t="array" aca="1" ref="K28" ca="1">INDIRECT("'Java Impact of Optimization'!G" &amp; 6 + (ROW(A24)-1)*4)</f>
        <v>14.739000000000001</v>
      </c>
      <c r="L28" s="64" cm="1">
        <f t="array" aca="1" ref="L28" ca="1">INDIRECT("'Java Impact of Optimization'!T" &amp; 5 + (ROW(A24)-1)*4)*100</f>
        <v>-96.539249609878553</v>
      </c>
      <c r="M28" s="65" cm="1">
        <f t="array" aca="1" ref="M28" ca="1">INDIRECT("'Java Impact of Optimization'!R" &amp; 5 + (ROW(A24)-1)*4)</f>
        <v>12.838713600000002</v>
      </c>
      <c r="N28" s="65" cm="1">
        <f t="array" aca="1" ref="N28" ca="1">INDIRECT("'Java Impact of Optimization'!R" &amp; 6 + (ROW(A24)-1)*4)</f>
        <v>384.24572999999998</v>
      </c>
      <c r="O28" s="64" cm="1">
        <f t="array" aca="1" ref="O28" ca="1">INDIRECT("'Java Impact of Optimization'!W" &amp; 5 + (ROW(A24)-1)*4)*100</f>
        <v>-96.441579146278499</v>
      </c>
      <c r="P28" s="64">
        <f t="shared" ca="1" si="0"/>
        <v>-96.802251446350525</v>
      </c>
    </row>
    <row r="29" spans="2:16" x14ac:dyDescent="0.25">
      <c r="B29" s="66" t="s">
        <v>93</v>
      </c>
      <c r="C29" s="65" cm="1">
        <f t="array" aca="1" ref="C29" ca="1">INDIRECT("'Java Impact of Optimization'!G" &amp; 3 + (ROW(A25)-1)*4)</f>
        <v>225.60300000000001</v>
      </c>
      <c r="D29" s="65" cm="1">
        <f t="array" aca="1" ref="D29" ca="1">INDIRECT("'Java Impact of Optimization'!G" &amp; 4 + (ROW(A25)-1)*4)</f>
        <v>2229.58</v>
      </c>
      <c r="E29" s="64" cm="1">
        <f t="array" aca="1" ref="E29" ca="1">INDIRECT("'Java Impact of Optimization'!T" &amp; 3 + (ROW(A25)-1)*4)*100</f>
        <v>-89.881367791243193</v>
      </c>
      <c r="F29" s="65" cm="1">
        <f t="array" aca="1" ref="F29" ca="1">INDIRECT("'Java Impact of Optimization'!R" &amp; 3 + (ROW(A25)-1)*4)</f>
        <v>6630.47217</v>
      </c>
      <c r="G29" s="65" cm="1">
        <f t="array" aca="1" ref="G29" ca="1">INDIRECT("'Java Impact of Optimization'!R" &amp; 4 + (ROW(A25)-1)*4)</f>
        <v>61603.295399999995</v>
      </c>
      <c r="H29" s="64" cm="1">
        <f t="array" aca="1" ref="H29" ca="1">INDIRECT("'Java Impact of Optimization'!W" &amp; 3 + (ROW(A25)-1)*4)*100</f>
        <v>-89.242264094769894</v>
      </c>
      <c r="I29" s="66" t="s">
        <v>93</v>
      </c>
      <c r="J29" s="65" cm="1">
        <f t="array" aca="1" ref="J29" ca="1">INDIRECT("'Java Impact of Optimization'!G" &amp; 5 + (ROW(A25)-1)*4)</f>
        <v>167.15799999999999</v>
      </c>
      <c r="K29" s="65" cm="1">
        <f t="array" aca="1" ref="K29" ca="1">INDIRECT("'Java Impact of Optimization'!G" &amp; 6 + (ROW(A25)-1)*4)</f>
        <v>1141.71</v>
      </c>
      <c r="L29" s="64" cm="1">
        <f t="array" aca="1" ref="L29" ca="1">INDIRECT("'Java Impact of Optimization'!T" &amp; 5 + (ROW(A25)-1)*4)*100</f>
        <v>-85.358979075246779</v>
      </c>
      <c r="M29" s="65" cm="1">
        <f t="array" aca="1" ref="M29" ca="1">INDIRECT("'Java Impact of Optimization'!R" &amp; 5 + (ROW(A25)-1)*4)</f>
        <v>5143.4516599999997</v>
      </c>
      <c r="N29" s="65" cm="1">
        <f t="array" aca="1" ref="N29" ca="1">INDIRECT("'Java Impact of Optimization'!R" &amp; 6 + (ROW(A25)-1)*4)</f>
        <v>32024.965499999998</v>
      </c>
      <c r="O29" s="64" cm="1">
        <f t="array" aca="1" ref="O29" ca="1">INDIRECT("'Java Impact of Optimization'!W" &amp; 5 + (ROW(A25)-1)*4)*100</f>
        <v>-83.673884532433377</v>
      </c>
      <c r="P29" s="64">
        <f t="shared" ca="1" si="0"/>
        <v>-86.458074313601628</v>
      </c>
    </row>
    <row r="30" spans="2:16" x14ac:dyDescent="0.25">
      <c r="B30" s="23" t="s">
        <v>95</v>
      </c>
      <c r="C30" s="65" cm="1">
        <f t="array" aca="1" ref="C30" ca="1">INDIRECT("'Java Impact of Optimization'!G" &amp; 3 + (ROW(A26)-1)*4)</f>
        <v>30.221</v>
      </c>
      <c r="D30" s="65" cm="1">
        <f t="array" aca="1" ref="D30" ca="1">INDIRECT("'Java Impact of Optimization'!G" &amp; 4 + (ROW(A26)-1)*4)</f>
        <v>1457.33</v>
      </c>
      <c r="E30" s="64" cm="1">
        <f t="array" aca="1" ref="E30" ca="1">INDIRECT("'Java Impact of Optimization'!T" &amp; 3 + (ROW(A26)-1)*4)*100</f>
        <v>-97.926276135123828</v>
      </c>
      <c r="F30" s="65" cm="1">
        <f t="array" aca="1" ref="F30" ca="1">INDIRECT("'Java Impact of Optimization'!R" &amp; 3 + (ROW(A26)-1)*4)</f>
        <v>871.57363999999995</v>
      </c>
      <c r="G30" s="65" cm="1">
        <f t="array" aca="1" ref="G30" ca="1">INDIRECT("'Java Impact of Optimization'!R" &amp; 4 + (ROW(A26)-1)*4)</f>
        <v>37089.048499999997</v>
      </c>
      <c r="H30" s="64" cm="1">
        <f t="array" aca="1" ref="H30" ca="1">INDIRECT("'Java Impact of Optimization'!W" &amp; 3 + (ROW(A26)-1)*4)*100</f>
        <v>-97.592639563243608</v>
      </c>
      <c r="I30" s="23" t="s">
        <v>95</v>
      </c>
      <c r="J30" s="65" cm="1">
        <f t="array" aca="1" ref="J30" ca="1">INDIRECT("'Java Impact of Optimization'!G" &amp; 5 + (ROW(A26)-1)*4)</f>
        <v>24.710999999999999</v>
      </c>
      <c r="K30" s="65" cm="1">
        <f t="array" aca="1" ref="K30" ca="1">INDIRECT("'Java Impact of Optimization'!G" &amp; 6 + (ROW(A26)-1)*4)</f>
        <v>873.3</v>
      </c>
      <c r="L30" s="64" cm="1">
        <f t="array" aca="1" ref="L30" ca="1">INDIRECT("'Java Impact of Optimization'!T" &amp; 5 + (ROW(A26)-1)*4)*100</f>
        <v>-97.170388182755062</v>
      </c>
      <c r="M30" s="65" cm="1">
        <f t="array" aca="1" ref="M30" ca="1">INDIRECT("'Java Impact of Optimization'!R" &amp; 5 + (ROW(A26)-1)*4)</f>
        <v>705.99326999999994</v>
      </c>
      <c r="N30" s="65" cm="1">
        <f t="array" aca="1" ref="N30" ca="1">INDIRECT("'Java Impact of Optimization'!R" &amp; 6 + (ROW(A26)-1)*4)</f>
        <v>22871.726999999999</v>
      </c>
      <c r="O30" s="64" cm="1">
        <f t="array" aca="1" ref="O30" ca="1">INDIRECT("'Java Impact of Optimization'!W" &amp; 5 + (ROW(A26)-1)*4)*100</f>
        <v>-96.915206295126808</v>
      </c>
      <c r="P30" s="64">
        <f t="shared" ca="1" si="0"/>
        <v>-97.253922929185208</v>
      </c>
    </row>
    <row r="33" spans="2:15" ht="15.75" x14ac:dyDescent="0.25">
      <c r="B33" s="85" t="s">
        <v>205</v>
      </c>
      <c r="C33" s="87"/>
      <c r="D33" s="87"/>
      <c r="E33" s="86"/>
      <c r="G33" s="85" t="s">
        <v>205</v>
      </c>
      <c r="H33" s="87"/>
      <c r="I33" s="87"/>
      <c r="J33" s="86"/>
      <c r="L33" s="85" t="s">
        <v>205</v>
      </c>
      <c r="M33" s="87"/>
      <c r="N33" s="87"/>
      <c r="O33" s="86"/>
    </row>
    <row r="34" spans="2:15" x14ac:dyDescent="0.25">
      <c r="B34" s="82" t="s">
        <v>111</v>
      </c>
      <c r="C34" s="83"/>
      <c r="D34" s="83"/>
      <c r="E34" s="84"/>
      <c r="G34" s="82" t="s">
        <v>114</v>
      </c>
      <c r="H34" s="83"/>
      <c r="I34" s="83"/>
      <c r="J34" s="84"/>
      <c r="L34" s="82" t="s">
        <v>211</v>
      </c>
      <c r="M34" s="83"/>
      <c r="N34" s="83"/>
      <c r="O34" s="84"/>
    </row>
    <row r="35" spans="2:15" x14ac:dyDescent="0.25">
      <c r="B35" s="39" t="s">
        <v>149</v>
      </c>
      <c r="C35" s="40" t="s">
        <v>173</v>
      </c>
      <c r="D35" s="40" t="s">
        <v>174</v>
      </c>
      <c r="E35" s="41" t="s">
        <v>175</v>
      </c>
      <c r="G35" s="39" t="s">
        <v>149</v>
      </c>
      <c r="H35" s="40" t="s">
        <v>173</v>
      </c>
      <c r="I35" s="40" t="s">
        <v>174</v>
      </c>
      <c r="J35" s="41" t="s">
        <v>175</v>
      </c>
      <c r="L35" s="39" t="s">
        <v>149</v>
      </c>
      <c r="M35" s="40" t="s">
        <v>173</v>
      </c>
      <c r="N35" s="40" t="s">
        <v>174</v>
      </c>
      <c r="O35" s="41" t="s">
        <v>175</v>
      </c>
    </row>
    <row r="36" spans="2:15" x14ac:dyDescent="0.25">
      <c r="B36" s="5" t="s">
        <v>176</v>
      </c>
      <c r="C36" s="28" cm="1">
        <f t="array" aca="1" ref="C36" ca="1">AVERAGE(_xlfn._xlws.FILTER($H$5:$H$30, ISNUMBER(MATCH($B$5:$B$30, _xlfn.TEXTSPLIT(_xlfn.TEXTJOIN(", ", TRUE, S6:S8), ", "), 0))))</f>
        <v>-96.068989760615239</v>
      </c>
      <c r="D36" s="28" cm="1">
        <f t="array" aca="1" ref="D36" ca="1">MIN(_xlfn._xlws.FILTER($H$5:$H$30, ISNUMBER(MATCH($B$5:$B$30, _xlfn.TEXTSPLIT(_xlfn.TEXTJOIN(", ", TRUE, S6:S8), ", "), 0))))</f>
        <v>-99.956076560918049</v>
      </c>
      <c r="E36" s="28" cm="1">
        <f t="array" aca="1" ref="E36" ca="1">MAX(_xlfn._xlws.FILTER($H$5:$H$30, ISNUMBER(MATCH($B$5:$B$30, _xlfn.TEXTSPLIT(_xlfn.TEXTJOIN(", ", TRUE, S6:S8), ", "), 0))))</f>
        <v>-51.310855569574663</v>
      </c>
      <c r="G36" s="5" t="s">
        <v>176</v>
      </c>
      <c r="H36" s="28" cm="1">
        <f t="array" aca="1" ref="H36" ca="1">AVERAGE(_xlfn._xlws.FILTER($O$5:$O$30, ISNUMBER(MATCH($I$5:$I$30, _xlfn.TEXTSPLIT(_xlfn.TEXTJOIN(", ", TRUE, V6:V8), ", "), 0))))</f>
        <v>-97.619189165462032</v>
      </c>
      <c r="I36" s="28" cm="1">
        <f t="array" aca="1" ref="I36" ca="1">MIN(_xlfn._xlws.FILTER($O$5:$O$30, ISNUMBER(MATCH($I$5:$I$30, _xlfn.TEXTSPLIT(_xlfn.TEXTJOIN(", ", TRUE, V6:V8), ", "), 0))))</f>
        <v>-99.988553134653628</v>
      </c>
      <c r="J36" s="28" cm="1">
        <f t="array" aca="1" ref="J36" ca="1">MAX(_xlfn._xlws.FILTER($O$5:$O$30, ISNUMBER(MATCH($I$5:$I$30, _xlfn.TEXTSPLIT(_xlfn.TEXTJOIN(", ", TRUE, V6:V8), ", "), 0))))</f>
        <v>-83.673884532433377</v>
      </c>
      <c r="L36" s="5" t="s">
        <v>176</v>
      </c>
      <c r="M36" s="28">
        <f ca="1">AVERAGE(C36,H36)</f>
        <v>-96.844089463038642</v>
      </c>
      <c r="N36" s="28">
        <f ca="1">MIN(D36,I36)</f>
        <v>-99.988553134653628</v>
      </c>
      <c r="O36" s="28">
        <f ca="1">MAX(E36,J36)</f>
        <v>-51.310855569574663</v>
      </c>
    </row>
    <row r="37" spans="2:15" x14ac:dyDescent="0.25">
      <c r="B37" s="5" t="s">
        <v>177</v>
      </c>
      <c r="C37" s="28" t="e" cm="1" vm="1">
        <f t="array" aca="1" ref="C37" ca="1">AVERAGE(_xlfn._xlws.FILTER($H$5:$H$30, ISNUMBER(MATCH($B$5:$B$30, _xlfn.TEXTSPLIT(_xlfn.TEXTJOIN(", ", TRUE, S9), ", "), 0))))</f>
        <v>#VALUE!</v>
      </c>
      <c r="D37" s="28" t="e" cm="1" vm="1">
        <f t="array" aca="1" ref="D37" ca="1">MIN(_xlfn._xlws.FILTER($H$5:$H$30, ISNUMBER(MATCH($B$5:$B$30, _xlfn.TEXTSPLIT(_xlfn.TEXTJOIN(", ", TRUE, S9), ", "), 0))))</f>
        <v>#VALUE!</v>
      </c>
      <c r="E37" s="28" t="e" cm="1" vm="1">
        <f t="array" aca="1" ref="E37" ca="1">MAX(_xlfn._xlws.FILTER($H$5:$H$30, ISNUMBER(MATCH($B$5:$B$30, _xlfn.TEXTSPLIT(_xlfn.TEXTJOIN(", ", TRUE, S9), ", "), 0))))</f>
        <v>#VALUE!</v>
      </c>
      <c r="G37" s="5" t="s">
        <v>177</v>
      </c>
      <c r="H37" s="28" t="e" cm="1" vm="1">
        <f t="array" aca="1" ref="H37" ca="1">AVERAGE(_xlfn._xlws.FILTER($O$5:$O$30, ISNUMBER(MATCH($I$5:$I$30, _xlfn.TEXTSPLIT(_xlfn.TEXTJOIN(", ", TRUE, V9), ", "), 0))))</f>
        <v>#VALUE!</v>
      </c>
      <c r="I37" s="28" t="e" cm="1" vm="1">
        <f t="array" aca="1" ref="I37" ca="1">MIN(_xlfn._xlws.FILTER($O$5:$O$30, ISNUMBER(MATCH($I$5:$I$30, _xlfn.TEXTSPLIT(_xlfn.TEXTJOIN(", ", TRUE, V9), ", "), 0))))</f>
        <v>#VALUE!</v>
      </c>
      <c r="J37" s="28" t="e" cm="1" vm="1">
        <f t="array" aca="1" ref="J37" ca="1">MAX(_xlfn._xlws.FILTER($O$5:$O$30, ISNUMBER(MATCH($I$5:$I$30, _xlfn.TEXTSPLIT(_xlfn.TEXTJOIN(", ", TRUE, V9), ", "), 0))))</f>
        <v>#VALUE!</v>
      </c>
      <c r="L37" s="5" t="s">
        <v>177</v>
      </c>
      <c r="M37" s="28" t="e" vm="2">
        <f ca="1">AVERAGE(C37,H37)</f>
        <v>#VALUE!</v>
      </c>
      <c r="N37" s="28" t="e" vm="2">
        <f ca="1">MIN(D37,I37)</f>
        <v>#VALUE!</v>
      </c>
      <c r="O37" s="28" t="e" vm="2">
        <f ca="1">MAX(E37,J37)</f>
        <v>#VALUE!</v>
      </c>
    </row>
    <row r="38" spans="2:15" x14ac:dyDescent="0.25">
      <c r="B38" s="5" t="s">
        <v>178</v>
      </c>
      <c r="C38" s="28" t="e" cm="1" vm="1">
        <f t="array" aca="1" ref="C38" ca="1">AVERAGE(_xlfn._xlws.FILTER($H$5:$H$30, ISNUMBER(MATCH($B$5:$B$30, _xlfn.TEXTSPLIT(_xlfn.TEXTJOIN(", ", TRUE, S10:S12), ", "), 0))))</f>
        <v>#VALUE!</v>
      </c>
      <c r="D38" s="28" t="e" cm="1" vm="1">
        <f t="array" aca="1" ref="D38" ca="1">MIN(_xlfn._xlws.FILTER($H$5:$H$30, ISNUMBER(MATCH($B$5:$B$30, _xlfn.TEXTSPLIT(_xlfn.TEXTJOIN(", ", TRUE, S10:S12), ", "), 0))))</f>
        <v>#VALUE!</v>
      </c>
      <c r="E38" s="28" t="e" cm="1" vm="1">
        <f t="array" aca="1" ref="E38" ca="1">MAX(_xlfn._xlws.FILTER($H$5:$H$30, ISNUMBER(MATCH($B$5:$B$30, _xlfn.TEXTSPLIT(_xlfn.TEXTJOIN(", ", TRUE, S10:S12), ", "), 0))))</f>
        <v>#VALUE!</v>
      </c>
      <c r="G38" s="5" t="s">
        <v>178</v>
      </c>
      <c r="H38" s="28" t="e" cm="1" vm="1">
        <f t="array" aca="1" ref="H38" ca="1">AVERAGE(_xlfn._xlws.FILTER($O$5:$O$30, ISNUMBER(MATCH($I$5:$I$30, _xlfn.TEXTSPLIT(_xlfn.TEXTJOIN(", ", TRUE, V10:V12), ", "), 0))))</f>
        <v>#VALUE!</v>
      </c>
      <c r="I38" s="28" t="e" cm="1" vm="1">
        <f t="array" aca="1" ref="I38" ca="1">MIN(_xlfn._xlws.FILTER($O$5:$O$30, ISNUMBER(MATCH($I$5:$I$30, _xlfn.TEXTSPLIT(_xlfn.TEXTJOIN(", ", TRUE, V10:V12), ", "), 0))))</f>
        <v>#VALUE!</v>
      </c>
      <c r="J38" s="28" t="e" cm="1" vm="1">
        <f t="array" aca="1" ref="J38" ca="1">MAX(_xlfn._xlws.FILTER($O$5:$O$30, ISNUMBER(MATCH($I$5:$I$30, _xlfn.TEXTSPLIT(_xlfn.TEXTJOIN(", ", TRUE, V10:V12), ", "), 0))))</f>
        <v>#VALUE!</v>
      </c>
      <c r="L38" s="5" t="s">
        <v>178</v>
      </c>
      <c r="M38" s="28" t="e" vm="2">
        <f ca="1">AVERAGE(C38,H38)</f>
        <v>#VALUE!</v>
      </c>
      <c r="N38" s="28" t="e" vm="2">
        <f ca="1">MIN(D38,I38)</f>
        <v>#VALUE!</v>
      </c>
      <c r="O38" s="28" t="e" vm="2">
        <f ca="1">MAX(E38,J38)</f>
        <v>#VALUE!</v>
      </c>
    </row>
    <row r="39" spans="2:15" x14ac:dyDescent="0.25">
      <c r="B39" s="5" t="s">
        <v>121</v>
      </c>
      <c r="C39" s="28" cm="1">
        <f t="array" aca="1" ref="C39" ca="1">AVERAGE(_xlfn._xlws.FILTER($H$5:$H$30, ISNUMBER(MATCH($B$5:$B$30, _xlfn.TEXTSPLIT(_xlfn.TEXTJOIN(", ", TRUE, S6:S12), ", "), 0))))</f>
        <v>-96.068989760615239</v>
      </c>
      <c r="D39" s="28" cm="1">
        <f t="array" aca="1" ref="D39" ca="1">MIN(_xlfn._xlws.FILTER($H$5:$H$30, ISNUMBER(MATCH($B$5:$B$30, _xlfn.TEXTSPLIT(_xlfn.TEXTJOIN(", ", TRUE, S6:S12), ", "), 0))))</f>
        <v>-99.956076560918049</v>
      </c>
      <c r="E39" s="28" cm="1">
        <f t="array" aca="1" ref="E39" ca="1">MAX(_xlfn._xlws.FILTER($H$5:$H$30, ISNUMBER(MATCH($B$5:$B$30, _xlfn.TEXTSPLIT(_xlfn.TEXTJOIN(", ", TRUE, S6:S12), ", "), 0))))</f>
        <v>-51.310855569574663</v>
      </c>
      <c r="G39" s="5" t="s">
        <v>121</v>
      </c>
      <c r="H39" s="28" cm="1">
        <f t="array" aca="1" ref="H39" ca="1">AVERAGE(_xlfn._xlws.FILTER($O$5:$O$30, ISNUMBER(MATCH($I$5:$I$30, _xlfn.TEXTSPLIT(_xlfn.TEXTJOIN(", ", TRUE, V6:V12), ", "), 0))))</f>
        <v>-97.619189165462032</v>
      </c>
      <c r="I39" s="28" cm="1">
        <f t="array" aca="1" ref="I39" ca="1">MIN(_xlfn._xlws.FILTER($O$5:$O$30, ISNUMBER(MATCH($I$5:$I$30, _xlfn.TEXTSPLIT(_xlfn.TEXTJOIN(", ", TRUE, V6:V12), ", "), 0))))</f>
        <v>-99.988553134653628</v>
      </c>
      <c r="J39" s="28" cm="1">
        <f t="array" aca="1" ref="J39" ca="1">MAX(_xlfn._xlws.FILTER($O$5:$O$30, ISNUMBER(MATCH($I$5:$I$30, _xlfn.TEXTSPLIT(_xlfn.TEXTJOIN(", ", TRUE, V6:V12), ", "), 0))))</f>
        <v>-83.673884532433377</v>
      </c>
      <c r="L39" s="5" t="s">
        <v>121</v>
      </c>
      <c r="M39" s="28">
        <f ca="1">AVERAGE(C39,H39)</f>
        <v>-96.844089463038642</v>
      </c>
      <c r="N39" s="28">
        <f ca="1">MIN(D39,I39)</f>
        <v>-99.988553134653628</v>
      </c>
      <c r="O39" s="28">
        <f ca="1">MAX(E39,J39)</f>
        <v>-51.310855569574663</v>
      </c>
    </row>
    <row r="44" spans="2:15" x14ac:dyDescent="0.25">
      <c r="G44" s="1"/>
    </row>
  </sheetData>
  <mergeCells count="16">
    <mergeCell ref="R4:S4"/>
    <mergeCell ref="R3:S3"/>
    <mergeCell ref="U3:V3"/>
    <mergeCell ref="U4:V4"/>
    <mergeCell ref="B34:E34"/>
    <mergeCell ref="L33:O33"/>
    <mergeCell ref="L34:O34"/>
    <mergeCell ref="G34:J34"/>
    <mergeCell ref="B33:E33"/>
    <mergeCell ref="G33:J33"/>
    <mergeCell ref="C2:H2"/>
    <mergeCell ref="J2:O2"/>
    <mergeCell ref="C3:E3"/>
    <mergeCell ref="F3:H3"/>
    <mergeCell ref="J3:L3"/>
    <mergeCell ref="M3:O3"/>
  </mergeCells>
  <conditionalFormatting sqref="E5:E30">
    <cfRule type="expression" dxfId="55" priority="15">
      <formula>AND(E5 &gt; -3, E5 &lt; 3)</formula>
    </cfRule>
    <cfRule type="expression" dxfId="54" priority="16">
      <formula>AND(E5 &gt; -25, E5 &lt;= -3)</formula>
    </cfRule>
    <cfRule type="expression" dxfId="53" priority="17">
      <formula>AND(E5 &gt; -75, E5 &lt;= -25)</formula>
    </cfRule>
    <cfRule type="expression" dxfId="52" priority="18">
      <formula>E5 &lt;= -75</formula>
    </cfRule>
    <cfRule type="expression" dxfId="51" priority="19">
      <formula>AND(E5 &lt; 25, E5 &gt;= 3)</formula>
    </cfRule>
    <cfRule type="expression" dxfId="50" priority="20">
      <formula>AND(E5 &lt; 75, E5 &gt;= 25)</formula>
    </cfRule>
    <cfRule type="expression" dxfId="49" priority="21">
      <formula>E5 &gt;= 75</formula>
    </cfRule>
  </conditionalFormatting>
  <conditionalFormatting sqref="H5:H30">
    <cfRule type="expression" dxfId="48" priority="29">
      <formula>AND(H5 &gt; -3, H5 &lt; 3)</formula>
    </cfRule>
    <cfRule type="expression" dxfId="47" priority="30">
      <formula>AND(H5 &gt; -25, H5 &lt;= -3)</formula>
    </cfRule>
    <cfRule type="expression" dxfId="46" priority="31">
      <formula>AND(H5 &gt; -75, H5 &lt;= -25)</formula>
    </cfRule>
    <cfRule type="expression" dxfId="45" priority="32">
      <formula>H5 &lt;= -75</formula>
    </cfRule>
    <cfRule type="expression" dxfId="44" priority="33">
      <formula>AND(H5 &lt; 25, H5 &gt;= 3)</formula>
    </cfRule>
    <cfRule type="expression" dxfId="43" priority="34">
      <formula>AND(H5 &lt; 75, H5 &gt;= 25)</formula>
    </cfRule>
    <cfRule type="expression" dxfId="42" priority="35">
      <formula>H5 &gt;= 75</formula>
    </cfRule>
  </conditionalFormatting>
  <conditionalFormatting sqref="L5:L30">
    <cfRule type="expression" dxfId="41" priority="8">
      <formula>AND(L5 &gt; -3, L5 &lt; 3)</formula>
    </cfRule>
    <cfRule type="expression" dxfId="40" priority="9">
      <formula>AND(L5 &gt; -25, L5 &lt;= -3)</formula>
    </cfRule>
    <cfRule type="expression" dxfId="39" priority="10">
      <formula>AND(L5 &gt; -75, L5 &lt;= -25)</formula>
    </cfRule>
    <cfRule type="expression" dxfId="38" priority="11">
      <formula>L5 &lt;= -75</formula>
    </cfRule>
    <cfRule type="expression" dxfId="37" priority="12">
      <formula>AND(L5 &lt; 25, L5 &gt;= 3)</formula>
    </cfRule>
    <cfRule type="expression" dxfId="36" priority="13">
      <formula>AND(L5 &lt; 75, L5 &gt;= 25)</formula>
    </cfRule>
    <cfRule type="expression" dxfId="35" priority="14">
      <formula>L5 &gt;= 75</formula>
    </cfRule>
  </conditionalFormatting>
  <conditionalFormatting sqref="O5:P30">
    <cfRule type="expression" dxfId="34" priority="1">
      <formula>AND(O5 &gt; -3, O5 &lt; 3)</formula>
    </cfRule>
    <cfRule type="expression" dxfId="33" priority="2">
      <formula>AND(O5 &gt; -25, O5 &lt;= -3)</formula>
    </cfRule>
    <cfRule type="expression" dxfId="32" priority="3">
      <formula>AND(O5 &gt; -75, O5 &lt;= -25)</formula>
    </cfRule>
    <cfRule type="expression" dxfId="31" priority="4">
      <formula>O5 &lt;= -75</formula>
    </cfRule>
    <cfRule type="expression" dxfId="30" priority="5">
      <formula>AND(O5 &lt; 25, O5 &gt;= 3)</formula>
    </cfRule>
    <cfRule type="expression" dxfId="29" priority="6">
      <formula>AND(O5 &lt; 75, O5 &gt;= 25)</formula>
    </cfRule>
    <cfRule type="expression" dxfId="28" priority="7">
      <formula>O5 &gt;= 75</formula>
    </cfRule>
  </conditionalFormatting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48F6D-F671-433F-9A07-6A8766BB65D9}">
  <dimension ref="B3:C70"/>
  <sheetViews>
    <sheetView zoomScale="70" zoomScaleNormal="70" workbookViewId="0">
      <selection activeCell="C20" sqref="C20"/>
    </sheetView>
  </sheetViews>
  <sheetFormatPr baseColWidth="10" defaultRowHeight="15" x14ac:dyDescent="0.25"/>
  <cols>
    <col min="2" max="2" width="103.85546875" customWidth="1"/>
    <col min="3" max="3" width="14.42578125" customWidth="1"/>
  </cols>
  <sheetData>
    <row r="3" spans="2:3" x14ac:dyDescent="0.25">
      <c r="B3" s="126" t="s">
        <v>189</v>
      </c>
      <c r="C3" s="126"/>
    </row>
    <row r="4" spans="2:3" x14ac:dyDescent="0.25">
      <c r="B4" s="5" t="s">
        <v>119</v>
      </c>
      <c r="C4" s="4">
        <f>COUNTIFS('C Impact of Technique'!Q3:Q106,"&lt;=-0.03")</f>
        <v>26</v>
      </c>
    </row>
    <row r="5" spans="2:3" x14ac:dyDescent="0.25">
      <c r="B5" s="5" t="s">
        <v>163</v>
      </c>
      <c r="C5" s="4">
        <f>COUNTIFS('C Impact of Technique'!Q3:Q106,"&gt;-0.03",'C Impact of Technique'!Q3:Q106,"&lt;0.03")</f>
        <v>14</v>
      </c>
    </row>
    <row r="6" spans="2:3" x14ac:dyDescent="0.25">
      <c r="B6" s="5" t="s">
        <v>120</v>
      </c>
      <c r="C6" s="4">
        <f>COUNTIFS('C Impact of Technique'!Q3:Q106,"&gt;=0.03")</f>
        <v>12</v>
      </c>
    </row>
    <row r="7" spans="2:3" x14ac:dyDescent="0.25">
      <c r="B7" s="5" t="s">
        <v>121</v>
      </c>
      <c r="C7" s="4">
        <f>SUM(C4:C6)</f>
        <v>52</v>
      </c>
    </row>
    <row r="10" spans="2:3" x14ac:dyDescent="0.25">
      <c r="B10" s="126" t="s">
        <v>190</v>
      </c>
      <c r="C10" s="126"/>
    </row>
    <row r="11" spans="2:3" x14ac:dyDescent="0.25">
      <c r="B11" s="5" t="s">
        <v>119</v>
      </c>
      <c r="C11" s="4">
        <f>COUNTIFS('Python Impact of Technique'!V3:V106,"&lt;=-0.03")</f>
        <v>30</v>
      </c>
    </row>
    <row r="12" spans="2:3" x14ac:dyDescent="0.25">
      <c r="B12" s="5" t="s">
        <v>163</v>
      </c>
      <c r="C12" s="4">
        <f>COUNTIFS('Python Impact of Technique'!V3:V106,"&gt;-0.03",'Python Impact of Technique'!V3:V106,"&lt;0.03")</f>
        <v>7</v>
      </c>
    </row>
    <row r="13" spans="2:3" x14ac:dyDescent="0.25">
      <c r="B13" s="5" t="s">
        <v>120</v>
      </c>
      <c r="C13" s="4">
        <f>COUNTIFS('Python Impact of Technique'!V3:V106,"&gt;=0.03")</f>
        <v>15</v>
      </c>
    </row>
    <row r="14" spans="2:3" x14ac:dyDescent="0.25">
      <c r="B14" s="5" t="s">
        <v>121</v>
      </c>
      <c r="C14" s="4">
        <f>SUM(C11:C13)</f>
        <v>52</v>
      </c>
    </row>
    <row r="17" spans="2:3" x14ac:dyDescent="0.25">
      <c r="B17" s="126" t="s">
        <v>191</v>
      </c>
      <c r="C17" s="126"/>
    </row>
    <row r="18" spans="2:3" x14ac:dyDescent="0.25">
      <c r="B18" s="5" t="s">
        <v>119</v>
      </c>
      <c r="C18" s="4">
        <f>COUNTIFS('Java Impact of Technique'!W3:W106,"&lt;=-0.03")</f>
        <v>25</v>
      </c>
    </row>
    <row r="19" spans="2:3" x14ac:dyDescent="0.25">
      <c r="B19" s="5" t="s">
        <v>163</v>
      </c>
      <c r="C19" s="4">
        <f>COUNTIFS('Java Impact of Technique'!W3:W106,"&gt;-0.03",'Java Impact of Technique'!W3:W106,"&lt;0.03")</f>
        <v>18</v>
      </c>
    </row>
    <row r="20" spans="2:3" x14ac:dyDescent="0.25">
      <c r="B20" s="5" t="s">
        <v>120</v>
      </c>
      <c r="C20" s="4">
        <f>COUNTIFS('Java Impact of Technique'!W3:W106,"&gt;=0.03")</f>
        <v>9</v>
      </c>
    </row>
    <row r="21" spans="2:3" x14ac:dyDescent="0.25">
      <c r="B21" s="5" t="s">
        <v>121</v>
      </c>
      <c r="C21" s="4">
        <f>SUM(C18:C20)</f>
        <v>52</v>
      </c>
    </row>
    <row r="24" spans="2:3" x14ac:dyDescent="0.25">
      <c r="B24" s="126" t="s">
        <v>192</v>
      </c>
      <c r="C24" s="126"/>
    </row>
    <row r="25" spans="2:3" x14ac:dyDescent="0.25">
      <c r="B25" s="5" t="s">
        <v>119</v>
      </c>
      <c r="C25" s="4">
        <f>C4+C11+C18</f>
        <v>81</v>
      </c>
    </row>
    <row r="26" spans="2:3" x14ac:dyDescent="0.25">
      <c r="B26" s="5" t="s">
        <v>163</v>
      </c>
      <c r="C26" s="4">
        <f>C5+C12+C19</f>
        <v>39</v>
      </c>
    </row>
    <row r="27" spans="2:3" x14ac:dyDescent="0.25">
      <c r="B27" s="5" t="s">
        <v>120</v>
      </c>
      <c r="C27" s="4">
        <f>C6+C13+C20</f>
        <v>36</v>
      </c>
    </row>
    <row r="28" spans="2:3" x14ac:dyDescent="0.25">
      <c r="B28" s="5" t="s">
        <v>121</v>
      </c>
      <c r="C28" s="4">
        <f>SUM(C25:C27)</f>
        <v>156</v>
      </c>
    </row>
    <row r="31" spans="2:3" x14ac:dyDescent="0.25">
      <c r="B31" s="126" t="s">
        <v>218</v>
      </c>
      <c r="C31" s="126"/>
    </row>
    <row r="32" spans="2:3" x14ac:dyDescent="0.25">
      <c r="B32" s="5" t="s">
        <v>119</v>
      </c>
      <c r="C32" s="4">
        <f>COUNTIFS('C Impact of Technique'!Q3:Q106,"&lt;=-0.03",'C Impact of Technique'!B3:B106,"O0")</f>
        <v>12</v>
      </c>
    </row>
    <row r="33" spans="2:3" x14ac:dyDescent="0.25">
      <c r="B33" s="5" t="s">
        <v>163</v>
      </c>
      <c r="C33" s="4">
        <f>COUNTIFS('C Impact of Technique'!Q3:Q106,"&gt;-0.03",'C Impact of Technique'!Q3:Q106,"&lt;0.03",'C Impact of Technique'!B3:B106,"O0")</f>
        <v>9</v>
      </c>
    </row>
    <row r="34" spans="2:3" x14ac:dyDescent="0.25">
      <c r="B34" s="5" t="s">
        <v>120</v>
      </c>
      <c r="C34" s="4">
        <f>COUNTIFS('C Impact of Technique'!Q3:Q106,"&gt;=0.03",'C Impact of Technique'!B3:B106,"O0")</f>
        <v>5</v>
      </c>
    </row>
    <row r="35" spans="2:3" x14ac:dyDescent="0.25">
      <c r="B35" s="5" t="s">
        <v>121</v>
      </c>
      <c r="C35" s="4">
        <f>SUM(C32:C34)</f>
        <v>26</v>
      </c>
    </row>
    <row r="36" spans="2:3" x14ac:dyDescent="0.25">
      <c r="C36" s="3"/>
    </row>
    <row r="37" spans="2:3" x14ac:dyDescent="0.25">
      <c r="C37" s="3"/>
    </row>
    <row r="38" spans="2:3" x14ac:dyDescent="0.25">
      <c r="B38" s="126" t="s">
        <v>219</v>
      </c>
      <c r="C38" s="126"/>
    </row>
    <row r="39" spans="2:3" x14ac:dyDescent="0.25">
      <c r="B39" s="5" t="s">
        <v>119</v>
      </c>
      <c r="C39" s="4">
        <f>COUNTIFS('C Impact of Technique'!Q3:Q106,"&lt;=-0.03",'C Impact of Technique'!B3:B106,"O3")</f>
        <v>14</v>
      </c>
    </row>
    <row r="40" spans="2:3" x14ac:dyDescent="0.25">
      <c r="B40" s="5" t="s">
        <v>163</v>
      </c>
      <c r="C40" s="4">
        <f>COUNTIFS('C Impact of Technique'!Q3:Q106,"&gt;-0.03",'C Impact of Technique'!Q3:Q106,"&lt;0.03",'C Impact of Technique'!B3:B106,"O3")</f>
        <v>5</v>
      </c>
    </row>
    <row r="41" spans="2:3" x14ac:dyDescent="0.25">
      <c r="B41" s="5" t="s">
        <v>120</v>
      </c>
      <c r="C41" s="4">
        <f>COUNTIFS('C Impact of Technique'!Q3:Q106,"&gt;=0.03",'C Impact of Technique'!B3:B106,"O3")</f>
        <v>7</v>
      </c>
    </row>
    <row r="42" spans="2:3" x14ac:dyDescent="0.25">
      <c r="B42" s="5" t="s">
        <v>121</v>
      </c>
      <c r="C42" s="4">
        <f>SUM(C39:C41)</f>
        <v>26</v>
      </c>
    </row>
    <row r="45" spans="2:3" x14ac:dyDescent="0.25">
      <c r="B45" s="126" t="s">
        <v>220</v>
      </c>
      <c r="C45" s="126"/>
    </row>
    <row r="46" spans="2:3" x14ac:dyDescent="0.25">
      <c r="B46" s="5" t="s">
        <v>119</v>
      </c>
      <c r="C46" s="4">
        <f>COUNTIFS('Python Impact of Technique'!V3:V106,"&lt;=-0.03",'Python Impact of Technique'!D3:D106,"")</f>
        <v>16</v>
      </c>
    </row>
    <row r="47" spans="2:3" x14ac:dyDescent="0.25">
      <c r="B47" s="5" t="s">
        <v>163</v>
      </c>
      <c r="C47" s="4">
        <f>COUNTIFS('Python Impact of Technique'!V3:V106,"&gt;-0.03",'Python Impact of Technique'!V3:V106,"&lt;0.03",'Python Impact of Technique'!D3:D106,"")</f>
        <v>4</v>
      </c>
    </row>
    <row r="48" spans="2:3" x14ac:dyDescent="0.25">
      <c r="B48" s="5" t="s">
        <v>120</v>
      </c>
      <c r="C48" s="4">
        <f>COUNTIFS('Python Impact of Technique'!V3:V106,"&gt;=0.03",'Python Impact of Technique'!D3:D106,"")</f>
        <v>6</v>
      </c>
    </row>
    <row r="49" spans="2:3" x14ac:dyDescent="0.25">
      <c r="B49" s="5" t="s">
        <v>121</v>
      </c>
      <c r="C49" s="4">
        <f>SUM(C46:C48)</f>
        <v>26</v>
      </c>
    </row>
    <row r="50" spans="2:3" x14ac:dyDescent="0.25">
      <c r="C50" s="3"/>
    </row>
    <row r="51" spans="2:3" x14ac:dyDescent="0.25">
      <c r="C51" s="3"/>
    </row>
    <row r="52" spans="2:3" x14ac:dyDescent="0.25">
      <c r="B52" s="126" t="s">
        <v>221</v>
      </c>
      <c r="C52" s="126"/>
    </row>
    <row r="53" spans="2:3" x14ac:dyDescent="0.25">
      <c r="B53" s="5" t="s">
        <v>119</v>
      </c>
      <c r="C53" s="4">
        <f>COUNTIFS('Python Impact of Technique'!V3:V106,"&lt;=-0.03",'Python Impact of Technique'!D3:D106,"Nuitka")</f>
        <v>14</v>
      </c>
    </row>
    <row r="54" spans="2:3" x14ac:dyDescent="0.25">
      <c r="B54" s="5" t="s">
        <v>163</v>
      </c>
      <c r="C54" s="4">
        <f>COUNTIFS('Python Impact of Technique'!V3:V106,"&gt;-0.03",'Python Impact of Technique'!V3:V106,"&lt;0.03",'Python Impact of Technique'!D3:D106,"Nuitka")</f>
        <v>3</v>
      </c>
    </row>
    <row r="55" spans="2:3" x14ac:dyDescent="0.25">
      <c r="B55" s="5" t="s">
        <v>120</v>
      </c>
      <c r="C55" s="4">
        <f>COUNTIFS('Python Impact of Technique'!V3:V106,"&gt;=0.03",'Python Impact of Technique'!D3:D106,"Nuitka")</f>
        <v>9</v>
      </c>
    </row>
    <row r="56" spans="2:3" x14ac:dyDescent="0.25">
      <c r="B56" s="5" t="s">
        <v>121</v>
      </c>
      <c r="C56" s="4">
        <f>SUM(C53:C55)</f>
        <v>26</v>
      </c>
    </row>
    <row r="59" spans="2:3" x14ac:dyDescent="0.25">
      <c r="B59" s="126" t="s">
        <v>222</v>
      </c>
      <c r="C59" s="126"/>
    </row>
    <row r="60" spans="2:3" x14ac:dyDescent="0.25">
      <c r="B60" s="5" t="s">
        <v>119</v>
      </c>
      <c r="C60" s="4">
        <f>COUNTIFS('Java Impact of Technique'!W3:W106,"&lt;=-0.03",'Java Impact of Technique'!D3:D106,"JIT")</f>
        <v>8</v>
      </c>
    </row>
    <row r="61" spans="2:3" x14ac:dyDescent="0.25">
      <c r="B61" s="5" t="s">
        <v>163</v>
      </c>
      <c r="C61" s="4">
        <f>COUNTIFS('Java Impact of Technique'!W3:W106,"&gt;-0.03",'Java Impact of Technique'!W3:W106,"&lt;0.03",'Java Impact of Technique'!D3:D106,"JIT")</f>
        <v>13</v>
      </c>
    </row>
    <row r="62" spans="2:3" x14ac:dyDescent="0.25">
      <c r="B62" s="5" t="s">
        <v>120</v>
      </c>
      <c r="C62" s="4">
        <f>COUNTIFS('Java Impact of Technique'!W3:W106,"&gt;=0.03",'Java Impact of Technique'!D3:D106,"JIT")</f>
        <v>5</v>
      </c>
    </row>
    <row r="63" spans="2:3" x14ac:dyDescent="0.25">
      <c r="B63" s="5" t="s">
        <v>121</v>
      </c>
      <c r="C63" s="4">
        <f>SUM(C60:C62)</f>
        <v>26</v>
      </c>
    </row>
    <row r="64" spans="2:3" x14ac:dyDescent="0.25">
      <c r="C64" s="3"/>
    </row>
    <row r="65" spans="2:3" x14ac:dyDescent="0.25">
      <c r="C65" s="3"/>
    </row>
    <row r="66" spans="2:3" x14ac:dyDescent="0.25">
      <c r="B66" s="126" t="s">
        <v>223</v>
      </c>
      <c r="C66" s="126"/>
    </row>
    <row r="67" spans="2:3" x14ac:dyDescent="0.25">
      <c r="B67" s="5" t="s">
        <v>119</v>
      </c>
      <c r="C67" s="4">
        <f>COUNTIFS('Java Impact of Technique'!W3:W106,"&lt;=-0.03",'Java Impact of Technique'!D3:D106,"Xint")</f>
        <v>17</v>
      </c>
    </row>
    <row r="68" spans="2:3" x14ac:dyDescent="0.25">
      <c r="B68" s="5" t="s">
        <v>163</v>
      </c>
      <c r="C68" s="4">
        <f>COUNTIFS('Java Impact of Technique'!W3:W106,"&gt;-0.03",'Java Impact of Technique'!W3:W106,"&lt;0.03",'Java Impact of Technique'!D3:D106,"Xint")</f>
        <v>5</v>
      </c>
    </row>
    <row r="69" spans="2:3" x14ac:dyDescent="0.25">
      <c r="B69" s="5" t="s">
        <v>120</v>
      </c>
      <c r="C69" s="4">
        <f>COUNTIFS('Java Impact of Technique'!W3:W106,"&gt;=0.03",'Java Impact of Technique'!D3:D106,"Xint")</f>
        <v>4</v>
      </c>
    </row>
    <row r="70" spans="2:3" x14ac:dyDescent="0.25">
      <c r="B70" s="5" t="s">
        <v>121</v>
      </c>
      <c r="C70" s="4">
        <f>SUM(C67:C69)</f>
        <v>26</v>
      </c>
    </row>
  </sheetData>
  <mergeCells count="10">
    <mergeCell ref="B3:C3"/>
    <mergeCell ref="B10:C10"/>
    <mergeCell ref="B17:C17"/>
    <mergeCell ref="B24:C24"/>
    <mergeCell ref="B59:C59"/>
    <mergeCell ref="B66:C66"/>
    <mergeCell ref="B31:C31"/>
    <mergeCell ref="B38:C38"/>
    <mergeCell ref="B45:C45"/>
    <mergeCell ref="B52:C52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C0252-D23C-43C7-A8C8-E63DE8FE949A}">
  <dimension ref="A1:E57"/>
  <sheetViews>
    <sheetView zoomScale="56" zoomScaleNormal="256" workbookViewId="0">
      <selection activeCell="E26" sqref="E26"/>
    </sheetView>
  </sheetViews>
  <sheetFormatPr baseColWidth="10" defaultRowHeight="15" x14ac:dyDescent="0.25"/>
  <cols>
    <col min="1" max="1" width="13.140625" bestFit="1" customWidth="1"/>
    <col min="2" max="2" width="12.5703125" bestFit="1" customWidth="1"/>
    <col min="3" max="3" width="14.85546875" customWidth="1"/>
    <col min="4" max="4" width="11.5703125" bestFit="1" customWidth="1"/>
    <col min="5" max="5" width="13.5703125" bestFit="1" customWidth="1"/>
    <col min="6" max="6" width="14.42578125" customWidth="1"/>
  </cols>
  <sheetData>
    <row r="1" spans="1:5" ht="30" x14ac:dyDescent="0.25">
      <c r="A1" s="54" t="s">
        <v>184</v>
      </c>
      <c r="B1" s="52" t="s">
        <v>183</v>
      </c>
      <c r="C1" s="52" t="s">
        <v>97</v>
      </c>
      <c r="D1" s="52" t="s">
        <v>185</v>
      </c>
      <c r="E1" s="52" t="s">
        <v>186</v>
      </c>
    </row>
    <row r="2" spans="1:5" x14ac:dyDescent="0.25">
      <c r="A2" s="51" t="s">
        <v>112</v>
      </c>
      <c r="B2" s="51" t="s">
        <v>122</v>
      </c>
      <c r="C2" s="3" t="s">
        <v>150</v>
      </c>
      <c r="D2" s="53">
        <f>'C Impact of Technique'!N3</f>
        <v>-0.22236367494165077</v>
      </c>
      <c r="E2" s="53">
        <f>'C Impact of Technique'!Q3</f>
        <v>-0.32024902558615498</v>
      </c>
    </row>
    <row r="3" spans="1:5" x14ac:dyDescent="0.25">
      <c r="A3" s="51" t="s">
        <v>113</v>
      </c>
      <c r="B3" s="51" t="s">
        <v>122</v>
      </c>
      <c r="C3" s="3" t="s">
        <v>150</v>
      </c>
      <c r="D3" s="53">
        <f>'C Impact of Technique'!N5</f>
        <v>-0.65874308042982743</v>
      </c>
      <c r="E3" s="53">
        <f>'C Impact of Technique'!Q5</f>
        <v>-0.77057849664373312</v>
      </c>
    </row>
    <row r="4" spans="1:5" x14ac:dyDescent="0.25">
      <c r="A4" s="51" t="s">
        <v>187</v>
      </c>
      <c r="B4" s="51" t="s">
        <v>123</v>
      </c>
      <c r="C4" s="3" t="s">
        <v>150</v>
      </c>
      <c r="D4" s="53">
        <f>'Python Impact of Technique'!S3</f>
        <v>-0.43956689214580985</v>
      </c>
      <c r="E4" s="53">
        <f>'Python Impact of Technique'!V3</f>
        <v>-0.4375439600498881</v>
      </c>
    </row>
    <row r="5" spans="1:5" x14ac:dyDescent="0.25">
      <c r="A5" s="51" t="s">
        <v>118</v>
      </c>
      <c r="B5" s="51" t="s">
        <v>123</v>
      </c>
      <c r="C5" s="3" t="s">
        <v>150</v>
      </c>
      <c r="D5" s="53" t="e">
        <f>#REF!</f>
        <v>#REF!</v>
      </c>
      <c r="E5" s="53">
        <f>'Python Impact of Technique'!V5</f>
        <v>-0.68758184691688673</v>
      </c>
    </row>
    <row r="6" spans="1:5" x14ac:dyDescent="0.25">
      <c r="A6" s="51" t="s">
        <v>169</v>
      </c>
      <c r="B6" s="51" t="s">
        <v>181</v>
      </c>
      <c r="C6" s="3" t="s">
        <v>150</v>
      </c>
      <c r="D6" s="53">
        <f>'Java Impact of Technique'!T3</f>
        <v>4.9494297396169744E-3</v>
      </c>
      <c r="E6" s="53">
        <f>'Java Impact of Technique'!W3</f>
        <v>-2.3607428272206743E-2</v>
      </c>
    </row>
    <row r="7" spans="1:5" x14ac:dyDescent="0.25">
      <c r="A7" s="51" t="s">
        <v>182</v>
      </c>
      <c r="B7" s="51" t="s">
        <v>181</v>
      </c>
      <c r="C7" s="3" t="s">
        <v>150</v>
      </c>
      <c r="D7" s="53">
        <f>'Java Impact of Technique'!T5</f>
        <v>-0.79398711826528778</v>
      </c>
      <c r="E7" s="53">
        <f>'Java Impact of Technique'!W5</f>
        <v>-0.77380809484124569</v>
      </c>
    </row>
    <row r="8" spans="1:5" x14ac:dyDescent="0.25">
      <c r="A8" s="51" t="s">
        <v>112</v>
      </c>
      <c r="B8" s="51" t="s">
        <v>122</v>
      </c>
      <c r="C8" s="3" t="s">
        <v>151</v>
      </c>
      <c r="D8" s="55">
        <f>'C Impact of Technique'!N7</f>
        <v>-2.2866221984667919E-2</v>
      </c>
      <c r="E8" s="55">
        <f>'C Impact of Technique'!Q7</f>
        <v>-2.2062393605254263E-2</v>
      </c>
    </row>
    <row r="9" spans="1:5" x14ac:dyDescent="0.25">
      <c r="A9" s="51" t="s">
        <v>113</v>
      </c>
      <c r="B9" s="51" t="s">
        <v>122</v>
      </c>
      <c r="C9" s="3" t="s">
        <v>151</v>
      </c>
      <c r="D9" s="55">
        <f>'C Impact of Technique'!N9</f>
        <v>-5.0025499559553092E-2</v>
      </c>
      <c r="E9" s="55">
        <f>'C Impact of Technique'!Q9</f>
        <v>6.5358211860604046E-2</v>
      </c>
    </row>
    <row r="10" spans="1:5" x14ac:dyDescent="0.25">
      <c r="A10" s="51" t="s">
        <v>187</v>
      </c>
      <c r="B10" s="51" t="s">
        <v>123</v>
      </c>
      <c r="C10" s="3" t="s">
        <v>151</v>
      </c>
      <c r="D10" s="55">
        <f>'Python Impact of Technique'!S7</f>
        <v>-6.2644598683039593E-2</v>
      </c>
      <c r="E10" s="55">
        <f>'Python Impact of Technique'!V7</f>
        <v>-7.2651951722010749E-2</v>
      </c>
    </row>
    <row r="11" spans="1:5" x14ac:dyDescent="0.25">
      <c r="A11" s="51" t="s">
        <v>118</v>
      </c>
      <c r="B11" s="51" t="s">
        <v>123</v>
      </c>
      <c r="C11" s="3" t="s">
        <v>151</v>
      </c>
      <c r="D11" s="55">
        <f>'Python Impact of Technique'!S9</f>
        <v>-4.9154165336737922E-2</v>
      </c>
      <c r="E11" s="55">
        <f>'Python Impact of Technique'!V9</f>
        <v>-8.092433355759221E-2</v>
      </c>
    </row>
    <row r="12" spans="1:5" x14ac:dyDescent="0.25">
      <c r="A12" s="51" t="s">
        <v>169</v>
      </c>
      <c r="B12" s="51" t="s">
        <v>181</v>
      </c>
      <c r="C12" s="3" t="s">
        <v>151</v>
      </c>
      <c r="D12" s="55">
        <f>'Java Impact of Technique'!T7</f>
        <v>-0.68798534028268021</v>
      </c>
      <c r="E12" s="55">
        <f>'Java Impact of Technique'!W7</f>
        <v>-0.69404336592297933</v>
      </c>
    </row>
    <row r="13" spans="1:5" x14ac:dyDescent="0.25">
      <c r="A13" s="51" t="s">
        <v>182</v>
      </c>
      <c r="B13" s="51" t="s">
        <v>181</v>
      </c>
      <c r="C13" s="3" t="s">
        <v>151</v>
      </c>
      <c r="D13" s="55">
        <f>'Java Impact of Technique'!T9</f>
        <v>-6.8751522419382149E-2</v>
      </c>
      <c r="E13" s="55">
        <f>'Java Impact of Technique'!W9</f>
        <v>-7.3869099312503253E-2</v>
      </c>
    </row>
    <row r="14" spans="1:5" x14ac:dyDescent="0.25">
      <c r="A14" s="51" t="s">
        <v>112</v>
      </c>
      <c r="B14" s="51" t="s">
        <v>122</v>
      </c>
      <c r="C14" s="3" t="s">
        <v>152</v>
      </c>
      <c r="D14" s="55">
        <f>'C Impact of Technique'!N11</f>
        <v>-0.5</v>
      </c>
      <c r="E14" s="55">
        <f>'C Impact of Technique'!Q11</f>
        <v>-0.56175182481751829</v>
      </c>
    </row>
    <row r="15" spans="1:5" x14ac:dyDescent="0.25">
      <c r="A15" s="51" t="s">
        <v>113</v>
      </c>
      <c r="B15" s="51" t="s">
        <v>122</v>
      </c>
      <c r="C15" s="3" t="s">
        <v>152</v>
      </c>
      <c r="D15" s="55">
        <f>'C Impact of Technique'!N13</f>
        <v>-0.5</v>
      </c>
      <c r="E15" s="55">
        <f>'C Impact of Technique'!Q13</f>
        <v>-0.55764525993883796</v>
      </c>
    </row>
    <row r="16" spans="1:5" x14ac:dyDescent="0.25">
      <c r="A16" s="51" t="s">
        <v>187</v>
      </c>
      <c r="B16" s="51" t="s">
        <v>123</v>
      </c>
      <c r="C16" s="3" t="s">
        <v>152</v>
      </c>
      <c r="D16" s="55">
        <f>'Python Impact of Technique'!S11</f>
        <v>-0.29491017964071864</v>
      </c>
      <c r="E16" s="55">
        <f>'Python Impact of Technique'!V11</f>
        <v>-0.30624251285951987</v>
      </c>
    </row>
    <row r="17" spans="1:5" x14ac:dyDescent="0.25">
      <c r="A17" s="51" t="s">
        <v>118</v>
      </c>
      <c r="B17" s="51" t="s">
        <v>123</v>
      </c>
      <c r="C17" s="3" t="s">
        <v>152</v>
      </c>
      <c r="D17" s="55">
        <f>'Python Impact of Technique'!S13</f>
        <v>-0.39119549342791571</v>
      </c>
      <c r="E17" s="55">
        <f>'Python Impact of Technique'!V13</f>
        <v>-0.41146776533557211</v>
      </c>
    </row>
    <row r="18" spans="1:5" x14ac:dyDescent="0.25">
      <c r="A18" s="51" t="s">
        <v>169</v>
      </c>
      <c r="B18" s="51" t="s">
        <v>181</v>
      </c>
      <c r="C18" s="3" t="s">
        <v>152</v>
      </c>
      <c r="D18" s="55">
        <f>'Java Impact of Technique'!T11</f>
        <v>0</v>
      </c>
      <c r="E18" s="55">
        <f>'Java Impact of Technique'!W11</f>
        <v>-7.2908672294703493E-3</v>
      </c>
    </row>
    <row r="19" spans="1:5" x14ac:dyDescent="0.25">
      <c r="A19" s="51" t="s">
        <v>182</v>
      </c>
      <c r="B19" s="51" t="s">
        <v>181</v>
      </c>
      <c r="C19" s="3" t="s">
        <v>152</v>
      </c>
      <c r="D19" s="55">
        <f>'Java Impact of Technique'!T13</f>
        <v>0</v>
      </c>
      <c r="E19" s="55">
        <f>'Java Impact of Technique'!W13</f>
        <v>-2.8988116672668346E-2</v>
      </c>
    </row>
    <row r="20" spans="1:5" x14ac:dyDescent="0.25">
      <c r="A20" s="51" t="s">
        <v>112</v>
      </c>
      <c r="B20" s="51" t="s">
        <v>122</v>
      </c>
      <c r="C20" s="3" t="s">
        <v>31</v>
      </c>
      <c r="D20" s="55">
        <f>'C Impact of Technique'!N39</f>
        <v>0</v>
      </c>
      <c r="E20" s="55">
        <f>'C Impact of Technique'!Q39</f>
        <v>-8.2830025884383082E-2</v>
      </c>
    </row>
    <row r="21" spans="1:5" x14ac:dyDescent="0.25">
      <c r="A21" s="51" t="s">
        <v>113</v>
      </c>
      <c r="B21" s="51" t="s">
        <v>122</v>
      </c>
      <c r="C21" s="3" t="s">
        <v>31</v>
      </c>
      <c r="D21" s="55">
        <f>'C Impact of Technique'!N41</f>
        <v>0</v>
      </c>
      <c r="E21" s="55">
        <f>'C Impact of Technique'!Q41</f>
        <v>-7.1555555555555622E-2</v>
      </c>
    </row>
    <row r="22" spans="1:5" x14ac:dyDescent="0.25">
      <c r="A22" s="51" t="s">
        <v>187</v>
      </c>
      <c r="B22" s="51" t="s">
        <v>123</v>
      </c>
      <c r="C22" s="3" t="s">
        <v>31</v>
      </c>
      <c r="D22" s="55">
        <f>'Python Impact of Technique'!S39</f>
        <v>-2.0719990739668771E-2</v>
      </c>
      <c r="E22" s="55">
        <f>'Python Impact of Technique'!V39</f>
        <v>1.3920549239102508E-2</v>
      </c>
    </row>
    <row r="23" spans="1:5" x14ac:dyDescent="0.25">
      <c r="A23" s="51" t="s">
        <v>118</v>
      </c>
      <c r="B23" s="51" t="s">
        <v>123</v>
      </c>
      <c r="C23" s="3" t="s">
        <v>31</v>
      </c>
      <c r="D23" s="55">
        <f>'Python Impact of Technique'!S41</f>
        <v>8.7879479570874178E-2</v>
      </c>
      <c r="E23" s="55">
        <f>'Python Impact of Technique'!V41</f>
        <v>7.9006641979619527E-2</v>
      </c>
    </row>
    <row r="24" spans="1:5" x14ac:dyDescent="0.25">
      <c r="A24" s="51" t="s">
        <v>169</v>
      </c>
      <c r="B24" s="51" t="s">
        <v>181</v>
      </c>
      <c r="C24" s="3" t="s">
        <v>31</v>
      </c>
      <c r="D24" s="55">
        <f>'Java Impact of Technique'!T39</f>
        <v>4.7755491881582333E-4</v>
      </c>
      <c r="E24" s="55">
        <f>'Java Impact of Technique'!W39</f>
        <v>-8.1733534678580175E-3</v>
      </c>
    </row>
    <row r="25" spans="1:5" x14ac:dyDescent="0.25">
      <c r="A25" s="51" t="s">
        <v>182</v>
      </c>
      <c r="B25" s="51" t="s">
        <v>181</v>
      </c>
      <c r="C25" s="3" t="s">
        <v>31</v>
      </c>
      <c r="D25" s="55">
        <f>'Java Impact of Technique'!T41</f>
        <v>-6.5739016106059487E-3</v>
      </c>
      <c r="E25" s="55">
        <f>'Java Impact of Technique'!W41</f>
        <v>-2.9288824540189273E-2</v>
      </c>
    </row>
    <row r="34" spans="1:3" x14ac:dyDescent="0.25">
      <c r="A34" s="3"/>
      <c r="B34" s="51"/>
      <c r="C34" s="51"/>
    </row>
    <row r="35" spans="1:3" x14ac:dyDescent="0.25">
      <c r="A35" s="3"/>
      <c r="B35" s="51"/>
      <c r="C35" s="51"/>
    </row>
    <row r="36" spans="1:3" x14ac:dyDescent="0.25">
      <c r="A36" s="3"/>
      <c r="B36" s="51"/>
      <c r="C36" s="51"/>
    </row>
    <row r="37" spans="1:3" x14ac:dyDescent="0.25">
      <c r="A37" s="3"/>
      <c r="B37" s="51"/>
      <c r="C37" s="51"/>
    </row>
    <row r="38" spans="1:3" x14ac:dyDescent="0.25">
      <c r="A38" s="3"/>
      <c r="B38" s="51"/>
      <c r="C38" s="51"/>
    </row>
    <row r="39" spans="1:3" x14ac:dyDescent="0.25">
      <c r="A39" s="3"/>
      <c r="B39" s="51"/>
      <c r="C39" s="51"/>
    </row>
    <row r="40" spans="1:3" x14ac:dyDescent="0.25">
      <c r="A40" s="3"/>
      <c r="B40" s="51"/>
      <c r="C40" s="51"/>
    </row>
    <row r="41" spans="1:3" x14ac:dyDescent="0.25">
      <c r="A41" s="3"/>
      <c r="B41" s="51"/>
      <c r="C41" s="51"/>
    </row>
    <row r="42" spans="1:3" x14ac:dyDescent="0.25">
      <c r="A42" s="3"/>
      <c r="B42" s="51"/>
      <c r="C42" s="51"/>
    </row>
    <row r="43" spans="1:3" x14ac:dyDescent="0.25">
      <c r="A43" s="3"/>
      <c r="B43" s="51"/>
      <c r="C43" s="51"/>
    </row>
    <row r="44" spans="1:3" x14ac:dyDescent="0.25">
      <c r="A44" s="3"/>
      <c r="B44" s="51"/>
      <c r="C44" s="51"/>
    </row>
    <row r="45" spans="1:3" x14ac:dyDescent="0.25">
      <c r="A45" s="3"/>
      <c r="B45" s="51"/>
      <c r="C45" s="51"/>
    </row>
    <row r="46" spans="1:3" x14ac:dyDescent="0.25">
      <c r="A46" s="3"/>
      <c r="B46" s="51"/>
      <c r="C46" s="51"/>
    </row>
    <row r="47" spans="1:3" x14ac:dyDescent="0.25">
      <c r="A47" s="3"/>
      <c r="B47" s="51"/>
      <c r="C47" s="51"/>
    </row>
    <row r="48" spans="1:3" x14ac:dyDescent="0.25">
      <c r="A48" s="3"/>
      <c r="B48" s="51"/>
      <c r="C48" s="51"/>
    </row>
    <row r="49" spans="1:3" x14ac:dyDescent="0.25">
      <c r="A49" s="3"/>
      <c r="B49" s="51"/>
      <c r="C49" s="51"/>
    </row>
    <row r="50" spans="1:3" x14ac:dyDescent="0.25">
      <c r="A50" s="3"/>
      <c r="B50" s="51"/>
      <c r="C50" s="51"/>
    </row>
    <row r="51" spans="1:3" x14ac:dyDescent="0.25">
      <c r="A51" s="3"/>
      <c r="B51" s="51"/>
      <c r="C51" s="51"/>
    </row>
    <row r="52" spans="1:3" x14ac:dyDescent="0.25">
      <c r="A52" s="3"/>
      <c r="B52" s="51"/>
      <c r="C52" s="51"/>
    </row>
    <row r="53" spans="1:3" x14ac:dyDescent="0.25">
      <c r="A53" s="3"/>
      <c r="B53" s="51"/>
      <c r="C53" s="51"/>
    </row>
    <row r="54" spans="1:3" x14ac:dyDescent="0.25">
      <c r="A54" s="3"/>
      <c r="B54" s="51"/>
      <c r="C54" s="51"/>
    </row>
    <row r="55" spans="1:3" x14ac:dyDescent="0.25">
      <c r="A55" s="3"/>
      <c r="B55" s="51"/>
      <c r="C55" s="51"/>
    </row>
    <row r="56" spans="1:3" x14ac:dyDescent="0.25">
      <c r="A56" s="3"/>
      <c r="B56" s="51"/>
      <c r="C56" s="51"/>
    </row>
    <row r="57" spans="1:3" x14ac:dyDescent="0.25">
      <c r="A57" s="3"/>
      <c r="B57" s="51"/>
      <c r="C57" s="51"/>
    </row>
  </sheetData>
  <phoneticPr fontId="2" type="noConversion"/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E60FB-864A-4034-9F0D-77C767A9CD17}">
  <dimension ref="A2:O40"/>
  <sheetViews>
    <sheetView zoomScale="85" zoomScaleNormal="85" workbookViewId="0">
      <selection activeCell="E5" sqref="E5"/>
    </sheetView>
  </sheetViews>
  <sheetFormatPr baseColWidth="10" defaultRowHeight="15" x14ac:dyDescent="0.25"/>
  <cols>
    <col min="1" max="1" width="12.42578125" customWidth="1"/>
    <col min="2" max="2" width="21.140625" customWidth="1"/>
    <col min="3" max="3" width="25.85546875" customWidth="1"/>
    <col min="4" max="4" width="23.85546875" customWidth="1"/>
    <col min="5" max="5" width="18.140625" customWidth="1"/>
    <col min="6" max="7" width="13.5703125" customWidth="1"/>
    <col min="8" max="8" width="21.85546875" customWidth="1"/>
    <col min="9" max="9" width="27" customWidth="1"/>
    <col min="10" max="10" width="24.42578125" customWidth="1"/>
    <col min="11" max="11" width="18.85546875" customWidth="1"/>
    <col min="12" max="12" width="26.5703125" customWidth="1"/>
    <col min="13" max="13" width="29.42578125" customWidth="1"/>
    <col min="14" max="14" width="30.140625" customWidth="1"/>
    <col min="15" max="15" width="25.140625" bestFit="1" customWidth="1"/>
    <col min="16" max="16" width="22.5703125" bestFit="1" customWidth="1"/>
    <col min="17" max="17" width="16.85546875" bestFit="1" customWidth="1"/>
    <col min="18" max="18" width="24.7109375" bestFit="1" customWidth="1"/>
    <col min="19" max="19" width="27.7109375" bestFit="1" customWidth="1"/>
    <col min="20" max="20" width="28.42578125" bestFit="1" customWidth="1"/>
    <col min="21" max="21" width="8.7109375" bestFit="1" customWidth="1"/>
  </cols>
  <sheetData>
    <row r="2" spans="1:15" x14ac:dyDescent="0.25">
      <c r="B2" s="88" t="s">
        <v>122</v>
      </c>
      <c r="C2" s="88"/>
      <c r="D2" s="88" t="s">
        <v>123</v>
      </c>
      <c r="E2" s="88"/>
      <c r="F2" s="88" t="s">
        <v>181</v>
      </c>
      <c r="G2" s="88"/>
    </row>
    <row r="3" spans="1:15" x14ac:dyDescent="0.25">
      <c r="B3" s="15" t="s">
        <v>112</v>
      </c>
      <c r="C3" s="15" t="s">
        <v>113</v>
      </c>
      <c r="D3" s="15" t="s">
        <v>162</v>
      </c>
      <c r="E3" s="15" t="s">
        <v>118</v>
      </c>
      <c r="F3" s="15" t="s">
        <v>162</v>
      </c>
      <c r="G3" s="15" t="s">
        <v>118</v>
      </c>
    </row>
    <row r="4" spans="1:15" x14ac:dyDescent="0.25">
      <c r="A4" s="57" t="s">
        <v>97</v>
      </c>
      <c r="B4" s="58" t="s">
        <v>147</v>
      </c>
      <c r="C4" s="59" t="s">
        <v>193</v>
      </c>
      <c r="D4" s="50" t="s">
        <v>194</v>
      </c>
      <c r="E4" s="50" t="s">
        <v>164</v>
      </c>
      <c r="F4" s="50" t="s">
        <v>195</v>
      </c>
      <c r="G4" s="50" t="s">
        <v>196</v>
      </c>
      <c r="H4" s="58" t="s">
        <v>197</v>
      </c>
      <c r="I4" s="58" t="s">
        <v>198</v>
      </c>
      <c r="J4" s="58" t="s">
        <v>199</v>
      </c>
      <c r="K4" s="59" t="s">
        <v>200</v>
      </c>
      <c r="L4" s="58" t="s">
        <v>201</v>
      </c>
      <c r="M4" s="58" t="s">
        <v>202</v>
      </c>
      <c r="N4" s="58" t="s">
        <v>204</v>
      </c>
      <c r="O4" s="58" t="s">
        <v>203</v>
      </c>
    </row>
    <row r="5" spans="1:15" x14ac:dyDescent="0.25">
      <c r="A5" s="75" t="s">
        <v>150</v>
      </c>
      <c r="B5" s="1" cm="1">
        <f t="array" aca="1" ref="B5" ca="1">INDIRECT("'C Impact of Technique'!Q" &amp; 3 + (ROW(A1)-1)*4)*100</f>
        <v>-32.024902558615494</v>
      </c>
      <c r="C5" s="1" cm="1">
        <f t="array" aca="1" ref="C5" ca="1">INDIRECT("'C Impact of Technique'!Q" &amp; 5 + (ROW(A1)-1)*4)*100</f>
        <v>-77.057849664373308</v>
      </c>
      <c r="D5" s="1" cm="1">
        <f t="array" aca="1" ref="D5" ca="1">INDIRECT("'Python Impact of Technique'!V" &amp; 3 + (ROW(A1)-1)*4)*100</f>
        <v>-43.754396004988813</v>
      </c>
      <c r="E5" s="1" cm="1">
        <f t="array" aca="1" ref="E5" ca="1">INDIRECT("'Python Impact of Technique'!V" &amp; 5 + (ROW(A1)-1)*4)*100</f>
        <v>-68.758184691688669</v>
      </c>
      <c r="F5" s="1" cm="1">
        <f t="array" aca="1" ref="F5" ca="1">INDIRECT("'Java Impact of Technique'!W" &amp; 3 + (ROW(A1)-1)*4)*100</f>
        <v>-2.3607428272206743</v>
      </c>
      <c r="G5" s="1" cm="1">
        <f t="array" aca="1" ref="G5" ca="1">INDIRECT("'Java Impact of Technique'!W" &amp; 5 + (ROW(A1)-1)*4)*100</f>
        <v>-77.380809484124569</v>
      </c>
      <c r="H5" s="28">
        <f ca="1">AVERAGE(Tabla3[[#This Row],[Impact (%)]:[Impact (%)2]])</f>
        <v>-54.541376111494401</v>
      </c>
      <c r="I5" s="28">
        <f ca="1">AVERAGE(Tabla3[[#This Row],[Impact (%)3]:[Impact (%)4]])</f>
        <v>-56.256290348338737</v>
      </c>
      <c r="J5" s="28">
        <f ca="1">AVERAGE(Tabla3[[#This Row],[Impact (%)5]:[Impact (%)6]])</f>
        <v>-39.870776155672623</v>
      </c>
      <c r="K5" s="28">
        <f ca="1">AVERAGE(Tabla3[[#This Row],[Average impact (%) C]:[Average impact (%) Java]])</f>
        <v>-50.222814205168589</v>
      </c>
      <c r="L5" s="26"/>
      <c r="M5" s="26"/>
      <c r="N5" s="26"/>
      <c r="O5" s="26" t="s">
        <v>125</v>
      </c>
    </row>
    <row r="6" spans="1:15" x14ac:dyDescent="0.25">
      <c r="A6" s="76" t="s">
        <v>151</v>
      </c>
      <c r="B6" s="1" cm="1">
        <f t="array" aca="1" ref="B6" ca="1">INDIRECT("'C Impact of Technique'!Q" &amp; 3 + (ROW(A2)-1)*4)*100</f>
        <v>-2.2062393605254265</v>
      </c>
      <c r="C6" s="1" cm="1">
        <f t="array" aca="1" ref="C6" ca="1">INDIRECT("'C Impact of Technique'!Q" &amp; 5 + (ROW(A2)-1)*4)*100</f>
        <v>6.5358211860604047</v>
      </c>
      <c r="D6" s="1" cm="1">
        <f t="array" aca="1" ref="D6" ca="1">INDIRECT("'Python Impact of Technique'!V" &amp; 3 + (ROW(A2)-1)*4)*100</f>
        <v>-7.265195172201075</v>
      </c>
      <c r="E6" s="1" cm="1">
        <f t="array" aca="1" ref="E6" ca="1">INDIRECT("'Python Impact of Technique'!V" &amp; 5 + (ROW(A2)-1)*4)*100</f>
        <v>-8.092433355759221</v>
      </c>
      <c r="F6" s="1" cm="1">
        <f t="array" aca="1" ref="F6" ca="1">INDIRECT("'Java Impact of Technique'!W" &amp; 3 + (ROW(A2)-1)*4)*100</f>
        <v>-69.404336592297938</v>
      </c>
      <c r="G6" s="1" cm="1">
        <f t="array" aca="1" ref="G6" ca="1">INDIRECT("'Java Impact of Technique'!W" &amp; 5 + (ROW(A2)-1)*4)*100</f>
        <v>-7.386909931250325</v>
      </c>
      <c r="H6" s="28">
        <f ca="1">AVERAGE(Tabla3[[#This Row],[Impact (%)]:[Impact (%)2]])</f>
        <v>2.1647909127674891</v>
      </c>
      <c r="I6" s="28">
        <f ca="1">AVERAGE(Tabla3[[#This Row],[Impact (%)3]:[Impact (%)4]])</f>
        <v>-7.678814263980148</v>
      </c>
      <c r="J6" s="28">
        <f ca="1">AVERAGE(Tabla3[[#This Row],[Impact (%)5]:[Impact (%)6]])</f>
        <v>-38.395623261774134</v>
      </c>
      <c r="K6" s="28">
        <f ca="1">AVERAGE(Tabla3[[#This Row],[Average impact (%) C]:[Average impact (%) Java]])</f>
        <v>-14.636548870995597</v>
      </c>
      <c r="L6" s="26"/>
      <c r="M6" s="26" t="s">
        <v>125</v>
      </c>
      <c r="N6" s="26"/>
      <c r="O6" s="26"/>
    </row>
    <row r="7" spans="1:15" x14ac:dyDescent="0.25">
      <c r="A7" s="76" t="s">
        <v>152</v>
      </c>
      <c r="B7" s="1" cm="1">
        <f t="array" aca="1" ref="B7" ca="1">INDIRECT("'C Impact of Technique'!Q" &amp; 3 + (ROW(A3)-1)*4)*100</f>
        <v>-56.175182481751825</v>
      </c>
      <c r="C7" s="1" cm="1">
        <f t="array" aca="1" ref="C7" ca="1">INDIRECT("'C Impact of Technique'!Q" &amp; 5 + (ROW(A3)-1)*4)*100</f>
        <v>-55.764525993883794</v>
      </c>
      <c r="D7" s="1" cm="1">
        <f t="array" aca="1" ref="D7" ca="1">INDIRECT("'Python Impact of Technique'!V" &amp; 3 + (ROW(A3)-1)*4)*100</f>
        <v>-30.624251285951985</v>
      </c>
      <c r="E7" s="1" cm="1">
        <f t="array" aca="1" ref="E7" ca="1">INDIRECT("'Python Impact of Technique'!V" &amp; 5 + (ROW(A3)-1)*4)*100</f>
        <v>-41.146776533557208</v>
      </c>
      <c r="F7" s="1" cm="1">
        <f t="array" aca="1" ref="F7" ca="1">INDIRECT("'Java Impact of Technique'!W" &amp; 3 + (ROW(A3)-1)*4)*100</f>
        <v>-0.72908672294703492</v>
      </c>
      <c r="G7" s="1" cm="1">
        <f t="array" aca="1" ref="G7" ca="1">INDIRECT("'Java Impact of Technique'!W" &amp; 5 + (ROW(A3)-1)*4)*100</f>
        <v>-2.8988116672668345</v>
      </c>
      <c r="H7" s="28">
        <f ca="1">AVERAGE(Tabla3[[#This Row],[Impact (%)]:[Impact (%)2]])</f>
        <v>-55.969854237817813</v>
      </c>
      <c r="I7" s="28">
        <f ca="1">AVERAGE(Tabla3[[#This Row],[Impact (%)3]:[Impact (%)4]])</f>
        <v>-35.885513909754593</v>
      </c>
      <c r="J7" s="28">
        <f ca="1">AVERAGE(Tabla3[[#This Row],[Impact (%)5]:[Impact (%)6]])</f>
        <v>-1.8139491951069346</v>
      </c>
      <c r="K7" s="28">
        <f ca="1">AVERAGE(Tabla3[[#This Row],[Average impact (%) C]:[Average impact (%) Java]])</f>
        <v>-31.223105780893111</v>
      </c>
      <c r="L7" s="26" t="s">
        <v>125</v>
      </c>
      <c r="M7" s="26" t="s">
        <v>125</v>
      </c>
      <c r="N7" s="26"/>
      <c r="O7" s="26"/>
    </row>
    <row r="8" spans="1:15" x14ac:dyDescent="0.25">
      <c r="A8" s="76" t="s">
        <v>154</v>
      </c>
      <c r="B8" s="1" cm="1">
        <f t="array" aca="1" ref="B8" ca="1">INDIRECT("'C Impact of Technique'!Q" &amp; 3 + (ROW(A4)-1)*4)*100</f>
        <v>53.467904623274102</v>
      </c>
      <c r="C8" s="1" cm="1">
        <f t="array" aca="1" ref="C8" ca="1">INDIRECT("'C Impact of Technique'!Q" &amp; 5 + (ROW(A4)-1)*4)*100</f>
        <v>-65.33349053036865</v>
      </c>
      <c r="D8" s="1" cm="1">
        <f t="array" aca="1" ref="D8" ca="1">INDIRECT("'Python Impact of Technique'!V" &amp; 3 + (ROW(A4)-1)*4)*100</f>
        <v>-70.376581617575056</v>
      </c>
      <c r="E8" s="1" cm="1">
        <f t="array" aca="1" ref="E8" ca="1">INDIRECT("'Python Impact of Technique'!V" &amp; 5 + (ROW(A4)-1)*4)*100</f>
        <v>-53.09399582597527</v>
      </c>
      <c r="F8" s="1" cm="1">
        <f t="array" aca="1" ref="F8" ca="1">INDIRECT("'Java Impact of Technique'!W" &amp; 3 + (ROW(A4)-1)*4)*100</f>
        <v>-92.232571776993808</v>
      </c>
      <c r="G8" s="1" cm="1">
        <f t="array" aca="1" ref="G8" ca="1">INDIRECT("'Java Impact of Technique'!W" &amp; 5 + (ROW(A4)-1)*4)*100</f>
        <v>-82.796190484589147</v>
      </c>
      <c r="H8" s="28">
        <f ca="1">AVERAGE(Tabla3[[#This Row],[Impact (%)]:[Impact (%)2]])</f>
        <v>-5.9327929535472741</v>
      </c>
      <c r="I8" s="28">
        <f ca="1">AVERAGE(Tabla3[[#This Row],[Impact (%)3]:[Impact (%)4]])</f>
        <v>-61.735288721775163</v>
      </c>
      <c r="J8" s="28">
        <f ca="1">AVERAGE(Tabla3[[#This Row],[Impact (%)5]:[Impact (%)6]])</f>
        <v>-87.514381130791477</v>
      </c>
      <c r="K8" s="28">
        <f ca="1">AVERAGE(Tabla3[[#This Row],[Average impact (%) C]:[Average impact (%) Java]])</f>
        <v>-51.727487602037968</v>
      </c>
      <c r="L8" s="26" t="s">
        <v>125</v>
      </c>
      <c r="M8" s="26" t="s">
        <v>125</v>
      </c>
      <c r="N8" s="26"/>
      <c r="O8" s="26"/>
    </row>
    <row r="9" spans="1:15" x14ac:dyDescent="0.25">
      <c r="A9" s="76" t="s">
        <v>153</v>
      </c>
      <c r="B9" s="1" cm="1">
        <f t="array" aca="1" ref="B9" ca="1">INDIRECT("'C Impact of Technique'!Q" &amp; 3 + (ROW(A5)-1)*4)*100</f>
        <v>-10.072847791776804</v>
      </c>
      <c r="C9" s="1" cm="1">
        <f t="array" aca="1" ref="C9" ca="1">INDIRECT("'C Impact of Technique'!Q" &amp; 5 + (ROW(A5)-1)*4)*100</f>
        <v>0.84935502812872476</v>
      </c>
      <c r="D9" s="1" cm="1">
        <f t="array" aca="1" ref="D9" ca="1">INDIRECT("'Python Impact of Technique'!V" &amp; 3 + (ROW(A5)-1)*4)*100</f>
        <v>-33.105358385118791</v>
      </c>
      <c r="E9" s="1" cm="1">
        <f t="array" aca="1" ref="E9" ca="1">INDIRECT("'Python Impact of Technique'!V" &amp; 5 + (ROW(A5)-1)*4)*100</f>
        <v>-28.273530705108595</v>
      </c>
      <c r="F9" s="1" cm="1">
        <f t="array" aca="1" ref="F9" ca="1">INDIRECT("'Java Impact of Technique'!W" &amp; 3 + (ROW(A5)-1)*4)*100</f>
        <v>0.84728249638355779</v>
      </c>
      <c r="G9" s="1" cm="1">
        <f t="array" aca="1" ref="G9" ca="1">INDIRECT("'Java Impact of Technique'!W" &amp; 5 + (ROW(A5)-1)*4)*100</f>
        <v>-6.2754377152698178</v>
      </c>
      <c r="H9" s="28">
        <f ca="1">AVERAGE(Tabla3[[#This Row],[Impact (%)]:[Impact (%)2]])</f>
        <v>-4.6117463818240392</v>
      </c>
      <c r="I9" s="28">
        <f ca="1">AVERAGE(Tabla3[[#This Row],[Impact (%)3]:[Impact (%)4]])</f>
        <v>-30.689444545113695</v>
      </c>
      <c r="J9" s="28">
        <f ca="1">AVERAGE(Tabla3[[#This Row],[Impact (%)5]:[Impact (%)6]])</f>
        <v>-2.7140776094431298</v>
      </c>
      <c r="K9" s="28">
        <f ca="1">AVERAGE(Tabla3[[#This Row],[Average impact (%) C]:[Average impact (%) Java]])</f>
        <v>-12.671756178793622</v>
      </c>
      <c r="L9" s="26"/>
      <c r="M9" s="26" t="s">
        <v>125</v>
      </c>
      <c r="N9" s="26"/>
      <c r="O9" s="26"/>
    </row>
    <row r="10" spans="1:15" x14ac:dyDescent="0.25">
      <c r="A10" s="76" t="s">
        <v>19</v>
      </c>
      <c r="B10" s="1" cm="1">
        <f t="array" aca="1" ref="B10" ca="1">INDIRECT("'C Impact of Technique'!Q" &amp; 3 + (ROW(A6)-1)*4)*100</f>
        <v>-99.557974719376517</v>
      </c>
      <c r="C10" s="1" cm="1">
        <f t="array" aca="1" ref="C10" ca="1">INDIRECT("'C Impact of Technique'!Q" &amp; 5 + (ROW(A6)-1)*4)*100</f>
        <v>-99.810559215391663</v>
      </c>
      <c r="D10" s="1" cm="1">
        <f t="array" aca="1" ref="D10" ca="1">INDIRECT("'Python Impact of Technique'!V" &amp; 3 + (ROW(A6)-1)*4)*100</f>
        <v>-49.809920516200862</v>
      </c>
      <c r="E10" s="1" cm="1">
        <f t="array" aca="1" ref="E10" ca="1">INDIRECT("'Python Impact of Technique'!V" &amp; 5 + (ROW(A6)-1)*4)*100</f>
        <v>-68.720426990279577</v>
      </c>
      <c r="F10" s="1" cm="1">
        <f t="array" aca="1" ref="F10" ca="1">INDIRECT("'Java Impact of Technique'!W" &amp; 3 + (ROW(A6)-1)*4)*100</f>
        <v>-99.955927879231425</v>
      </c>
      <c r="G10" s="1" cm="1">
        <f t="array" aca="1" ref="G10" ca="1">INDIRECT("'Java Impact of Technique'!W" &amp; 5 + (ROW(A6)-1)*4)*100</f>
        <v>-96.329673918942476</v>
      </c>
      <c r="H10" s="28">
        <f ca="1">AVERAGE(Tabla3[[#This Row],[Impact (%)]:[Impact (%)2]])</f>
        <v>-99.68426696738409</v>
      </c>
      <c r="I10" s="28">
        <f ca="1">AVERAGE(Tabla3[[#This Row],[Impact (%)3]:[Impact (%)4]])</f>
        <v>-59.265173753240219</v>
      </c>
      <c r="J10" s="28">
        <f ca="1">AVERAGE(Tabla3[[#This Row],[Impact (%)5]:[Impact (%)6]])</f>
        <v>-98.14280089908695</v>
      </c>
      <c r="K10" s="28">
        <f ca="1">AVERAGE(Tabla3[[#This Row],[Average impact (%) C]:[Average impact (%) Java]])</f>
        <v>-85.697413873237068</v>
      </c>
      <c r="L10" s="26"/>
      <c r="M10" s="26" t="s">
        <v>125</v>
      </c>
      <c r="N10" s="26"/>
      <c r="O10" s="26" t="s">
        <v>125</v>
      </c>
    </row>
    <row r="11" spans="1:15" x14ac:dyDescent="0.25">
      <c r="A11" s="76" t="s">
        <v>21</v>
      </c>
      <c r="B11" s="1" cm="1">
        <f t="array" aca="1" ref="B11" ca="1">INDIRECT("'C Impact of Technique'!Q" &amp; 3 + (ROW(A7)-1)*4)*100</f>
        <v>-0.15261440445574287</v>
      </c>
      <c r="C11" s="1" cm="1">
        <f t="array" aca="1" ref="C11" ca="1">INDIRECT("'C Impact of Technique'!Q" &amp; 5 + (ROW(A7)-1)*4)*100</f>
        <v>-20.762423417290677</v>
      </c>
      <c r="D11" s="1" cm="1">
        <f t="array" aca="1" ref="D11" ca="1">INDIRECT("'Python Impact of Technique'!V" &amp; 3 + (ROW(A7)-1)*4)*100</f>
        <v>-24.297536072308816</v>
      </c>
      <c r="E11" s="1" cm="1">
        <f t="array" aca="1" ref="E11" ca="1">INDIRECT("'Python Impact of Technique'!V" &amp; 5 + (ROW(A7)-1)*4)*100</f>
        <v>-21.111568001890575</v>
      </c>
      <c r="F11" s="1" cm="1">
        <f t="array" aca="1" ref="F11" ca="1">INDIRECT("'Java Impact of Technique'!W" &amp; 3 + (ROW(A7)-1)*4)*100</f>
        <v>4.1647277803629761</v>
      </c>
      <c r="G11" s="1" cm="1">
        <f t="array" aca="1" ref="G11" ca="1">INDIRECT("'Java Impact of Technique'!W" &amp; 5 + (ROW(A7)-1)*4)*100</f>
        <v>-34.101500972549651</v>
      </c>
      <c r="H11" s="28">
        <f ca="1">AVERAGE(Tabla3[[#This Row],[Impact (%)]:[Impact (%)2]])</f>
        <v>-10.45751891087321</v>
      </c>
      <c r="I11" s="28">
        <f ca="1">AVERAGE(Tabla3[[#This Row],[Impact (%)3]:[Impact (%)4]])</f>
        <v>-22.704552037099695</v>
      </c>
      <c r="J11" s="28">
        <f ca="1">AVERAGE(Tabla3[[#This Row],[Impact (%)5]:[Impact (%)6]])</f>
        <v>-14.968386596093337</v>
      </c>
      <c r="K11" s="28">
        <f ca="1">AVERAGE(Tabla3[[#This Row],[Average impact (%) C]:[Average impact (%) Java]])</f>
        <v>-16.043485848022083</v>
      </c>
      <c r="L11" s="26" t="s">
        <v>125</v>
      </c>
      <c r="M11" s="26"/>
      <c r="N11" s="26"/>
      <c r="O11" s="26" t="s">
        <v>125</v>
      </c>
    </row>
    <row r="12" spans="1:15" x14ac:dyDescent="0.25">
      <c r="A12" s="76" t="s">
        <v>23</v>
      </c>
      <c r="B12" s="1" cm="1">
        <f t="array" aca="1" ref="B12" ca="1">INDIRECT("'C Impact of Technique'!Q" &amp; 3 + (ROW(A8)-1)*4)*100</f>
        <v>-14.105504587155968</v>
      </c>
      <c r="C12" s="1" cm="1">
        <f t="array" aca="1" ref="C12" ca="1">INDIRECT("'C Impact of Technique'!Q" &amp; 5 + (ROW(A8)-1)*4)*100</f>
        <v>-56.419832822077986</v>
      </c>
      <c r="D12" s="1" cm="1">
        <f t="array" aca="1" ref="D12" ca="1">INDIRECT("'Python Impact of Technique'!V" &amp; 3 + (ROW(A8)-1)*4)*100</f>
        <v>-20.611366633678625</v>
      </c>
      <c r="E12" s="1" cm="1">
        <f t="array" aca="1" ref="E12" ca="1">INDIRECT("'Python Impact of Technique'!V" &amp; 5 + (ROW(A8)-1)*4)*100</f>
        <v>-15.991069700348914</v>
      </c>
      <c r="F12" s="1" cm="1">
        <f t="array" aca="1" ref="F12" ca="1">INDIRECT("'Java Impact of Technique'!W" &amp; 3 + (ROW(A8)-1)*4)*100</f>
        <v>-0.38927335640138699</v>
      </c>
      <c r="G12" s="1" cm="1">
        <f t="array" aca="1" ref="G12" ca="1">INDIRECT("'Java Impact of Technique'!W" &amp; 5 + (ROW(A8)-1)*4)*100</f>
        <v>-33.892290205102768</v>
      </c>
      <c r="H12" s="28">
        <f ca="1">AVERAGE(Tabla3[[#This Row],[Impact (%)]:[Impact (%)2]])</f>
        <v>-35.262668704616978</v>
      </c>
      <c r="I12" s="28">
        <f ca="1">AVERAGE(Tabla3[[#This Row],[Impact (%)3]:[Impact (%)4]])</f>
        <v>-18.301218167013769</v>
      </c>
      <c r="J12" s="28">
        <f ca="1">AVERAGE(Tabla3[[#This Row],[Impact (%)5]:[Impact (%)6]])</f>
        <v>-17.140781780752079</v>
      </c>
      <c r="K12" s="28">
        <f ca="1">AVERAGE(Tabla3[[#This Row],[Average impact (%) C]:[Average impact (%) Java]])</f>
        <v>-23.568222884127607</v>
      </c>
      <c r="L12" s="26"/>
      <c r="M12" s="26" t="s">
        <v>125</v>
      </c>
      <c r="N12" s="26"/>
      <c r="O12" s="26"/>
    </row>
    <row r="13" spans="1:15" x14ac:dyDescent="0.25">
      <c r="A13" s="76" t="s">
        <v>25</v>
      </c>
      <c r="B13" s="1" cm="1">
        <f t="array" aca="1" ref="B13" ca="1">INDIRECT("'C Impact of Technique'!Q" &amp; 3 + (ROW(A9)-1)*4)*100</f>
        <v>-0.62340280694996386</v>
      </c>
      <c r="C13" s="1" cm="1">
        <f t="array" aca="1" ref="C13" ca="1">INDIRECT("'C Impact of Technique'!Q" &amp; 5 + (ROW(A9)-1)*4)*100</f>
        <v>-8.4732176153704089</v>
      </c>
      <c r="D13" s="1" cm="1">
        <f t="array" aca="1" ref="D13" ca="1">INDIRECT("'Python Impact of Technique'!V" &amp; 3 + (ROW(A9)-1)*4)*100</f>
        <v>-18.055062978364759</v>
      </c>
      <c r="E13" s="1" cm="1">
        <f t="array" aca="1" ref="E13" ca="1">INDIRECT("'Python Impact of Technique'!V" &amp; 5 + (ROW(A9)-1)*4)*100</f>
        <v>-2.8524666258177529</v>
      </c>
      <c r="F13" s="1" cm="1">
        <f t="array" aca="1" ref="F13" ca="1">INDIRECT("'Java Impact of Technique'!W" &amp; 3 + (ROW(A9)-1)*4)*100</f>
        <v>-74.251644592064864</v>
      </c>
      <c r="G13" s="1" cm="1">
        <f t="array" aca="1" ref="G13" ca="1">INDIRECT("'Java Impact of Technique'!W" &amp; 5 + (ROW(A9)-1)*4)*100</f>
        <v>-1.1994737424390973</v>
      </c>
      <c r="H13" s="28">
        <f ca="1">AVERAGE(Tabla3[[#This Row],[Impact (%)]:[Impact (%)2]])</f>
        <v>-4.5483102111601861</v>
      </c>
      <c r="I13" s="28">
        <f ca="1">AVERAGE(Tabla3[[#This Row],[Impact (%)3]:[Impact (%)4]])</f>
        <v>-10.453764802091257</v>
      </c>
      <c r="J13" s="28">
        <f ca="1">AVERAGE(Tabla3[[#This Row],[Impact (%)5]:[Impact (%)6]])</f>
        <v>-37.72555916725198</v>
      </c>
      <c r="K13" s="28">
        <f ca="1">AVERAGE(Tabla3[[#This Row],[Average impact (%) C]:[Average impact (%) Java]])</f>
        <v>-17.575878060167806</v>
      </c>
      <c r="L13" s="26" t="s">
        <v>125</v>
      </c>
      <c r="M13" s="26"/>
      <c r="N13" s="26"/>
      <c r="O13" s="26" t="s">
        <v>125</v>
      </c>
    </row>
    <row r="14" spans="1:15" x14ac:dyDescent="0.25">
      <c r="A14" s="76" t="s">
        <v>31</v>
      </c>
      <c r="B14" s="1" cm="1">
        <f t="array" aca="1" ref="B14" ca="1">INDIRECT("'C Impact of Technique'!Q" &amp; 3 + (ROW(A10)-1)*4)*100</f>
        <v>-8.2830025884383076</v>
      </c>
      <c r="C14" s="1" cm="1">
        <f t="array" aca="1" ref="C14" ca="1">INDIRECT("'C Impact of Technique'!Q" &amp; 5 + (ROW(A10)-1)*4)*100</f>
        <v>-7.1555555555555621</v>
      </c>
      <c r="D14" s="1" cm="1">
        <f t="array" aca="1" ref="D14" ca="1">INDIRECT("'Python Impact of Technique'!V" &amp; 3 + (ROW(A10)-1)*4)*100</f>
        <v>1.3920549239102509</v>
      </c>
      <c r="E14" s="1" cm="1">
        <f t="array" aca="1" ref="E14" ca="1">INDIRECT("'Python Impact of Technique'!V" &amp; 5 + (ROW(A10)-1)*4)*100</f>
        <v>7.9006641979619525</v>
      </c>
      <c r="F14" s="1" cm="1">
        <f t="array" aca="1" ref="F14" ca="1">INDIRECT("'Java Impact of Technique'!W" &amp; 3 + (ROW(A10)-1)*4)*100</f>
        <v>-0.81733534678580178</v>
      </c>
      <c r="G14" s="1" cm="1">
        <f t="array" aca="1" ref="G14" ca="1">INDIRECT("'Java Impact of Technique'!W" &amp; 5 + (ROW(A10)-1)*4)*100</f>
        <v>-2.9288824540189271</v>
      </c>
      <c r="H14" s="28">
        <f ca="1">AVERAGE(Tabla3[[#This Row],[Impact (%)]:[Impact (%)2]])</f>
        <v>-7.7192790719969349</v>
      </c>
      <c r="I14" s="28">
        <f ca="1">AVERAGE(Tabla3[[#This Row],[Impact (%)3]:[Impact (%)4]])</f>
        <v>4.6463595609361015</v>
      </c>
      <c r="J14" s="28">
        <f ca="1">AVERAGE(Tabla3[[#This Row],[Impact (%)5]:[Impact (%)6]])</f>
        <v>-1.8731089004023644</v>
      </c>
      <c r="K14" s="28">
        <f ca="1">AVERAGE(Tabla3[[#This Row],[Average impact (%) C]:[Average impact (%) Java]])</f>
        <v>-1.6486761371543992</v>
      </c>
      <c r="L14" s="26"/>
      <c r="M14" s="26"/>
      <c r="N14" s="26" t="s">
        <v>125</v>
      </c>
      <c r="O14" s="26"/>
    </row>
    <row r="15" spans="1:15" x14ac:dyDescent="0.25">
      <c r="A15" s="76" t="s">
        <v>33</v>
      </c>
      <c r="B15" s="1" cm="1">
        <f t="array" aca="1" ref="B15" ca="1">INDIRECT("'C Impact of Technique'!Q" &amp; 3 + (ROW(A11)-1)*4)*100</f>
        <v>-1.8383924754168386</v>
      </c>
      <c r="C15" s="1" cm="1">
        <f t="array" aca="1" ref="C15" ca="1">INDIRECT("'C Impact of Technique'!Q" &amp; 5 + (ROW(A11)-1)*4)*100</f>
        <v>-0.70144673388864398</v>
      </c>
      <c r="D15" s="1" cm="1">
        <f t="array" aca="1" ref="D15" ca="1">INDIRECT("'Python Impact of Technique'!V" &amp; 3 + (ROW(A11)-1)*4)*100</f>
        <v>3.9763631354300268</v>
      </c>
      <c r="E15" s="1" cm="1">
        <f t="array" aca="1" ref="E15" ca="1">INDIRECT("'Python Impact of Technique'!V" &amp; 5 + (ROW(A11)-1)*4)*100</f>
        <v>13.769458491353253</v>
      </c>
      <c r="F15" s="1" cm="1">
        <f t="array" aca="1" ref="F15" ca="1">INDIRECT("'Java Impact of Technique'!W" &amp; 3 + (ROW(A11)-1)*4)*100</f>
        <v>-1.8488181605429403</v>
      </c>
      <c r="G15" s="1" cm="1">
        <f t="array" aca="1" ref="G15" ca="1">INDIRECT("'Java Impact of Technique'!W" &amp; 5 + (ROW(A11)-1)*4)*100</f>
        <v>4.9966955866964273</v>
      </c>
      <c r="H15" s="28">
        <f ca="1">AVERAGE(Tabla3[[#This Row],[Impact (%)]:[Impact (%)2]])</f>
        <v>-1.2699196046527412</v>
      </c>
      <c r="I15" s="28">
        <f ca="1">AVERAGE(Tabla3[[#This Row],[Impact (%)3]:[Impact (%)4]])</f>
        <v>8.8729108133916395</v>
      </c>
      <c r="J15" s="28">
        <f ca="1">AVERAGE(Tabla3[[#This Row],[Impact (%)5]:[Impact (%)6]])</f>
        <v>1.5739387130767435</v>
      </c>
      <c r="K15" s="28">
        <f ca="1">AVERAGE(Tabla3[[#This Row],[Average impact (%) C]:[Average impact (%) Java]])</f>
        <v>3.0589766406052141</v>
      </c>
      <c r="L15" s="26"/>
      <c r="M15" s="26"/>
      <c r="N15" s="26" t="s">
        <v>125</v>
      </c>
      <c r="O15" s="26"/>
    </row>
    <row r="16" spans="1:15" x14ac:dyDescent="0.25">
      <c r="A16" s="76" t="s">
        <v>37</v>
      </c>
      <c r="B16" s="1" cm="1">
        <f t="array" aca="1" ref="B16" ca="1">INDIRECT("'C Impact of Technique'!Q" &amp; 3 + (ROW(A12)-1)*4)*100</f>
        <v>3.0779176122687697</v>
      </c>
      <c r="C16" s="1" cm="1">
        <f t="array" aca="1" ref="C16" ca="1">INDIRECT("'C Impact of Technique'!Q" &amp; 5 + (ROW(A12)-1)*4)*100</f>
        <v>12.986224263072124</v>
      </c>
      <c r="D16" s="1" cm="1">
        <f t="array" aca="1" ref="D16" ca="1">INDIRECT("'Python Impact of Technique'!V" &amp; 3 + (ROW(A12)-1)*4)*100</f>
        <v>3.9103596133052441</v>
      </c>
      <c r="E16" s="1" cm="1">
        <f t="array" aca="1" ref="E16" ca="1">INDIRECT("'Python Impact of Technique'!V" &amp; 5 + (ROW(A12)-1)*4)*100</f>
        <v>5.407469447875509</v>
      </c>
      <c r="F16" s="1" cm="1">
        <f t="array" aca="1" ref="F16" ca="1">INDIRECT("'Java Impact of Technique'!W" &amp; 3 + (ROW(A12)-1)*4)*100</f>
        <v>-11.167962428009776</v>
      </c>
      <c r="G16" s="1" cm="1">
        <f t="array" aca="1" ref="G16" ca="1">INDIRECT("'Java Impact of Technique'!W" &amp; 5 + (ROW(A12)-1)*4)*100</f>
        <v>-5.8125667257532037</v>
      </c>
      <c r="H16" s="28">
        <f ca="1">AVERAGE(Tabla3[[#This Row],[Impact (%)]:[Impact (%)2]])</f>
        <v>8.0320709376704471</v>
      </c>
      <c r="I16" s="28">
        <f ca="1">AVERAGE(Tabla3[[#This Row],[Impact (%)3]:[Impact (%)4]])</f>
        <v>4.6589145305903763</v>
      </c>
      <c r="J16" s="28">
        <f ca="1">AVERAGE(Tabla3[[#This Row],[Impact (%)5]:[Impact (%)6]])</f>
        <v>-8.4902645768814899</v>
      </c>
      <c r="K16" s="28">
        <f ca="1">AVERAGE(Tabla3[[#This Row],[Average impact (%) C]:[Average impact (%) Java]])</f>
        <v>1.4002402971264445</v>
      </c>
      <c r="L16" s="26"/>
      <c r="M16" s="26" t="s">
        <v>125</v>
      </c>
      <c r="N16" s="26"/>
      <c r="O16" s="26" t="s">
        <v>125</v>
      </c>
    </row>
    <row r="17" spans="1:15" x14ac:dyDescent="0.25">
      <c r="A17" s="76" t="s">
        <v>39</v>
      </c>
      <c r="B17" s="1" cm="1">
        <f t="array" aca="1" ref="B17" ca="1">INDIRECT("'C Impact of Technique'!Q" &amp; 3 + (ROW(A13)-1)*4)*100</f>
        <v>-67.18113428228078</v>
      </c>
      <c r="C17" s="1" cm="1">
        <f t="array" aca="1" ref="C17" ca="1">INDIRECT("'C Impact of Technique'!Q" &amp; 5 + (ROW(A13)-1)*4)*100</f>
        <v>49.845851276660682</v>
      </c>
      <c r="D17" s="1" cm="1">
        <f t="array" aca="1" ref="D17" ca="1">INDIRECT("'Python Impact of Technique'!V" &amp; 3 + (ROW(A13)-1)*4)*100</f>
        <v>-8.5382364498427812</v>
      </c>
      <c r="E17" s="1" cm="1">
        <f t="array" aca="1" ref="E17" ca="1">INDIRECT("'Python Impact of Technique'!V" &amp; 5 + (ROW(A13)-1)*4)*100</f>
        <v>7.9880277268757185</v>
      </c>
      <c r="F17" s="1" cm="1">
        <f t="array" aca="1" ref="F17" ca="1">INDIRECT("'Java Impact of Technique'!W" &amp; 3 + (ROW(A13)-1)*4)*100</f>
        <v>81.603730401593253</v>
      </c>
      <c r="G17" s="1" cm="1">
        <f t="array" aca="1" ref="G17" ca="1">INDIRECT("'Java Impact of Technique'!W" &amp; 5 + (ROW(A13)-1)*4)*100</f>
        <v>-27.823172661967515</v>
      </c>
      <c r="H17" s="28">
        <f ca="1">AVERAGE(Tabla3[[#This Row],[Impact (%)]:[Impact (%)2]])</f>
        <v>-8.6676415028100493</v>
      </c>
      <c r="I17" s="28">
        <f ca="1">AVERAGE(Tabla3[[#This Row],[Impact (%)3]:[Impact (%)4]])</f>
        <v>-0.27510436148353135</v>
      </c>
      <c r="J17" s="28">
        <f ca="1">AVERAGE(Tabla3[[#This Row],[Impact (%)5]:[Impact (%)6]])</f>
        <v>26.890278869812867</v>
      </c>
      <c r="K17" s="28">
        <f ca="1">AVERAGE(Tabla3[[#This Row],[Average impact (%) C]:[Average impact (%) Java]])</f>
        <v>5.9825110018397618</v>
      </c>
      <c r="L17" s="26"/>
      <c r="M17" s="26" t="s">
        <v>125</v>
      </c>
      <c r="N17" s="26"/>
      <c r="O17" s="26" t="s">
        <v>125</v>
      </c>
    </row>
    <row r="18" spans="1:15" x14ac:dyDescent="0.25">
      <c r="A18" s="76" t="s">
        <v>49</v>
      </c>
      <c r="B18" s="1" cm="1">
        <f t="array" aca="1" ref="B18" ca="1">INDIRECT("'C Impact of Technique'!Q" &amp; 3 + (ROW(A14)-1)*4)*100</f>
        <v>-17.782095564383646</v>
      </c>
      <c r="C18" s="1" cm="1">
        <f t="array" aca="1" ref="C18" ca="1">INDIRECT("'C Impact of Technique'!Q" &amp; 5 + (ROW(A14)-1)*4)*100</f>
        <v>-24.089378676033945</v>
      </c>
      <c r="D18" s="1" cm="1">
        <f t="array" aca="1" ref="D18" ca="1">INDIRECT("'Python Impact of Technique'!V" &amp; 3 + (ROW(A14)-1)*4)*100</f>
        <v>-3.3376793575922048</v>
      </c>
      <c r="E18" s="1" cm="1">
        <f t="array" aca="1" ref="E18" ca="1">INDIRECT("'Python Impact of Technique'!V" &amp; 5 + (ROW(A14)-1)*4)*100</f>
        <v>-5.3669901583458683</v>
      </c>
      <c r="F18" s="1" cm="1">
        <f t="array" aca="1" ref="F18" ca="1">INDIRECT("'Java Impact of Technique'!W" &amp; 3 + (ROW(A14)-1)*4)*100</f>
        <v>2.3071545094383734</v>
      </c>
      <c r="G18" s="1" cm="1">
        <f t="array" aca="1" ref="G18" ca="1">INDIRECT("'Java Impact of Technique'!W" &amp; 5 + (ROW(A14)-1)*4)*100</f>
        <v>-23.503396363964349</v>
      </c>
      <c r="H18" s="28">
        <f ca="1">AVERAGE(Tabla3[[#This Row],[Impact (%)]:[Impact (%)2]])</f>
        <v>-20.935737120208795</v>
      </c>
      <c r="I18" s="28">
        <f ca="1">AVERAGE(Tabla3[[#This Row],[Impact (%)3]:[Impact (%)4]])</f>
        <v>-4.3523347579690368</v>
      </c>
      <c r="J18" s="28">
        <f ca="1">AVERAGE(Tabla3[[#This Row],[Impact (%)5]:[Impact (%)6]])</f>
        <v>-10.598120927262988</v>
      </c>
      <c r="K18" s="28">
        <f ca="1">AVERAGE(Tabla3[[#This Row],[Average impact (%) C]:[Average impact (%) Java]])</f>
        <v>-11.962064268480274</v>
      </c>
      <c r="L18" s="26"/>
      <c r="M18" s="26" t="s">
        <v>125</v>
      </c>
      <c r="N18" s="26"/>
      <c r="O18" s="26" t="s">
        <v>125</v>
      </c>
    </row>
    <row r="19" spans="1:15" x14ac:dyDescent="0.25">
      <c r="A19" s="76" t="s">
        <v>51</v>
      </c>
      <c r="B19" s="1" cm="1">
        <f t="array" aca="1" ref="B19" ca="1">INDIRECT("'C Impact of Technique'!Q" &amp; 3 + (ROW(A15)-1)*4)*100</f>
        <v>-1.16610503141709</v>
      </c>
      <c r="C19" s="1" cm="1">
        <f t="array" aca="1" ref="C19" ca="1">INDIRECT("'C Impact of Technique'!Q" &amp; 5 + (ROW(A15)-1)*4)*100</f>
        <v>-89.059672070430466</v>
      </c>
      <c r="D19" s="1" cm="1">
        <f t="array" aca="1" ref="D19" ca="1">INDIRECT("'Python Impact of Technique'!V" &amp; 3 + (ROW(A15)-1)*4)*100</f>
        <v>-25.202628684492627</v>
      </c>
      <c r="E19" s="1" cm="1">
        <f t="array" aca="1" ref="E19" ca="1">INDIRECT("'Python Impact of Technique'!V" &amp; 5 + (ROW(A15)-1)*4)*100</f>
        <v>-16.670107657059162</v>
      </c>
      <c r="F19" s="1" cm="1">
        <f t="array" aca="1" ref="F19" ca="1">INDIRECT("'Java Impact of Technique'!W" &amp; 3 + (ROW(A15)-1)*4)*100</f>
        <v>1.5309632839924121</v>
      </c>
      <c r="G19" s="1" cm="1">
        <f t="array" aca="1" ref="G19" ca="1">INDIRECT("'Java Impact of Technique'!W" &amp; 5 + (ROW(A15)-1)*4)*100</f>
        <v>-25.193948425600716</v>
      </c>
      <c r="H19" s="28">
        <f ca="1">AVERAGE(Tabla3[[#This Row],[Impact (%)]:[Impact (%)2]])</f>
        <v>-45.112888550923778</v>
      </c>
      <c r="I19" s="28">
        <f ca="1">AVERAGE(Tabla3[[#This Row],[Impact (%)3]:[Impact (%)4]])</f>
        <v>-20.936368170775893</v>
      </c>
      <c r="J19" s="28">
        <f ca="1">AVERAGE(Tabla3[[#This Row],[Impact (%)5]:[Impact (%)6]])</f>
        <v>-11.831492570804151</v>
      </c>
      <c r="K19" s="28">
        <f ca="1">AVERAGE(Tabla3[[#This Row],[Average impact (%) C]:[Average impact (%) Java]])</f>
        <v>-25.960249764167941</v>
      </c>
      <c r="L19" s="26"/>
      <c r="M19" s="26" t="s">
        <v>125</v>
      </c>
      <c r="N19" s="26"/>
      <c r="O19" s="26" t="s">
        <v>125</v>
      </c>
    </row>
    <row r="20" spans="1:15" x14ac:dyDescent="0.25">
      <c r="A20" s="76" t="s">
        <v>55</v>
      </c>
      <c r="B20" s="1" cm="1">
        <f t="array" aca="1" ref="B20" ca="1">INDIRECT("'C Impact of Technique'!Q" &amp; 3 + (ROW(A16)-1)*4)*100</f>
        <v>40.578452731440443</v>
      </c>
      <c r="C20" s="1" cm="1">
        <f t="array" aca="1" ref="C20" ca="1">INDIRECT("'C Impact of Technique'!Q" &amp; 5 + (ROW(A16)-1)*4)*100</f>
        <v>14.912588739376679</v>
      </c>
      <c r="D20" s="1" cm="1">
        <f t="array" aca="1" ref="D20" ca="1">INDIRECT("'Python Impact of Technique'!V" &amp; 3 + (ROW(A16)-1)*4)*100</f>
        <v>23.592671262227945</v>
      </c>
      <c r="E20" s="1" cm="1">
        <f t="array" aca="1" ref="E20" ca="1">INDIRECT("'Python Impact of Technique'!V" &amp; 5 + (ROW(A16)-1)*4)*100</f>
        <v>21.919466610418961</v>
      </c>
      <c r="F20" s="1" cm="1">
        <f t="array" aca="1" ref="F20" ca="1">INDIRECT("'Java Impact of Technique'!W" &amp; 3 + (ROW(A16)-1)*4)*100</f>
        <v>32.001797853812029</v>
      </c>
      <c r="G20" s="1" cm="1">
        <f t="array" aca="1" ref="G20" ca="1">INDIRECT("'Java Impact of Technique'!W" &amp; 5 + (ROW(A16)-1)*4)*100</f>
        <v>28.279984723119572</v>
      </c>
      <c r="H20" s="28">
        <f ca="1">AVERAGE(Tabla3[[#This Row],[Impact (%)]:[Impact (%)2]])</f>
        <v>27.745520735408562</v>
      </c>
      <c r="I20" s="28">
        <f ca="1">AVERAGE(Tabla3[[#This Row],[Impact (%)3]:[Impact (%)4]])</f>
        <v>22.756068936323452</v>
      </c>
      <c r="J20" s="28">
        <f ca="1">AVERAGE(Tabla3[[#This Row],[Impact (%)5]:[Impact (%)6]])</f>
        <v>30.140891288465802</v>
      </c>
      <c r="K20" s="28">
        <f ca="1">AVERAGE(Tabla3[[#This Row],[Average impact (%) C]:[Average impact (%) Java]])</f>
        <v>26.880826986732604</v>
      </c>
      <c r="L20" s="26"/>
      <c r="M20" s="26"/>
      <c r="N20" s="26"/>
      <c r="O20" s="77" t="s">
        <v>125</v>
      </c>
    </row>
    <row r="21" spans="1:15" x14ac:dyDescent="0.25">
      <c r="A21" s="76" t="s">
        <v>57</v>
      </c>
      <c r="B21" s="1" cm="1">
        <f t="array" aca="1" ref="B21" ca="1">INDIRECT("'C Impact of Technique'!Q" &amp; 3 + (ROW(A17)-1)*4)*100</f>
        <v>1.2525050100200537</v>
      </c>
      <c r="C21" s="1" cm="1">
        <f t="array" aca="1" ref="C21" ca="1">INDIRECT("'C Impact of Technique'!Q" &amp; 5 + (ROW(A17)-1)*4)*100</f>
        <v>0.62979060590132641</v>
      </c>
      <c r="D21" s="1" cm="1">
        <f t="array" aca="1" ref="D21" ca="1">INDIRECT("'Python Impact of Technique'!V" &amp; 3 + (ROW(A17)-1)*4)*100</f>
        <v>6.1167023485203549</v>
      </c>
      <c r="E21" s="1" cm="1">
        <f t="array" aca="1" ref="E21" ca="1">INDIRECT("'Python Impact of Technique'!V" &amp; 5 + (ROW(A17)-1)*4)*100</f>
        <v>17.824158010898159</v>
      </c>
      <c r="F21" s="1" cm="1">
        <f t="array" aca="1" ref="F21" ca="1">INDIRECT("'Java Impact of Technique'!W" &amp; 3 + (ROW(A17)-1)*4)*100</f>
        <v>0.39447731755424137</v>
      </c>
      <c r="G21" s="1" cm="1">
        <f t="array" aca="1" ref="G21" ca="1">INDIRECT("'Java Impact of Technique'!W" &amp; 5 + (ROW(A17)-1)*4)*100</f>
        <v>-2.0566866029009967</v>
      </c>
      <c r="H21" s="28">
        <f ca="1">AVERAGE(Tabla3[[#This Row],[Impact (%)]:[Impact (%)2]])</f>
        <v>0.94114780796069009</v>
      </c>
      <c r="I21" s="28">
        <f ca="1">AVERAGE(Tabla3[[#This Row],[Impact (%)3]:[Impact (%)4]])</f>
        <v>11.970430179709258</v>
      </c>
      <c r="J21" s="28">
        <f ca="1">AVERAGE(Tabla3[[#This Row],[Impact (%)5]:[Impact (%)6]])</f>
        <v>-0.83110464267337769</v>
      </c>
      <c r="K21" s="28">
        <f ca="1">AVERAGE(Tabla3[[#This Row],[Average impact (%) C]:[Average impact (%) Java]])</f>
        <v>4.0268244483321896</v>
      </c>
      <c r="L21" s="26"/>
      <c r="M21" s="26"/>
      <c r="N21" s="26" t="s">
        <v>125</v>
      </c>
      <c r="O21" s="77"/>
    </row>
    <row r="22" spans="1:15" x14ac:dyDescent="0.25">
      <c r="A22" s="76" t="s">
        <v>61</v>
      </c>
      <c r="B22" s="1" cm="1">
        <f t="array" aca="1" ref="B22" ca="1">INDIRECT("'C Impact of Technique'!Q" &amp; 3 + (ROW(A18)-1)*4)*100</f>
        <v>49.151693988415659</v>
      </c>
      <c r="C22" s="1" cm="1">
        <f t="array" aca="1" ref="C22" ca="1">INDIRECT("'C Impact of Technique'!Q" &amp; 5 + (ROW(A18)-1)*4)*100</f>
        <v>41.687641773226041</v>
      </c>
      <c r="D22" s="1" cm="1">
        <f t="array" aca="1" ref="D22" ca="1">INDIRECT("'Python Impact of Technique'!V" &amp; 3 + (ROW(A18)-1)*4)*100</f>
        <v>117.24449714758838</v>
      </c>
      <c r="E22" s="1" cm="1">
        <f t="array" aca="1" ref="E22" ca="1">INDIRECT("'Python Impact of Technique'!V" &amp; 5 + (ROW(A18)-1)*4)*100</f>
        <v>8.1219619678943236</v>
      </c>
      <c r="F22" s="1" cm="1">
        <f t="array" aca="1" ref="F22" ca="1">INDIRECT("'Java Impact of Technique'!W" &amp; 3 + (ROW(A18)-1)*4)*100</f>
        <v>41.77680381400495</v>
      </c>
      <c r="G22" s="1" cm="1">
        <f t="array" aca="1" ref="G22" ca="1">INDIRECT("'Java Impact of Technique'!W" &amp; 5 + (ROW(A18)-1)*4)*100</f>
        <v>60.32365217072384</v>
      </c>
      <c r="H22" s="28">
        <f ca="1">AVERAGE(Tabla3[[#This Row],[Impact (%)]:[Impact (%)2]])</f>
        <v>45.419667880820853</v>
      </c>
      <c r="I22" s="28">
        <f ca="1">AVERAGE(Tabla3[[#This Row],[Impact (%)3]:[Impact (%)4]])</f>
        <v>62.683229557741349</v>
      </c>
      <c r="J22" s="28">
        <f ca="1">AVERAGE(Tabla3[[#This Row],[Impact (%)5]:[Impact (%)6]])</f>
        <v>51.050227992364398</v>
      </c>
      <c r="K22" s="28">
        <f ca="1">AVERAGE(Tabla3[[#This Row],[Average impact (%) C]:[Average impact (%) Java]])</f>
        <v>53.051041810308867</v>
      </c>
      <c r="L22" s="26"/>
      <c r="M22" s="26" t="s">
        <v>125</v>
      </c>
      <c r="N22" s="26"/>
      <c r="O22" s="77"/>
    </row>
    <row r="23" spans="1:15" x14ac:dyDescent="0.25">
      <c r="A23" s="76" t="s">
        <v>63</v>
      </c>
      <c r="B23" s="1" cm="1">
        <f t="array" aca="1" ref="B23" ca="1">INDIRECT("'C Impact of Technique'!Q" &amp; 3 + (ROW(A19)-1)*4)*100</f>
        <v>-1.4979523164982138</v>
      </c>
      <c r="C23" s="1" cm="1">
        <f t="array" aca="1" ref="C23" ca="1">INDIRECT("'C Impact of Technique'!Q" &amp; 5 + (ROW(A19)-1)*4)*100</f>
        <v>-2.4056408129406894</v>
      </c>
      <c r="D23" s="1" cm="1">
        <f t="array" aca="1" ref="D23" ca="1">INDIRECT("'Python Impact of Technique'!V" &amp; 3 + (ROW(A19)-1)*4)*100</f>
        <v>16.722519218273582</v>
      </c>
      <c r="E23" s="1" cm="1">
        <f t="array" aca="1" ref="E23" ca="1">INDIRECT("'Python Impact of Technique'!V" &amp; 5 + (ROW(A19)-1)*4)*100</f>
        <v>27.869292402172803</v>
      </c>
      <c r="F23" s="1" cm="1">
        <f t="array" aca="1" ref="F23" ca="1">INDIRECT("'Java Impact of Technique'!W" &amp; 3 + (ROW(A19)-1)*4)*100</f>
        <v>145.91636375736206</v>
      </c>
      <c r="G23" s="1" cm="1">
        <f t="array" aca="1" ref="G23" ca="1">INDIRECT("'Java Impact of Technique'!W" &amp; 5 + (ROW(A19)-1)*4)*100</f>
        <v>6.5193702078058742</v>
      </c>
      <c r="H23" s="28">
        <f ca="1">AVERAGE(Tabla3[[#This Row],[Impact (%)]:[Impact (%)2]])</f>
        <v>-1.9517965647194515</v>
      </c>
      <c r="I23" s="28">
        <f ca="1">AVERAGE(Tabla3[[#This Row],[Impact (%)3]:[Impact (%)4]])</f>
        <v>22.295905810223193</v>
      </c>
      <c r="J23" s="28">
        <f ca="1">AVERAGE(Tabla3[[#This Row],[Impact (%)5]:[Impact (%)6]])</f>
        <v>76.217866982583971</v>
      </c>
      <c r="K23" s="28">
        <f ca="1">AVERAGE(Tabla3[[#This Row],[Average impact (%) C]:[Average impact (%) Java]])</f>
        <v>32.187325409362572</v>
      </c>
      <c r="L23" s="26"/>
      <c r="M23" s="26" t="s">
        <v>125</v>
      </c>
      <c r="N23" s="26"/>
      <c r="O23" s="77"/>
    </row>
    <row r="24" spans="1:15" x14ac:dyDescent="0.25">
      <c r="A24" s="76" t="s">
        <v>65</v>
      </c>
      <c r="B24" s="1" cm="1">
        <f t="array" aca="1" ref="B24" ca="1">INDIRECT("'C Impact of Technique'!Q" &amp; 3 + (ROW(A20)-1)*4)*100</f>
        <v>-1.4520443255636148</v>
      </c>
      <c r="C24" s="1" cm="1">
        <f t="array" aca="1" ref="C24" ca="1">INDIRECT("'C Impact of Technique'!Q" &amp; 5 + (ROW(A20)-1)*4)*100</f>
        <v>6.8235294117646994</v>
      </c>
      <c r="D24" s="1" cm="1">
        <f t="array" aca="1" ref="D24" ca="1">INDIRECT("'Python Impact of Technique'!V" &amp; 3 + (ROW(A20)-1)*4)*100</f>
        <v>-2.3177650496855025</v>
      </c>
      <c r="E24" s="1" cm="1">
        <f t="array" aca="1" ref="E24" ca="1">INDIRECT("'Python Impact of Technique'!V" &amp; 5 + (ROW(A20)-1)*4)*100</f>
        <v>-2.5197467828091216</v>
      </c>
      <c r="F24" s="1" cm="1">
        <f t="array" aca="1" ref="F24" ca="1">INDIRECT("'Java Impact of Technique'!W" &amp; 3 + (ROW(A20)-1)*4)*100</f>
        <v>2.4292662360151112</v>
      </c>
      <c r="G24" s="1" cm="1">
        <f t="array" aca="1" ref="G24" ca="1">INDIRECT("'Java Impact of Technique'!W" &amp; 5 + (ROW(A20)-1)*4)*100</f>
        <v>1.2641368621257787</v>
      </c>
      <c r="H24" s="28">
        <f ca="1">AVERAGE(Tabla3[[#This Row],[Impact (%)]:[Impact (%)2]])</f>
        <v>2.6857425431005422</v>
      </c>
      <c r="I24" s="28">
        <f ca="1">AVERAGE(Tabla3[[#This Row],[Impact (%)3]:[Impact (%)4]])</f>
        <v>-2.4187559162473118</v>
      </c>
      <c r="J24" s="28">
        <f ca="1">AVERAGE(Tabla3[[#This Row],[Impact (%)5]:[Impact (%)6]])</f>
        <v>1.846701549070445</v>
      </c>
      <c r="K24" s="28">
        <f ca="1">AVERAGE(Tabla3[[#This Row],[Average impact (%) C]:[Average impact (%) Java]])</f>
        <v>0.70456272530789177</v>
      </c>
      <c r="L24" s="26"/>
      <c r="M24" s="26" t="s">
        <v>125</v>
      </c>
      <c r="N24" s="26"/>
      <c r="O24" s="77"/>
    </row>
    <row r="25" spans="1:15" x14ac:dyDescent="0.25">
      <c r="A25" s="76" t="s">
        <v>71</v>
      </c>
      <c r="B25" s="1" cm="1">
        <f t="array" aca="1" ref="B25" ca="1">INDIRECT("'C Impact of Technique'!Q" &amp; 3 + (ROW(A21)-1)*4)*100</f>
        <v>4.1365779422296525</v>
      </c>
      <c r="C25" s="1" cm="1">
        <f t="array" aca="1" ref="C25" ca="1">INDIRECT("'C Impact of Technique'!Q" &amp; 5 + (ROW(A21)-1)*4)*100</f>
        <v>2.4753748082737248</v>
      </c>
      <c r="D25" s="1" cm="1">
        <f t="array" aca="1" ref="D25" ca="1">INDIRECT("'Python Impact of Technique'!V" &amp; 3 + (ROW(A21)-1)*4)*100</f>
        <v>-12.215891559285184</v>
      </c>
      <c r="E25" s="1" cm="1">
        <f t="array" aca="1" ref="E25" ca="1">INDIRECT("'Python Impact of Technique'!V" &amp; 5 + (ROW(A21)-1)*4)*100</f>
        <v>-8.8872698418423219</v>
      </c>
      <c r="F25" s="1" cm="1">
        <f t="array" aca="1" ref="F25" ca="1">INDIRECT("'Java Impact of Technique'!W" &amp; 3 + (ROW(A21)-1)*4)*100</f>
        <v>-6.3339540566600281</v>
      </c>
      <c r="G25" s="1" cm="1">
        <f t="array" aca="1" ref="G25" ca="1">INDIRECT("'Java Impact of Technique'!W" &amp; 5 + (ROW(A21)-1)*4)*100</f>
        <v>-14.527281168420981</v>
      </c>
      <c r="H25" s="28">
        <f ca="1">AVERAGE(Tabla3[[#This Row],[Impact (%)]:[Impact (%)2]])</f>
        <v>3.3059763752516886</v>
      </c>
      <c r="I25" s="28">
        <f ca="1">AVERAGE(Tabla3[[#This Row],[Impact (%)3]:[Impact (%)4]])</f>
        <v>-10.551580700563754</v>
      </c>
      <c r="J25" s="28">
        <f ca="1">AVERAGE(Tabla3[[#This Row],[Impact (%)5]:[Impact (%)6]])</f>
        <v>-10.430617612540505</v>
      </c>
      <c r="K25" s="28">
        <f ca="1">AVERAGE(Tabla3[[#This Row],[Average impact (%) C]:[Average impact (%) Java]])</f>
        <v>-5.8920739792841905</v>
      </c>
      <c r="L25" s="26"/>
      <c r="M25" s="26"/>
      <c r="N25" s="26"/>
      <c r="O25" s="77" t="s">
        <v>125</v>
      </c>
    </row>
    <row r="26" spans="1:15" x14ac:dyDescent="0.25">
      <c r="A26" s="76" t="s">
        <v>79</v>
      </c>
      <c r="B26" s="1" cm="1">
        <f t="array" aca="1" ref="B26" ca="1">INDIRECT("'C Impact of Technique'!Q" &amp; 3 + (ROW(A22)-1)*4)*100</f>
        <v>-18.286923388007192</v>
      </c>
      <c r="C26" s="1" cm="1">
        <f t="array" aca="1" ref="C26" ca="1">INDIRECT("'C Impact of Technique'!Q" &amp; 5 + (ROW(A22)-1)*4)*100</f>
        <v>-80.662329316487018</v>
      </c>
      <c r="D26" s="1" cm="1">
        <f t="array" aca="1" ref="D26" ca="1">INDIRECT("'Python Impact of Technique'!V" &amp; 3 + (ROW(A22)-1)*4)*100</f>
        <v>-35.986862321496702</v>
      </c>
      <c r="E26" s="1" cm="1">
        <f t="array" aca="1" ref="E26" ca="1">INDIRECT("'Python Impact of Technique'!V" &amp; 5 + (ROW(A22)-1)*4)*100</f>
        <v>-0.99892451555096906</v>
      </c>
      <c r="F26" s="1" cm="1">
        <f t="array" aca="1" ref="F26" ca="1">INDIRECT("'Java Impact of Technique'!W" &amp; 3 + (ROW(A22)-1)*4)*100</f>
        <v>-0.11915443728265429</v>
      </c>
      <c r="G26" s="1" cm="1">
        <f t="array" aca="1" ref="G26" ca="1">INDIRECT("'Java Impact of Technique'!W" &amp; 5 + (ROW(A22)-1)*4)*100</f>
        <v>-71.996217478413229</v>
      </c>
      <c r="H26" s="28">
        <f ca="1">AVERAGE(Tabla3[[#This Row],[Impact (%)]:[Impact (%)2]])</f>
        <v>-49.474626352247107</v>
      </c>
      <c r="I26" s="28">
        <f ca="1">AVERAGE(Tabla3[[#This Row],[Impact (%)3]:[Impact (%)4]])</f>
        <v>-18.492893418523835</v>
      </c>
      <c r="J26" s="28">
        <f ca="1">AVERAGE(Tabla3[[#This Row],[Impact (%)5]:[Impact (%)6]])</f>
        <v>-36.057685957847944</v>
      </c>
      <c r="K26" s="28">
        <f ca="1">AVERAGE(Tabla3[[#This Row],[Average impact (%) C]:[Average impact (%) Java]])</f>
        <v>-34.675068576206293</v>
      </c>
      <c r="L26" s="26"/>
      <c r="M26" s="26"/>
      <c r="N26" s="26"/>
      <c r="O26" s="77" t="s">
        <v>125</v>
      </c>
    </row>
    <row r="27" spans="1:15" x14ac:dyDescent="0.25">
      <c r="A27" s="76" t="s">
        <v>87</v>
      </c>
      <c r="B27" s="1" cm="1">
        <f t="array" aca="1" ref="B27" ca="1">INDIRECT("'C Impact of Technique'!Q" &amp; 3 + (ROW(A23)-1)*4)*100</f>
        <v>-2.288732394366189</v>
      </c>
      <c r="C27" s="1" cm="1">
        <f t="array" aca="1" ref="C27" ca="1">INDIRECT("'C Impact of Technique'!Q" &amp; 5 + (ROW(A23)-1)*4)*100</f>
        <v>-4.8045026102216219</v>
      </c>
      <c r="D27" s="1" cm="1">
        <f t="array" aca="1" ref="D27" ca="1">INDIRECT("'Python Impact of Technique'!V" &amp; 3 + (ROW(A23)-1)*4)*100</f>
        <v>-1.1228030939537197</v>
      </c>
      <c r="E27" s="1" cm="1">
        <f t="array" aca="1" ref="E27" ca="1">INDIRECT("'Python Impact of Technique'!V" &amp; 5 + (ROW(A23)-1)*4)*100</f>
        <v>-3.3292297128940711</v>
      </c>
      <c r="F27" s="1" cm="1">
        <f t="array" aca="1" ref="F27" ca="1">INDIRECT("'Java Impact of Technique'!W" &amp; 3 + (ROW(A23)-1)*4)*100</f>
        <v>-1.7370064986010687</v>
      </c>
      <c r="G27" s="1" cm="1">
        <f t="array" aca="1" ref="G27" ca="1">INDIRECT("'Java Impact of Technique'!W" &amp; 5 + (ROW(A23)-1)*4)*100</f>
        <v>-8.124967361271171</v>
      </c>
      <c r="H27" s="28">
        <f ca="1">AVERAGE(Tabla3[[#This Row],[Impact (%)]:[Impact (%)2]])</f>
        <v>-3.5466175022939055</v>
      </c>
      <c r="I27" s="28">
        <f ca="1">AVERAGE(Tabla3[[#This Row],[Impact (%)3]:[Impact (%)4]])</f>
        <v>-2.2260164034238956</v>
      </c>
      <c r="J27" s="28">
        <f ca="1">AVERAGE(Tabla3[[#This Row],[Impact (%)5]:[Impact (%)6]])</f>
        <v>-4.93098692993612</v>
      </c>
      <c r="K27" s="28">
        <f ca="1">AVERAGE(Tabla3[[#This Row],[Average impact (%) C]:[Average impact (%) Java]])</f>
        <v>-3.5678736118846408</v>
      </c>
      <c r="L27" s="26"/>
      <c r="M27" s="26"/>
      <c r="N27" s="26" t="s">
        <v>125</v>
      </c>
      <c r="O27" s="77"/>
    </row>
    <row r="28" spans="1:15" x14ac:dyDescent="0.25">
      <c r="A28" s="76" t="s">
        <v>91</v>
      </c>
      <c r="B28" s="1" cm="1">
        <f t="array" aca="1" ref="B28" ca="1">INDIRECT("'C Impact of Technique'!Q" &amp; 3 + (ROW(A24)-1)*4)*100</f>
        <v>-12.895477460933444</v>
      </c>
      <c r="C28" s="1" cm="1">
        <f t="array" aca="1" ref="C28" ca="1">INDIRECT("'C Impact of Technique'!Q" &amp; 5 + (ROW(A24)-1)*4)*100</f>
        <v>357.76361824173148</v>
      </c>
      <c r="D28" s="1" cm="1">
        <f t="array" aca="1" ref="D28" ca="1">INDIRECT("'Python Impact of Technique'!V" &amp; 3 + (ROW(A24)-1)*4)*100</f>
        <v>-1.0590608616674324</v>
      </c>
      <c r="E28" s="1" cm="1">
        <f t="array" aca="1" ref="E28" ca="1">INDIRECT("'Python Impact of Technique'!V" &amp; 5 + (ROW(A24)-1)*4)*100</f>
        <v>17.09189147066806</v>
      </c>
      <c r="F28" s="1" cm="1">
        <f t="array" aca="1" ref="F28" ca="1">INDIRECT("'Java Impact of Technique'!W" &amp; 3 + (ROW(A24)-1)*4)*100</f>
        <v>-0.90382670288577605</v>
      </c>
      <c r="G28" s="1" cm="1">
        <f t="array" aca="1" ref="G28" ca="1">INDIRECT("'Java Impact of Technique'!W" &amp; 5 + (ROW(A24)-1)*4)*100</f>
        <v>-20.992088446308848</v>
      </c>
      <c r="H28" s="28">
        <f ca="1">AVERAGE(Tabla3[[#This Row],[Impact (%)]:[Impact (%)2]])</f>
        <v>172.43407039039903</v>
      </c>
      <c r="I28" s="28">
        <f ca="1">AVERAGE(Tabla3[[#This Row],[Impact (%)3]:[Impact (%)4]])</f>
        <v>8.0164153045003133</v>
      </c>
      <c r="J28" s="28">
        <f ca="1">AVERAGE(Tabla3[[#This Row],[Impact (%)5]:[Impact (%)6]])</f>
        <v>-10.947957574597313</v>
      </c>
      <c r="K28" s="28">
        <f ca="1">AVERAGE(Tabla3[[#This Row],[Average impact (%) C]:[Average impact (%) Java]])</f>
        <v>56.500842706767337</v>
      </c>
      <c r="L28" s="26"/>
      <c r="M28" s="26" t="s">
        <v>125</v>
      </c>
      <c r="N28" s="26"/>
      <c r="O28" s="77"/>
    </row>
    <row r="29" spans="1:15" x14ac:dyDescent="0.25">
      <c r="A29" s="76" t="s">
        <v>93</v>
      </c>
      <c r="B29" s="1" cm="1">
        <f t="array" aca="1" ref="B29" ca="1">INDIRECT("'C Impact of Technique'!Q" &amp; 3 + (ROW(A25)-1)*4)*100</f>
        <v>-59.48136047688174</v>
      </c>
      <c r="C29" s="1" cm="1">
        <f t="array" aca="1" ref="C29" ca="1">INDIRECT("'C Impact of Technique'!Q" &amp; 5 + (ROW(A25)-1)*4)*100</f>
        <v>-16.272173210118783</v>
      </c>
      <c r="D29" s="1" cm="1">
        <f t="array" aca="1" ref="D29" ca="1">INDIRECT("'Python Impact of Technique'!V" &amp; 3 + (ROW(A25)-1)*4)*100</f>
        <v>-22.726500679949162</v>
      </c>
      <c r="E29" s="1" cm="1">
        <f t="array" aca="1" ref="E29" ca="1">INDIRECT("'Python Impact of Technique'!V" &amp; 5 + (ROW(A25)-1)*4)*100</f>
        <v>-28.077015759357142</v>
      </c>
      <c r="F29" s="1" cm="1">
        <f t="array" aca="1" ref="F29" ca="1">INDIRECT("'Java Impact of Technique'!W" &amp; 3 + (ROW(A25)-1)*4)*100</f>
        <v>-20.725031988492304</v>
      </c>
      <c r="G29" s="1" cm="1">
        <f t="array" aca="1" ref="G29" ca="1">INDIRECT("'Java Impact of Technique'!W" &amp; 5 + (ROW(A25)-1)*4)*100</f>
        <v>-47.763497602502483</v>
      </c>
      <c r="H29" s="28">
        <f ca="1">AVERAGE(Tabla3[[#This Row],[Impact (%)]:[Impact (%)2]])</f>
        <v>-37.876766843500263</v>
      </c>
      <c r="I29" s="28">
        <f ca="1">AVERAGE(Tabla3[[#This Row],[Impact (%)3]:[Impact (%)4]])</f>
        <v>-25.401758219653154</v>
      </c>
      <c r="J29" s="28">
        <f ca="1">AVERAGE(Tabla3[[#This Row],[Impact (%)5]:[Impact (%)6]])</f>
        <v>-34.244264795497394</v>
      </c>
      <c r="K29" s="28">
        <f ca="1">AVERAGE(Tabla3[[#This Row],[Average impact (%) C]:[Average impact (%) Java]])</f>
        <v>-32.50759661955027</v>
      </c>
      <c r="L29" s="26"/>
      <c r="M29" s="26" t="s">
        <v>125</v>
      </c>
      <c r="N29" s="26"/>
      <c r="O29" s="77"/>
    </row>
    <row r="30" spans="1:15" x14ac:dyDescent="0.25">
      <c r="A30" s="78" t="s">
        <v>95</v>
      </c>
      <c r="B30" s="1" cm="1">
        <f t="array" aca="1" ref="B30" ca="1">INDIRECT("'C Impact of Technique'!Q" &amp; 3 + (ROW(A26)-1)*4)*100</f>
        <v>-27.514884721882254</v>
      </c>
      <c r="C30" s="1" cm="1">
        <f t="array" aca="1" ref="C30" ca="1">INDIRECT("'C Impact of Technique'!Q" &amp; 5 + (ROW(A26)-1)*4)*100</f>
        <v>-28.978230252851422</v>
      </c>
      <c r="D30" s="1" cm="1">
        <f t="array" aca="1" ref="D30" ca="1">INDIRECT("'Python Impact of Technique'!V" &amp; 3 + (ROW(A26)-1)*4)*100</f>
        <v>-41.88964862919584</v>
      </c>
      <c r="E30" s="1" cm="1">
        <f t="array" aca="1" ref="E30" ca="1">INDIRECT("'Python Impact of Technique'!V" &amp; 5 + (ROW(A26)-1)*4)*100</f>
        <v>-39.445352187596434</v>
      </c>
      <c r="F30" s="1" cm="1">
        <f t="array" aca="1" ref="F30" ca="1">INDIRECT("'Java Impact of Technique'!W" &amp; 3 + (ROW(A26)-1)*4)*100</f>
        <v>-18.366680566659536</v>
      </c>
      <c r="G30" s="1" cm="1">
        <f t="array" aca="1" ref="G30" ca="1">INDIRECT("'Java Impact of Technique'!W" &amp; 5 + (ROW(A26)-1)*4)*100</f>
        <v>-36.293690169793827</v>
      </c>
      <c r="H30" s="28">
        <f ca="1">AVERAGE(Tabla3[[#This Row],[Impact (%)]:[Impact (%)2]])</f>
        <v>-28.246557487366836</v>
      </c>
      <c r="I30" s="28">
        <f ca="1">AVERAGE(Tabla3[[#This Row],[Impact (%)3]:[Impact (%)4]])</f>
        <v>-40.667500408396137</v>
      </c>
      <c r="J30" s="28">
        <f ca="1">AVERAGE(Tabla3[[#This Row],[Impact (%)5]:[Impact (%)6]])</f>
        <v>-27.33018536822668</v>
      </c>
      <c r="K30" s="28">
        <f ca="1">AVERAGE(Tabla3[[#This Row],[Average impact (%) C]:[Average impact (%) Java]])</f>
        <v>-32.081414421329882</v>
      </c>
      <c r="L30" s="6"/>
      <c r="M30" s="6" t="s">
        <v>125</v>
      </c>
      <c r="N30" s="6"/>
      <c r="O30" s="79"/>
    </row>
    <row r="31" spans="1:15" x14ac:dyDescent="0.25">
      <c r="A31" s="22"/>
      <c r="B31" s="1"/>
      <c r="C31" s="1"/>
      <c r="D31" s="1"/>
      <c r="E31" s="1"/>
      <c r="F31" s="1"/>
      <c r="G31" s="1"/>
      <c r="H31" s="1"/>
      <c r="I31" s="1"/>
      <c r="J31" s="1"/>
      <c r="K31" s="1" t="s">
        <v>121</v>
      </c>
      <c r="L31" s="60">
        <f ca="1">AVERAGEIF(Tabla3[(1) data/memory structure],"x",Tabla3[Global impact (%)])</f>
        <v>-29.142489322780243</v>
      </c>
      <c r="M31" s="60">
        <f ca="1">AVERAGEIF(Tabla3[(2) algorithm implementation],"x",Tabla3[Global impact (%)])</f>
        <v>-10.763083519556279</v>
      </c>
      <c r="N31" s="60">
        <f ca="1">AVERAGEIF(Tabla3[(3) arithmetic/logic operations],"x",Tabla3[Global impact (%)])</f>
        <v>0.46731283497459086</v>
      </c>
      <c r="O31" s="60">
        <f ca="1">AVERAGEIF(Tabla3[(4) loops],"x",Tabla3[Global impact (%)])</f>
        <v>-19.433224571730491</v>
      </c>
    </row>
    <row r="32" spans="1:15" x14ac:dyDescent="0.25">
      <c r="K32" s="54" t="s">
        <v>122</v>
      </c>
      <c r="L32" s="60">
        <f ca="1">AVERAGEIF(Tabla3[(1) data/memory structure],"x",Tabla3[Average impact (%) C])</f>
        <v>-19.22711907834962</v>
      </c>
      <c r="M32" s="60">
        <f ca="1">AVERAGEIF(Tabla3[(2) algorithm implementation],"x",Tabla3[Average impact (%) C])</f>
        <v>-7.0947734156225621</v>
      </c>
      <c r="N32" s="60">
        <f ca="1">AVERAGEIF(Tabla3[(3) arithmetic/logic operations],"x",Tabla3[Average impact (%) C])</f>
        <v>-2.8986670927457232</v>
      </c>
      <c r="O32" s="60">
        <f ca="1">AVERAGEIF(Tabla3[(4) loops],"x",Tabla3[Average impact (%) C])</f>
        <v>-23.12170887988826</v>
      </c>
    </row>
    <row r="33" spans="11:15" x14ac:dyDescent="0.25">
      <c r="K33" s="54" t="s">
        <v>123</v>
      </c>
      <c r="L33" s="60">
        <f ca="1">AVERAGEIF(Tabla3[(1) data/memory structure],"x",Tabla3[Average impact (%) Python])</f>
        <v>-32.694779867680175</v>
      </c>
      <c r="M33" s="60">
        <f ca="1">AVERAGEIF(Tabla3[(2) algorithm implementation],"x",Tabla3[Average impact (%) Python])</f>
        <v>-13.122050624521712</v>
      </c>
      <c r="N33" s="60">
        <f ca="1">AVERAGEIF(Tabla3[(3) arithmetic/logic operations],"x",Tabla3[Average impact (%) Python])</f>
        <v>5.8159210376532764</v>
      </c>
      <c r="O33" s="60">
        <f ca="1">AVERAGEIF(Tabla3[(4) loops],"x",Tabla3[Average impact (%) Java])</f>
        <v>-19.189503118651206</v>
      </c>
    </row>
    <row r="34" spans="11:15" ht="15.75" thickBot="1" x14ac:dyDescent="0.3">
      <c r="K34" s="54" t="s">
        <v>181</v>
      </c>
      <c r="L34" s="60">
        <f ca="1">AVERAGEIF(Tabla3[(1) data/memory structure],"x",Tabla3[Average impact (%) Java])</f>
        <v>-35.505569022310929</v>
      </c>
      <c r="M34" s="60">
        <f ca="1">AVERAGEIF(Tabla3[(2) algorithm implementation],"x",Tabla3[Average impact (%) Java])</f>
        <v>-12.072426518524566</v>
      </c>
      <c r="N34" s="60">
        <f ca="1">AVERAGEIF(Tabla3[(3) arithmetic/logic operations],"x",Tabla3[Average impact (%) Java])</f>
        <v>-1.5153154399837796</v>
      </c>
      <c r="O34" s="60">
        <f ca="1">AVERAGEIF(Tabla3[(4) loops],"x",Tabla3[Average impact (%) Python])</f>
        <v>-15.988461716652012</v>
      </c>
    </row>
    <row r="35" spans="11:15" ht="15.75" thickTop="1" x14ac:dyDescent="0.25">
      <c r="K35" s="61" t="s">
        <v>173</v>
      </c>
      <c r="L35" s="62">
        <f ca="1">AVERAGEIF(Tabla3[(1) data/memory structure],"x",Tabla3[Global impact (%)])</f>
        <v>-29.142489322780243</v>
      </c>
      <c r="M35" s="62">
        <f ca="1">AVERAGEIF(Tabla3[(2) algorithm implementation],"x",Tabla3[Global impact (%)])</f>
        <v>-10.763083519556279</v>
      </c>
      <c r="N35" s="62">
        <f ca="1">AVERAGEIF(Tabla3[(3) arithmetic/logic operations],"x",Tabla3[Global impact (%)])</f>
        <v>0.46731283497459086</v>
      </c>
      <c r="O35" s="62">
        <f ca="1">AVERAGEIF(Tabla3[(4) loops],"x",Tabla3[Global impact (%)])</f>
        <v>-19.433224571730491</v>
      </c>
    </row>
    <row r="40" spans="11:15" x14ac:dyDescent="0.25">
      <c r="L40" s="81"/>
      <c r="M40" s="81"/>
      <c r="N40" s="81"/>
      <c r="O40" s="81"/>
    </row>
  </sheetData>
  <mergeCells count="3">
    <mergeCell ref="B2:C2"/>
    <mergeCell ref="D2:E2"/>
    <mergeCell ref="F2:G2"/>
  </mergeCells>
  <conditionalFormatting sqref="H5:H30">
    <cfRule type="expression" dxfId="27" priority="36">
      <formula>AND(H5 &gt; -3, H5 &lt; 3)</formula>
    </cfRule>
    <cfRule type="expression" dxfId="26" priority="37">
      <formula>AND(H5 &gt; -25, H5 &lt;= -3)</formula>
    </cfRule>
    <cfRule type="expression" dxfId="25" priority="38">
      <formula>AND(H5 &gt; -75, H5 &lt;= -25)</formula>
    </cfRule>
    <cfRule type="expression" dxfId="24" priority="39">
      <formula>H5 &lt;= -75</formula>
    </cfRule>
    <cfRule type="expression" dxfId="23" priority="40">
      <formula>AND(H5 &lt; 25, H5 &gt;= 3)</formula>
    </cfRule>
    <cfRule type="expression" dxfId="22" priority="41">
      <formula>AND(H5 &lt; 75, H5 &gt;= 25)</formula>
    </cfRule>
    <cfRule type="expression" dxfId="21" priority="42">
      <formula>H5 &gt;= 75</formula>
    </cfRule>
  </conditionalFormatting>
  <conditionalFormatting sqref="I5:I30">
    <cfRule type="expression" dxfId="20" priority="15">
      <formula>AND(I5 &gt; -3, I5 &lt; 3)</formula>
    </cfRule>
    <cfRule type="expression" dxfId="19" priority="16">
      <formula>AND(I5 &gt; -25, I5 &lt;= -3)</formula>
    </cfRule>
    <cfRule type="expression" dxfId="18" priority="17">
      <formula>AND(I5 &gt; -75, I5 &lt;= -25)</formula>
    </cfRule>
    <cfRule type="expression" dxfId="17" priority="18">
      <formula>I5 &lt;= -75</formula>
    </cfRule>
    <cfRule type="expression" dxfId="16" priority="19">
      <formula>AND(I5 &lt; 25, I5 &gt;= 3)</formula>
    </cfRule>
    <cfRule type="expression" dxfId="15" priority="20">
      <formula>AND(I5 &lt; 75, I5 &gt;= 25)</formula>
    </cfRule>
    <cfRule type="expression" dxfId="14" priority="21">
      <formula>I5 &gt;= 75</formula>
    </cfRule>
  </conditionalFormatting>
  <conditionalFormatting sqref="J5:J30">
    <cfRule type="expression" dxfId="13" priority="8">
      <formula>AND(J5 &gt; -3, J5 &lt; 3)</formula>
    </cfRule>
    <cfRule type="expression" dxfId="12" priority="9">
      <formula>AND(J5 &gt; -25, J5 &lt;= -3)</formula>
    </cfRule>
    <cfRule type="expression" dxfId="11" priority="10">
      <formula>AND(J5 &gt; -75, J5 &lt;= -25)</formula>
    </cfRule>
    <cfRule type="expression" dxfId="10" priority="11">
      <formula>J5 &lt;= -75</formula>
    </cfRule>
    <cfRule type="expression" dxfId="9" priority="12">
      <formula>AND(J5 &lt; 25, J5 &gt;= 3)</formula>
    </cfRule>
    <cfRule type="expression" dxfId="8" priority="13">
      <formula>AND(J5 &lt; 75, J5 &gt;= 25)</formula>
    </cfRule>
    <cfRule type="expression" dxfId="7" priority="14">
      <formula>J5 &gt;= 75</formula>
    </cfRule>
  </conditionalFormatting>
  <conditionalFormatting sqref="K5:K30">
    <cfRule type="expression" dxfId="6" priority="1">
      <formula>AND(K5 &gt; -3, K5 &lt; 3)</formula>
    </cfRule>
    <cfRule type="expression" dxfId="5" priority="2">
      <formula>AND(K5 &gt; -25, K5 &lt;= -3)</formula>
    </cfRule>
    <cfRule type="expression" dxfId="4" priority="3">
      <formula>AND(K5 &gt; -75, K5 &lt;= -25)</formula>
    </cfRule>
    <cfRule type="expression" dxfId="3" priority="4">
      <formula>K5 &lt;= -75</formula>
    </cfRule>
    <cfRule type="expression" dxfId="2" priority="5">
      <formula>AND(K5 &lt; 25, K5 &gt;= 3)</formula>
    </cfRule>
    <cfRule type="expression" dxfId="1" priority="6">
      <formula>AND(K5 &lt; 75, K5 &gt;= 25)</formula>
    </cfRule>
    <cfRule type="expression" dxfId="0" priority="7">
      <formula>K5 &gt;= 75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4431E-C5EA-42A0-8C5B-A1E5D6C06584}">
  <dimension ref="A2:G158"/>
  <sheetViews>
    <sheetView topLeftCell="A128" zoomScale="115" zoomScaleNormal="115" workbookViewId="0">
      <selection activeCell="D133" sqref="D133:D158"/>
    </sheetView>
  </sheetViews>
  <sheetFormatPr baseColWidth="10" defaultRowHeight="15" x14ac:dyDescent="0.25"/>
  <cols>
    <col min="3" max="3" width="11.85546875" bestFit="1" customWidth="1"/>
    <col min="4" max="4" width="13.5703125" bestFit="1" customWidth="1"/>
    <col min="5" max="5" width="11.85546875" bestFit="1" customWidth="1"/>
  </cols>
  <sheetData>
    <row r="2" spans="1:7" x14ac:dyDescent="0.25">
      <c r="A2" s="4"/>
      <c r="B2" s="4"/>
      <c r="C2" s="4" t="s">
        <v>185</v>
      </c>
      <c r="D2" s="4" t="s">
        <v>186</v>
      </c>
    </row>
    <row r="3" spans="1:7" x14ac:dyDescent="0.25">
      <c r="A3" s="92" t="s">
        <v>122</v>
      </c>
      <c r="B3" s="4" t="s">
        <v>150</v>
      </c>
      <c r="C3" s="56" cm="1">
        <f t="array" aca="1" ref="C3" ca="1">INDIRECT("'C Impact of Technique'!N" &amp; 3 + (ROW(B1)-1)*4)</f>
        <v>-0.22236367494165077</v>
      </c>
      <c r="D3" s="56" cm="1">
        <f t="array" aca="1" ref="D3" ca="1">INDIRECT("'C Impact of Technique'!Q" &amp; 3 + (ROW(B1)-1)*4)</f>
        <v>-0.32024902558615498</v>
      </c>
      <c r="F3" s="67" t="s">
        <v>122</v>
      </c>
      <c r="G3" s="67">
        <f ca="1">CORREL(C3:C54,D3:D54)</f>
        <v>0.96421745731146102</v>
      </c>
    </row>
    <row r="4" spans="1:7" x14ac:dyDescent="0.25">
      <c r="A4" s="92"/>
      <c r="B4" s="4" t="s">
        <v>151</v>
      </c>
      <c r="C4" s="56" cm="1">
        <f t="array" aca="1" ref="C4" ca="1">INDIRECT("'C Impact of Technique'!N" &amp; 3 + (ROW(B2)-1)*4)</f>
        <v>-2.2866221984667919E-2</v>
      </c>
      <c r="D4" s="56" cm="1">
        <f t="array" aca="1" ref="D4" ca="1">INDIRECT("'C Impact of Technique'!Q" &amp; 3 + (ROW(B2)-1)*4)</f>
        <v>-2.2062393605254263E-2</v>
      </c>
      <c r="F4" s="67" t="s">
        <v>123</v>
      </c>
      <c r="G4" s="67">
        <f ca="1">CORREL(C55:C106,D55:D106)</f>
        <v>0.99653860832976016</v>
      </c>
    </row>
    <row r="5" spans="1:7" x14ac:dyDescent="0.25">
      <c r="A5" s="92"/>
      <c r="B5" s="4" t="s">
        <v>152</v>
      </c>
      <c r="C5" s="56" cm="1">
        <f t="array" aca="1" ref="C5" ca="1">INDIRECT("'C Impact of Technique'!N" &amp; 3 + (ROW(B3)-1)*4)</f>
        <v>-0.5</v>
      </c>
      <c r="D5" s="56" cm="1">
        <f t="array" aca="1" ref="D5" ca="1">INDIRECT("'C Impact of Technique'!Q" &amp; 3 + (ROW(B3)-1)*4)</f>
        <v>-0.56175182481751829</v>
      </c>
      <c r="F5" s="67" t="s">
        <v>181</v>
      </c>
      <c r="G5" s="67">
        <f ca="1">CORREL(C107:C158,D107:D158)</f>
        <v>0.98625458135391741</v>
      </c>
    </row>
    <row r="6" spans="1:7" x14ac:dyDescent="0.25">
      <c r="A6" s="92"/>
      <c r="B6" s="4" t="s">
        <v>154</v>
      </c>
      <c r="C6" s="56" cm="1">
        <f t="array" aca="1" ref="C6" ca="1">INDIRECT("'C Impact of Technique'!N" &amp; 3 + (ROW(B4)-1)*4)</f>
        <v>0.45081103855066351</v>
      </c>
      <c r="D6" s="56" cm="1">
        <f t="array" aca="1" ref="D6" ca="1">INDIRECT("'C Impact of Technique'!Q" &amp; 3 + (ROW(B4)-1)*4)</f>
        <v>0.53467904623274098</v>
      </c>
      <c r="F6" s="67" t="s">
        <v>188</v>
      </c>
      <c r="G6" s="67">
        <f ca="1">CORREL(C3:C158,D3:D158)</f>
        <v>0.96393521179326513</v>
      </c>
    </row>
    <row r="7" spans="1:7" x14ac:dyDescent="0.25">
      <c r="A7" s="92"/>
      <c r="B7" s="4" t="s">
        <v>153</v>
      </c>
      <c r="C7" s="56" cm="1">
        <f t="array" aca="1" ref="C7" ca="1">INDIRECT("'C Impact of Technique'!N" &amp; 3 + (ROW(B5)-1)*4)</f>
        <v>-3.3271719038817031E-2</v>
      </c>
      <c r="D7" s="56" cm="1">
        <f t="array" aca="1" ref="D7" ca="1">INDIRECT("'C Impact of Technique'!Q" &amp; 3 + (ROW(B5)-1)*4)</f>
        <v>-0.10072847791776804</v>
      </c>
    </row>
    <row r="8" spans="1:7" x14ac:dyDescent="0.25">
      <c r="A8" s="92"/>
      <c r="B8" s="4" t="s">
        <v>19</v>
      </c>
      <c r="C8" s="56" cm="1">
        <f t="array" aca="1" ref="C8" ca="1">INDIRECT("'C Impact of Technique'!N" &amp; 3 + (ROW(B6)-1)*4)</f>
        <v>-0.98715051727717984</v>
      </c>
      <c r="D8" s="56" cm="1">
        <f t="array" aca="1" ref="D8" ca="1">INDIRECT("'C Impact of Technique'!Q" &amp; 3 + (ROW(B6)-1)*4)</f>
        <v>-0.99557974719376519</v>
      </c>
    </row>
    <row r="9" spans="1:7" x14ac:dyDescent="0.25">
      <c r="A9" s="92"/>
      <c r="B9" s="4" t="s">
        <v>21</v>
      </c>
      <c r="C9" s="56" cm="1">
        <f t="array" aca="1" ref="C9" ca="1">INDIRECT("'C Impact of Technique'!N" &amp; 3 + (ROW(B7)-1)*4)</f>
        <v>-4.7732696897390635E-4</v>
      </c>
      <c r="D9" s="56" cm="1">
        <f t="array" aca="1" ref="D9" ca="1">INDIRECT("'C Impact of Technique'!Q" &amp; 3 + (ROW(B7)-1)*4)</f>
        <v>-1.5261440445574286E-3</v>
      </c>
    </row>
    <row r="10" spans="1:7" x14ac:dyDescent="0.25">
      <c r="A10" s="92"/>
      <c r="B10" s="4" t="s">
        <v>23</v>
      </c>
      <c r="C10" s="56" cm="1">
        <f t="array" aca="1" ref="C10" ca="1">INDIRECT("'C Impact of Technique'!N" &amp; 3 + (ROW(B8)-1)*4)</f>
        <v>0</v>
      </c>
      <c r="D10" s="56" cm="1">
        <f t="array" aca="1" ref="D10" ca="1">INDIRECT("'C Impact of Technique'!Q" &amp; 3 + (ROW(B8)-1)*4)</f>
        <v>-0.14105504587155968</v>
      </c>
    </row>
    <row r="11" spans="1:7" x14ac:dyDescent="0.25">
      <c r="A11" s="92"/>
      <c r="B11" s="4" t="s">
        <v>25</v>
      </c>
      <c r="C11" s="56" cm="1">
        <f t="array" aca="1" ref="C11" ca="1">INDIRECT("'C Impact of Technique'!N" &amp; 3 + (ROW(B9)-1)*4)</f>
        <v>1.1458582000477452E-2</v>
      </c>
      <c r="D11" s="56" cm="1">
        <f t="array" aca="1" ref="D11" ca="1">INDIRECT("'C Impact of Technique'!Q" &amp; 3 + (ROW(B9)-1)*4)</f>
        <v>-6.2340280694996386E-3</v>
      </c>
    </row>
    <row r="12" spans="1:7" x14ac:dyDescent="0.25">
      <c r="A12" s="92"/>
      <c r="B12" s="4" t="s">
        <v>31</v>
      </c>
      <c r="C12" s="56" cm="1">
        <f t="array" aca="1" ref="C12" ca="1">INDIRECT("'C Impact of Technique'!N" &amp; 3 + (ROW(B10)-1)*4)</f>
        <v>0</v>
      </c>
      <c r="D12" s="56" cm="1">
        <f t="array" aca="1" ref="D12" ca="1">INDIRECT("'C Impact of Technique'!Q" &amp; 3 + (ROW(B10)-1)*4)</f>
        <v>-8.2830025884383082E-2</v>
      </c>
    </row>
    <row r="13" spans="1:7" x14ac:dyDescent="0.25">
      <c r="A13" s="92"/>
      <c r="B13" s="4" t="s">
        <v>33</v>
      </c>
      <c r="C13" s="56" cm="1">
        <f t="array" aca="1" ref="C13" ca="1">INDIRECT("'C Impact of Technique'!N" &amp; 3 + (ROW(B11)-1)*4)</f>
        <v>0</v>
      </c>
      <c r="D13" s="56" cm="1">
        <f t="array" aca="1" ref="D13" ca="1">INDIRECT("'C Impact of Technique'!Q" &amp; 3 + (ROW(B11)-1)*4)</f>
        <v>-1.8383924754168387E-2</v>
      </c>
    </row>
    <row r="14" spans="1:7" x14ac:dyDescent="0.25">
      <c r="A14" s="92"/>
      <c r="B14" s="4" t="s">
        <v>37</v>
      </c>
      <c r="C14" s="56" cm="1">
        <f t="array" aca="1" ref="C14" ca="1">INDIRECT("'C Impact of Technique'!N" &amp; 3 + (ROW(B12)-1)*4)</f>
        <v>-1.6756756756756662E-2</v>
      </c>
      <c r="D14" s="56" cm="1">
        <f t="array" aca="1" ref="D14" ca="1">INDIRECT("'C Impact of Technique'!Q" &amp; 3 + (ROW(B12)-1)*4)</f>
        <v>3.0779176122687699E-2</v>
      </c>
    </row>
    <row r="15" spans="1:7" x14ac:dyDescent="0.25">
      <c r="A15" s="92"/>
      <c r="B15" s="4" t="s">
        <v>39</v>
      </c>
      <c r="C15" s="56" cm="1">
        <f t="array" aca="1" ref="C15" ca="1">INDIRECT("'C Impact of Technique'!N" &amp; 3 + (ROW(B13)-1)*4)</f>
        <v>-0.64700595438714759</v>
      </c>
      <c r="D15" s="56" cm="1">
        <f t="array" aca="1" ref="D15" ca="1">INDIRECT("'C Impact of Technique'!Q" &amp; 3 + (ROW(B13)-1)*4)</f>
        <v>-0.67181134282280774</v>
      </c>
    </row>
    <row r="16" spans="1:7" x14ac:dyDescent="0.25">
      <c r="A16" s="92"/>
      <c r="B16" s="4" t="s">
        <v>49</v>
      </c>
      <c r="C16" s="56" cm="1">
        <f t="array" aca="1" ref="C16" ca="1">INDIRECT("'C Impact of Technique'!N" &amp; 3 + (ROW(B14)-1)*4)</f>
        <v>-0.16514588859416451</v>
      </c>
      <c r="D16" s="56" cm="1">
        <f t="array" aca="1" ref="D16" ca="1">INDIRECT("'C Impact of Technique'!Q" &amp; 3 + (ROW(B14)-1)*4)</f>
        <v>-0.17782095564383646</v>
      </c>
    </row>
    <row r="17" spans="1:4" x14ac:dyDescent="0.25">
      <c r="A17" s="92"/>
      <c r="B17" s="4" t="s">
        <v>51</v>
      </c>
      <c r="C17" s="56" cm="1">
        <f t="array" aca="1" ref="C17" ca="1">INDIRECT("'C Impact of Technique'!N" &amp; 3 + (ROW(B15)-1)*4)</f>
        <v>3.2851296043656227E-2</v>
      </c>
      <c r="D17" s="56" cm="1">
        <f t="array" aca="1" ref="D17" ca="1">INDIRECT("'C Impact of Technique'!Q" &amp; 3 + (ROW(B15)-1)*4)</f>
        <v>-1.16610503141709E-2</v>
      </c>
    </row>
    <row r="18" spans="1:4" x14ac:dyDescent="0.25">
      <c r="A18" s="92"/>
      <c r="B18" s="4" t="s">
        <v>55</v>
      </c>
      <c r="C18" s="56" cm="1">
        <f t="array" aca="1" ref="C18" ca="1">INDIRECT("'C Impact of Technique'!N" &amp; 3 + (ROW(B16)-1)*4)</f>
        <v>0.37263771612384389</v>
      </c>
      <c r="D18" s="56" cm="1">
        <f t="array" aca="1" ref="D18" ca="1">INDIRECT("'C Impact of Technique'!Q" &amp; 3 + (ROW(B16)-1)*4)</f>
        <v>0.40578452731440445</v>
      </c>
    </row>
    <row r="19" spans="1:4" x14ac:dyDescent="0.25">
      <c r="A19" s="92"/>
      <c r="B19" s="4" t="s">
        <v>57</v>
      </c>
      <c r="C19" s="56" cm="1">
        <f t="array" aca="1" ref="C19" ca="1">INDIRECT("'C Impact of Technique'!N" &amp; 3 + (ROW(B17)-1)*4)</f>
        <v>0</v>
      </c>
      <c r="D19" s="56" cm="1">
        <f t="array" aca="1" ref="D19" ca="1">INDIRECT("'C Impact of Technique'!Q" &amp; 3 + (ROW(B17)-1)*4)</f>
        <v>1.2525050100200536E-2</v>
      </c>
    </row>
    <row r="20" spans="1:4" x14ac:dyDescent="0.25">
      <c r="A20" s="92"/>
      <c r="B20" s="4" t="s">
        <v>61</v>
      </c>
      <c r="C20" s="56" cm="1">
        <f t="array" aca="1" ref="C20" ca="1">INDIRECT("'C Impact of Technique'!N" &amp; 3 + (ROW(B18)-1)*4)</f>
        <v>0.44592088998763907</v>
      </c>
      <c r="D20" s="56" cm="1">
        <f t="array" aca="1" ref="D20" ca="1">INDIRECT("'C Impact of Technique'!Q" &amp; 3 + (ROW(B18)-1)*4)</f>
        <v>0.49151693988415657</v>
      </c>
    </row>
    <row r="21" spans="1:4" x14ac:dyDescent="0.25">
      <c r="A21" s="92"/>
      <c r="B21" s="4" t="s">
        <v>63</v>
      </c>
      <c r="C21" s="56" cm="1">
        <f t="array" aca="1" ref="C21" ca="1">INDIRECT("'C Impact of Technique'!N" &amp; 3 + (ROW(B19)-1)*4)</f>
        <v>9.5510983763143458E-4</v>
      </c>
      <c r="D21" s="56" cm="1">
        <f t="array" aca="1" ref="D21" ca="1">INDIRECT("'C Impact of Technique'!Q" &amp; 3 + (ROW(B19)-1)*4)</f>
        <v>-1.4979523164982137E-2</v>
      </c>
    </row>
    <row r="22" spans="1:4" x14ac:dyDescent="0.25">
      <c r="A22" s="92"/>
      <c r="B22" s="4" t="s">
        <v>65</v>
      </c>
      <c r="C22" s="56" cm="1">
        <f t="array" aca="1" ref="C22" ca="1">INDIRECT("'C Impact of Technique'!N" &amp; 3 + (ROW(B20)-1)*4)</f>
        <v>0</v>
      </c>
      <c r="D22" s="56" cm="1">
        <f t="array" aca="1" ref="D22" ca="1">INDIRECT("'C Impact of Technique'!Q" &amp; 3 + (ROW(B20)-1)*4)</f>
        <v>-1.4520443255636149E-2</v>
      </c>
    </row>
    <row r="23" spans="1:4" x14ac:dyDescent="0.25">
      <c r="A23" s="92"/>
      <c r="B23" s="4" t="s">
        <v>71</v>
      </c>
      <c r="C23" s="56" cm="1">
        <f t="array" aca="1" ref="C23" ca="1">INDIRECT("'C Impact of Technique'!N" &amp; 3 + (ROW(B21)-1)*4)</f>
        <v>0.12485079971353537</v>
      </c>
      <c r="D23" s="56" cm="1">
        <f t="array" aca="1" ref="D23" ca="1">INDIRECT("'C Impact of Technique'!Q" &amp; 3 + (ROW(B21)-1)*4)</f>
        <v>4.1365779422296522E-2</v>
      </c>
    </row>
    <row r="24" spans="1:4" x14ac:dyDescent="0.25">
      <c r="A24" s="92"/>
      <c r="B24" s="4" t="s">
        <v>79</v>
      </c>
      <c r="C24" s="56" cm="1">
        <f t="array" aca="1" ref="C24" ca="1">INDIRECT("'C Impact of Technique'!N" &amp; 3 + (ROW(B22)-1)*4)</f>
        <v>-0.12987238475562118</v>
      </c>
      <c r="D24" s="56" cm="1">
        <f t="array" aca="1" ref="D24" ca="1">INDIRECT("'C Impact of Technique'!Q" &amp; 3 + (ROW(B22)-1)*4)</f>
        <v>-0.18286923388007192</v>
      </c>
    </row>
    <row r="25" spans="1:4" x14ac:dyDescent="0.25">
      <c r="A25" s="92"/>
      <c r="B25" s="4" t="s">
        <v>87</v>
      </c>
      <c r="C25" s="56" cm="1">
        <f t="array" aca="1" ref="C25" ca="1">INDIRECT("'C Impact of Technique'!N" &amp; 3 + (ROW(B23)-1)*4)</f>
        <v>0</v>
      </c>
      <c r="D25" s="56" cm="1">
        <f t="array" aca="1" ref="D25" ca="1">INDIRECT("'C Impact of Technique'!Q" &amp; 3 + (ROW(B23)-1)*4)</f>
        <v>-2.2887323943661889E-2</v>
      </c>
    </row>
    <row r="26" spans="1:4" x14ac:dyDescent="0.25">
      <c r="A26" s="92"/>
      <c r="B26" s="4" t="s">
        <v>91</v>
      </c>
      <c r="C26" s="56" cm="1">
        <f t="array" aca="1" ref="C26" ca="1">INDIRECT("'C Impact of Technique'!N" &amp; 3 + (ROW(B24)-1)*4)</f>
        <v>-0.11099320882852286</v>
      </c>
      <c r="D26" s="56" cm="1">
        <f t="array" aca="1" ref="D26" ca="1">INDIRECT("'C Impact of Technique'!Q" &amp; 3 + (ROW(B24)-1)*4)</f>
        <v>-0.12895477460933444</v>
      </c>
    </row>
    <row r="27" spans="1:4" x14ac:dyDescent="0.25">
      <c r="A27" s="92"/>
      <c r="B27" s="4" t="s">
        <v>93</v>
      </c>
      <c r="C27" s="56" cm="1">
        <f t="array" aca="1" ref="C27" ca="1">INDIRECT("'C Impact of Technique'!N" &amp; 3 + (ROW(B25)-1)*4)</f>
        <v>-0.61395160850396979</v>
      </c>
      <c r="D27" s="56" cm="1">
        <f t="array" aca="1" ref="D27" ca="1">INDIRECT("'C Impact of Technique'!Q" &amp; 3 + (ROW(B25)-1)*4)</f>
        <v>-0.59481360476881739</v>
      </c>
    </row>
    <row r="28" spans="1:4" x14ac:dyDescent="0.25">
      <c r="A28" s="92"/>
      <c r="B28" s="4" t="s">
        <v>95</v>
      </c>
      <c r="C28" s="56" cm="1">
        <f t="array" aca="1" ref="C28" ca="1">INDIRECT("'C Impact of Technique'!N" &amp; 3 + (ROW(B26)-1)*4)</f>
        <v>-0.26895941612296803</v>
      </c>
      <c r="D28" s="56" cm="1">
        <f t="array" aca="1" ref="D28" ca="1">INDIRECT("'C Impact of Technique'!Q" &amp; 3 + (ROW(B26)-1)*4)</f>
        <v>-0.27514884721882255</v>
      </c>
    </row>
    <row r="29" spans="1:4" x14ac:dyDescent="0.25">
      <c r="A29" s="92" t="s">
        <v>122</v>
      </c>
      <c r="B29" s="4" t="s">
        <v>150</v>
      </c>
      <c r="C29" s="56" cm="1">
        <f t="array" aca="1" ref="C29" ca="1">INDIRECT("'C Impact of Technique'!N" &amp; 5 + (ROW(B1)-1)*4)</f>
        <v>-0.65874308042982743</v>
      </c>
      <c r="D29" s="56" cm="1">
        <f t="array" aca="1" ref="D29" ca="1">INDIRECT("'C Impact of Technique'!Q" &amp; 5 + (ROW(B1)-1)*4)</f>
        <v>-0.77057849664373312</v>
      </c>
    </row>
    <row r="30" spans="1:4" x14ac:dyDescent="0.25">
      <c r="A30" s="92"/>
      <c r="B30" s="4" t="s">
        <v>151</v>
      </c>
      <c r="C30" s="56" cm="1">
        <f t="array" aca="1" ref="C30" ca="1">INDIRECT("'C Impact of Technique'!N" &amp; 5 + (ROW(B2)-1)*4)</f>
        <v>-5.0025499559553092E-2</v>
      </c>
      <c r="D30" s="56" cm="1">
        <f t="array" aca="1" ref="D30" ca="1">INDIRECT("'C Impact of Technique'!Q" &amp; 5 + (ROW(B2)-1)*4)</f>
        <v>6.5358211860604046E-2</v>
      </c>
    </row>
    <row r="31" spans="1:4" x14ac:dyDescent="0.25">
      <c r="A31" s="92"/>
      <c r="B31" s="4" t="s">
        <v>152</v>
      </c>
      <c r="C31" s="56" cm="1">
        <f t="array" aca="1" ref="C31" ca="1">INDIRECT("'C Impact of Technique'!N" &amp; 5 + (ROW(B3)-1)*4)</f>
        <v>-0.5</v>
      </c>
      <c r="D31" s="56" cm="1">
        <f t="array" aca="1" ref="D31" ca="1">INDIRECT("'C Impact of Technique'!Q" &amp; 5 + (ROW(B3)-1)*4)</f>
        <v>-0.55764525993883796</v>
      </c>
    </row>
    <row r="32" spans="1:4" x14ac:dyDescent="0.25">
      <c r="A32" s="92"/>
      <c r="B32" s="4" t="s">
        <v>154</v>
      </c>
      <c r="C32" s="56" cm="1">
        <f t="array" aca="1" ref="C32" ca="1">INDIRECT("'C Impact of Technique'!N" &amp; 5 + (ROW(B4)-1)*4)</f>
        <v>-0.69174198121566544</v>
      </c>
      <c r="D32" s="56" cm="1">
        <f t="array" aca="1" ref="D32" ca="1">INDIRECT("'C Impact of Technique'!Q" &amp; 5 + (ROW(B4)-1)*4)</f>
        <v>-0.65333490530368643</v>
      </c>
    </row>
    <row r="33" spans="1:4" x14ac:dyDescent="0.25">
      <c r="A33" s="92"/>
      <c r="B33" s="4" t="s">
        <v>153</v>
      </c>
      <c r="C33" s="56" cm="1">
        <f t="array" aca="1" ref="C33" ca="1">INDIRECT("'C Impact of Technique'!N" &amp; 5 + (ROW(B5)-1)*4)</f>
        <v>-1.9083969465648872E-3</v>
      </c>
      <c r="D33" s="56" cm="1">
        <f t="array" aca="1" ref="D33" ca="1">INDIRECT("'C Impact of Technique'!Q" &amp; 5 + (ROW(B5)-1)*4)</f>
        <v>8.4935502812872477E-3</v>
      </c>
    </row>
    <row r="34" spans="1:4" x14ac:dyDescent="0.25">
      <c r="A34" s="92"/>
      <c r="B34" s="4" t="s">
        <v>19</v>
      </c>
      <c r="C34" s="56" cm="1">
        <f t="array" aca="1" ref="C34" ca="1">INDIRECT("'C Impact of Technique'!N" &amp; 5 + (ROW(B6)-1)*4)</f>
        <v>-0.99355123458303707</v>
      </c>
      <c r="D34" s="56" cm="1">
        <f t="array" aca="1" ref="D34" ca="1">INDIRECT("'C Impact of Technique'!Q" &amp; 5 + (ROW(B6)-1)*4)</f>
        <v>-0.99810559215391659</v>
      </c>
    </row>
    <row r="35" spans="1:4" x14ac:dyDescent="0.25">
      <c r="A35" s="92"/>
      <c r="B35" s="4" t="s">
        <v>21</v>
      </c>
      <c r="C35" s="56" cm="1">
        <f t="array" aca="1" ref="C35" ca="1">INDIRECT("'C Impact of Technique'!N" &amp; 5 + (ROW(B7)-1)*4)</f>
        <v>0</v>
      </c>
      <c r="D35" s="56" cm="1">
        <f t="array" aca="1" ref="D35" ca="1">INDIRECT("'C Impact of Technique'!Q" &amp; 5 + (ROW(B7)-1)*4)</f>
        <v>-0.20762423417290676</v>
      </c>
    </row>
    <row r="36" spans="1:4" x14ac:dyDescent="0.25">
      <c r="A36" s="92"/>
      <c r="B36" s="4" t="s">
        <v>23</v>
      </c>
      <c r="C36" s="56" cm="1">
        <f t="array" aca="1" ref="C36" ca="1">INDIRECT("'C Impact of Technique'!N" &amp; 5 + (ROW(B8)-1)*4)</f>
        <v>-0.41642788920725882</v>
      </c>
      <c r="D36" s="56" cm="1">
        <f t="array" aca="1" ref="D36" ca="1">INDIRECT("'C Impact of Technique'!Q" &amp; 5 + (ROW(B8)-1)*4)</f>
        <v>-0.56419832822077987</v>
      </c>
    </row>
    <row r="37" spans="1:4" x14ac:dyDescent="0.25">
      <c r="A37" s="92"/>
      <c r="B37" s="4" t="s">
        <v>25</v>
      </c>
      <c r="C37" s="56" cm="1">
        <f t="array" aca="1" ref="C37" ca="1">INDIRECT("'C Impact of Technique'!N" &amp; 5 + (ROW(B9)-1)*4)</f>
        <v>3.9789909279005992E-3</v>
      </c>
      <c r="D37" s="56" cm="1">
        <f t="array" aca="1" ref="D37" ca="1">INDIRECT("'C Impact of Technique'!Q" &amp; 5 + (ROW(B9)-1)*4)</f>
        <v>-8.4732176153704097E-2</v>
      </c>
    </row>
    <row r="38" spans="1:4" x14ac:dyDescent="0.25">
      <c r="A38" s="92"/>
      <c r="B38" s="4" t="s">
        <v>31</v>
      </c>
      <c r="C38" s="56" cm="1">
        <f t="array" aca="1" ref="C38" ca="1">INDIRECT("'C Impact of Technique'!N" &amp; 5 + (ROW(B10)-1)*4)</f>
        <v>0</v>
      </c>
      <c r="D38" s="56" cm="1">
        <f t="array" aca="1" ref="D38" ca="1">INDIRECT("'C Impact of Technique'!Q" &amp; 5 + (ROW(B10)-1)*4)</f>
        <v>-7.1555555555555622E-2</v>
      </c>
    </row>
    <row r="39" spans="1:4" x14ac:dyDescent="0.25">
      <c r="A39" s="92"/>
      <c r="B39" s="4" t="s">
        <v>33</v>
      </c>
      <c r="C39" s="56" cm="1">
        <f t="array" aca="1" ref="C39" ca="1">INDIRECT("'C Impact of Technique'!N" &amp; 5 + (ROW(B11)-1)*4)</f>
        <v>0</v>
      </c>
      <c r="D39" s="56" cm="1">
        <f t="array" aca="1" ref="D39" ca="1">INDIRECT("'C Impact of Technique'!Q" &amp; 5 + (ROW(B11)-1)*4)</f>
        <v>-7.0144673388864397E-3</v>
      </c>
    </row>
    <row r="40" spans="1:4" x14ac:dyDescent="0.25">
      <c r="A40" s="92"/>
      <c r="B40" s="4" t="s">
        <v>37</v>
      </c>
      <c r="C40" s="56" cm="1">
        <f t="array" aca="1" ref="C40" ca="1">INDIRECT("'C Impact of Technique'!N" &amp; 5 + (ROW(B12)-1)*4)</f>
        <v>4.4585987261145828E-3</v>
      </c>
      <c r="D40" s="56" cm="1">
        <f t="array" aca="1" ref="D40" ca="1">INDIRECT("'C Impact of Technique'!Q" &amp; 5 + (ROW(B12)-1)*4)</f>
        <v>0.12986224263072124</v>
      </c>
    </row>
    <row r="41" spans="1:4" x14ac:dyDescent="0.25">
      <c r="A41" s="92"/>
      <c r="B41" s="4" t="s">
        <v>39</v>
      </c>
      <c r="C41" s="56" cm="1">
        <f t="array" aca="1" ref="C41" ca="1">INDIRECT("'C Impact of Technique'!N" &amp; 5 + (ROW(B13)-1)*4)</f>
        <v>0.43272727272727268</v>
      </c>
      <c r="D41" s="56" cm="1">
        <f t="array" aca="1" ref="D41" ca="1">INDIRECT("'C Impact of Technique'!Q" &amp; 5 + (ROW(B13)-1)*4)</f>
        <v>0.4984585127666068</v>
      </c>
    </row>
    <row r="42" spans="1:4" x14ac:dyDescent="0.25">
      <c r="A42" s="92"/>
      <c r="B42" s="4" t="s">
        <v>49</v>
      </c>
      <c r="C42" s="56" cm="1">
        <f t="array" aca="1" ref="C42" ca="1">INDIRECT("'C Impact of Technique'!N" &amp; 5 + (ROW(B14)-1)*4)</f>
        <v>-0.22139987312328191</v>
      </c>
      <c r="D42" s="56" cm="1">
        <f t="array" aca="1" ref="D42" ca="1">INDIRECT("'C Impact of Technique'!Q" &amp; 5 + (ROW(B14)-1)*4)</f>
        <v>-0.24089378676033946</v>
      </c>
    </row>
    <row r="43" spans="1:4" x14ac:dyDescent="0.25">
      <c r="A43" s="92"/>
      <c r="B43" s="4" t="s">
        <v>51</v>
      </c>
      <c r="C43" s="56" cm="1">
        <f t="array" aca="1" ref="C43" ca="1">INDIRECT("'C Impact of Technique'!N" &amp; 5 + (ROW(B15)-1)*4)</f>
        <v>-0.79311001141987059</v>
      </c>
      <c r="D43" s="56" cm="1">
        <f t="array" aca="1" ref="D43" ca="1">INDIRECT("'C Impact of Technique'!Q" &amp; 5 + (ROW(B15)-1)*4)</f>
        <v>-0.89059672070430462</v>
      </c>
    </row>
    <row r="44" spans="1:4" x14ac:dyDescent="0.25">
      <c r="A44" s="92"/>
      <c r="B44" s="4" t="s">
        <v>55</v>
      </c>
      <c r="C44" s="56" cm="1">
        <f t="array" aca="1" ref="C44" ca="1">INDIRECT("'C Impact of Technique'!N" &amp; 5 + (ROW(B16)-1)*4)</f>
        <v>0.16561922365988907</v>
      </c>
      <c r="D44" s="56" cm="1">
        <f t="array" aca="1" ref="D44" ca="1">INDIRECT("'C Impact of Technique'!Q" &amp; 5 + (ROW(B16)-1)*4)</f>
        <v>0.14912588739376678</v>
      </c>
    </row>
    <row r="45" spans="1:4" x14ac:dyDescent="0.25">
      <c r="A45" s="92"/>
      <c r="B45" s="4" t="s">
        <v>57</v>
      </c>
      <c r="C45" s="56" cm="1">
        <f t="array" aca="1" ref="C45" ca="1">INDIRECT("'C Impact of Technique'!N" &amp; 5 + (ROW(B17)-1)*4)</f>
        <v>-1.9083969465648872E-3</v>
      </c>
      <c r="D45" s="56" cm="1">
        <f t="array" aca="1" ref="D45" ca="1">INDIRECT("'C Impact of Technique'!Q" &amp; 5 + (ROW(B17)-1)*4)</f>
        <v>6.2979060590132637E-3</v>
      </c>
    </row>
    <row r="46" spans="1:4" x14ac:dyDescent="0.25">
      <c r="A46" s="92"/>
      <c r="B46" s="4" t="s">
        <v>61</v>
      </c>
      <c r="C46" s="56" cm="1">
        <f t="array" aca="1" ref="C46" ca="1">INDIRECT("'C Impact of Technique'!N" &amp; 5 + (ROW(B18)-1)*4)</f>
        <v>0.4353894280901579</v>
      </c>
      <c r="D46" s="56" cm="1">
        <f t="array" aca="1" ref="D46" ca="1">INDIRECT("'C Impact of Technique'!Q" &amp; 5 + (ROW(B18)-1)*4)</f>
        <v>0.41687641773226042</v>
      </c>
    </row>
    <row r="47" spans="1:4" x14ac:dyDescent="0.25">
      <c r="A47" s="92"/>
      <c r="B47" s="4" t="s">
        <v>63</v>
      </c>
      <c r="C47" s="56" cm="1">
        <f t="array" aca="1" ref="C47" ca="1">INDIRECT("'C Impact of Technique'!N" &amp; 5 + (ROW(B19)-1)*4)</f>
        <v>0</v>
      </c>
      <c r="D47" s="56" cm="1">
        <f t="array" aca="1" ref="D47" ca="1">INDIRECT("'C Impact of Technique'!Q" &amp; 5 + (ROW(B19)-1)*4)</f>
        <v>-2.4056408129406893E-2</v>
      </c>
    </row>
    <row r="48" spans="1:4" x14ac:dyDescent="0.25">
      <c r="A48" s="92"/>
      <c r="B48" s="4" t="s">
        <v>65</v>
      </c>
      <c r="C48" s="56" cm="1">
        <f t="array" aca="1" ref="C48" ca="1">INDIRECT("'C Impact of Technique'!N" &amp; 5 + (ROW(B20)-1)*4)</f>
        <v>0</v>
      </c>
      <c r="D48" s="56" cm="1">
        <f t="array" aca="1" ref="D48" ca="1">INDIRECT("'C Impact of Technique'!Q" &amp; 5 + (ROW(B20)-1)*4)</f>
        <v>6.8235294117646991E-2</v>
      </c>
    </row>
    <row r="49" spans="1:4" x14ac:dyDescent="0.25">
      <c r="A49" s="92"/>
      <c r="B49" s="4" t="s">
        <v>71</v>
      </c>
      <c r="C49" s="56" cm="1">
        <f t="array" aca="1" ref="C49" ca="1">INDIRECT("'C Impact of Technique'!N" &amp; 5 + (ROW(B21)-1)*4)</f>
        <v>-1.9083969465648872E-3</v>
      </c>
      <c r="D49" s="56" cm="1">
        <f t="array" aca="1" ref="D49" ca="1">INDIRECT("'C Impact of Technique'!Q" &amp; 5 + (ROW(B21)-1)*4)</f>
        <v>2.4753748082737247E-2</v>
      </c>
    </row>
    <row r="50" spans="1:4" x14ac:dyDescent="0.25">
      <c r="A50" s="92"/>
      <c r="B50" s="4" t="s">
        <v>79</v>
      </c>
      <c r="C50" s="56" cm="1">
        <f t="array" aca="1" ref="C50" ca="1">INDIRECT("'C Impact of Technique'!N" &amp; 5 + (ROW(B22)-1)*4)</f>
        <v>-0.74625905068382947</v>
      </c>
      <c r="D50" s="56" cm="1">
        <f t="array" aca="1" ref="D50" ca="1">INDIRECT("'C Impact of Technique'!Q" &amp; 5 + (ROW(B22)-1)*4)</f>
        <v>-0.80662329316487014</v>
      </c>
    </row>
    <row r="51" spans="1:4" x14ac:dyDescent="0.25">
      <c r="A51" s="92"/>
      <c r="B51" s="4" t="s">
        <v>87</v>
      </c>
      <c r="C51" s="56" cm="1">
        <f t="array" aca="1" ref="C51" ca="1">INDIRECT("'C Impact of Technique'!N" &amp; 5 + (ROW(B23)-1)*4)</f>
        <v>-3.3271719038817031E-2</v>
      </c>
      <c r="D51" s="56" cm="1">
        <f t="array" aca="1" ref="D51" ca="1">INDIRECT("'C Impact of Technique'!Q" &amp; 5 + (ROW(B23)-1)*4)</f>
        <v>-4.8045026102216219E-2</v>
      </c>
    </row>
    <row r="52" spans="1:4" x14ac:dyDescent="0.25">
      <c r="A52" s="92"/>
      <c r="B52" s="4" t="s">
        <v>91</v>
      </c>
      <c r="C52" s="56" cm="1">
        <f t="array" aca="1" ref="C52" ca="1">INDIRECT("'C Impact of Technique'!N" &amp; 5 + (ROW(B24)-1)*4)</f>
        <v>2.0038240917782026</v>
      </c>
      <c r="D52" s="56" cm="1">
        <f t="array" aca="1" ref="D52" ca="1">INDIRECT("'C Impact of Technique'!Q" &amp; 5 + (ROW(B24)-1)*4)</f>
        <v>3.5776361824173146</v>
      </c>
    </row>
    <row r="53" spans="1:4" x14ac:dyDescent="0.25">
      <c r="A53" s="92"/>
      <c r="B53" s="4" t="s">
        <v>93</v>
      </c>
      <c r="C53" s="56" cm="1">
        <f t="array" aca="1" ref="C53" ca="1">INDIRECT("'C Impact of Technique'!N" &amp; 5 + (ROW(B25)-1)*4)</f>
        <v>-0.15612190340402771</v>
      </c>
      <c r="D53" s="56" cm="1">
        <f t="array" aca="1" ref="D53" ca="1">INDIRECT("'C Impact of Technique'!Q" &amp; 5 + (ROW(B25)-1)*4)</f>
        <v>-0.16272173210118784</v>
      </c>
    </row>
    <row r="54" spans="1:4" x14ac:dyDescent="0.25">
      <c r="A54" s="92"/>
      <c r="B54" s="4" t="s">
        <v>95</v>
      </c>
      <c r="C54" s="56" cm="1">
        <f t="array" aca="1" ref="C54" ca="1">INDIRECT("'C Impact of Technique'!N" &amp; 5 + (ROW(B26)-1)*4)</f>
        <v>-0.27045200976992428</v>
      </c>
      <c r="D54" s="56" cm="1">
        <f t="array" aca="1" ref="D54" ca="1">INDIRECT("'C Impact of Technique'!Q" &amp; 5 + (ROW(B26)-1)*4)</f>
        <v>-0.28978230252851422</v>
      </c>
    </row>
    <row r="55" spans="1:4" x14ac:dyDescent="0.25">
      <c r="A55" s="92" t="s">
        <v>123</v>
      </c>
      <c r="B55" s="4" t="s">
        <v>150</v>
      </c>
      <c r="C55" s="56" cm="1">
        <f t="array" aca="1" ref="C55" ca="1">INDIRECT("'Python Impact of Technique'!S" &amp; 3 + (ROW(B1)-1)*4)</f>
        <v>-0.43956689214580985</v>
      </c>
      <c r="D55" s="56" cm="1">
        <f t="array" aca="1" ref="D55" ca="1">INDIRECT("'Python Impact of Technique'!V" &amp; 3 + (ROW(B1)-1)*4)</f>
        <v>-0.4375439600498881</v>
      </c>
    </row>
    <row r="56" spans="1:4" x14ac:dyDescent="0.25">
      <c r="A56" s="92"/>
      <c r="B56" s="4" t="s">
        <v>151</v>
      </c>
      <c r="C56" s="56" cm="1">
        <f t="array" aca="1" ref="C56" ca="1">INDIRECT("'Python Impact of Technique'!S" &amp; 3 + (ROW(B2)-1)*4)</f>
        <v>-6.2644598683039593E-2</v>
      </c>
      <c r="D56" s="56" cm="1">
        <f t="array" aca="1" ref="D56" ca="1">INDIRECT("'Python Impact of Technique'!V" &amp; 3 + (ROW(B2)-1)*4)</f>
        <v>-7.2651951722010749E-2</v>
      </c>
    </row>
    <row r="57" spans="1:4" x14ac:dyDescent="0.25">
      <c r="A57" s="92"/>
      <c r="B57" s="4" t="s">
        <v>152</v>
      </c>
      <c r="C57" s="56" cm="1">
        <f t="array" aca="1" ref="C57" ca="1">INDIRECT("'Python Impact of Technique'!S" &amp; 3 + (ROW(B3)-1)*4)</f>
        <v>-0.29491017964071864</v>
      </c>
      <c r="D57" s="56" cm="1">
        <f t="array" aca="1" ref="D57" ca="1">INDIRECT("'Python Impact of Technique'!V" &amp; 3 + (ROW(B3)-1)*4)</f>
        <v>-0.30624251285951987</v>
      </c>
    </row>
    <row r="58" spans="1:4" x14ac:dyDescent="0.25">
      <c r="A58" s="92"/>
      <c r="B58" s="4" t="s">
        <v>154</v>
      </c>
      <c r="C58" s="56" cm="1">
        <f t="array" aca="1" ref="C58" ca="1">INDIRECT("'Python Impact of Technique'!S" &amp; 3 + (ROW(B4)-1)*4)</f>
        <v>-0.70721369490967456</v>
      </c>
      <c r="D58" s="56" cm="1">
        <f t="array" aca="1" ref="D58" ca="1">INDIRECT("'Python Impact of Technique'!V" &amp; 3 + (ROW(B4)-1)*4)</f>
        <v>-0.70376581617575062</v>
      </c>
    </row>
    <row r="59" spans="1:4" x14ac:dyDescent="0.25">
      <c r="A59" s="92"/>
      <c r="B59" s="4" t="s">
        <v>153</v>
      </c>
      <c r="C59" s="56" cm="1">
        <f t="array" aca="1" ref="C59" ca="1">INDIRECT("'Python Impact of Technique'!S" &amp; 3 + (ROW(B5)-1)*4)</f>
        <v>-0.26856003986048832</v>
      </c>
      <c r="D59" s="56" cm="1">
        <f t="array" aca="1" ref="D59" ca="1">INDIRECT("'Python Impact of Technique'!V" &amp; 3 + (ROW(B5)-1)*4)</f>
        <v>-0.33105358385118788</v>
      </c>
    </row>
    <row r="60" spans="1:4" x14ac:dyDescent="0.25">
      <c r="A60" s="92"/>
      <c r="B60" s="4" t="s">
        <v>19</v>
      </c>
      <c r="C60" s="56" cm="1">
        <f t="array" aca="1" ref="C60" ca="1">INDIRECT("'Python Impact of Technique'!S" &amp; 3 + (ROW(B6)-1)*4)</f>
        <v>-0.48496240601503759</v>
      </c>
      <c r="D60" s="56" cm="1">
        <f t="array" aca="1" ref="D60" ca="1">INDIRECT("'Python Impact of Technique'!V" &amp; 3 + (ROW(B6)-1)*4)</f>
        <v>-0.49809920516200862</v>
      </c>
    </row>
    <row r="61" spans="1:4" x14ac:dyDescent="0.25">
      <c r="A61" s="92"/>
      <c r="B61" s="4" t="s">
        <v>21</v>
      </c>
      <c r="C61" s="56" cm="1">
        <f t="array" aca="1" ref="C61" ca="1">INDIRECT("'Python Impact of Technique'!S" &amp; 3 + (ROW(B7)-1)*4)</f>
        <v>-0.23868562969229148</v>
      </c>
      <c r="D61" s="56" cm="1">
        <f t="array" aca="1" ref="D61" ca="1">INDIRECT("'Python Impact of Technique'!V" &amp; 3 + (ROW(B7)-1)*4)</f>
        <v>-0.24297536072308817</v>
      </c>
    </row>
    <row r="62" spans="1:4" x14ac:dyDescent="0.25">
      <c r="A62" s="92"/>
      <c r="B62" s="4" t="s">
        <v>23</v>
      </c>
      <c r="C62" s="56" cm="1">
        <f t="array" aca="1" ref="C62" ca="1">INDIRECT("'Python Impact of Technique'!S" &amp; 3 + (ROW(B8)-1)*4)</f>
        <v>-0.18331447381956589</v>
      </c>
      <c r="D62" s="56" cm="1">
        <f t="array" aca="1" ref="D62" ca="1">INDIRECT("'Python Impact of Technique'!V" &amp; 3 + (ROW(B8)-1)*4)</f>
        <v>-0.20611366633678624</v>
      </c>
    </row>
    <row r="63" spans="1:4" x14ac:dyDescent="0.25">
      <c r="A63" s="92"/>
      <c r="B63" s="4" t="s">
        <v>25</v>
      </c>
      <c r="C63" s="56" cm="1">
        <f t="array" aca="1" ref="C63" ca="1">INDIRECT("'Python Impact of Technique'!S" &amp; 3 + (ROW(B9)-1)*4)</f>
        <v>-0.17829122795022556</v>
      </c>
      <c r="D63" s="56" cm="1">
        <f t="array" aca="1" ref="D63" ca="1">INDIRECT("'Python Impact of Technique'!V" &amp; 3 + (ROW(B9)-1)*4)</f>
        <v>-0.18055062978364758</v>
      </c>
    </row>
    <row r="64" spans="1:4" x14ac:dyDescent="0.25">
      <c r="A64" s="92"/>
      <c r="B64" s="4" t="s">
        <v>31</v>
      </c>
      <c r="C64" s="56" cm="1">
        <f t="array" aca="1" ref="C64" ca="1">INDIRECT("'Python Impact of Technique'!S" &amp; 3 + (ROW(B10)-1)*4)</f>
        <v>-2.0719990739668771E-2</v>
      </c>
      <c r="D64" s="56" cm="1">
        <f t="array" aca="1" ref="D64" ca="1">INDIRECT("'Python Impact of Technique'!V" &amp; 3 + (ROW(B10)-1)*4)</f>
        <v>1.3920549239102508E-2</v>
      </c>
    </row>
    <row r="65" spans="1:4" x14ac:dyDescent="0.25">
      <c r="A65" s="92"/>
      <c r="B65" s="4" t="s">
        <v>33</v>
      </c>
      <c r="C65" s="56" cm="1">
        <f t="array" aca="1" ref="C65" ca="1">INDIRECT("'Python Impact of Technique'!S" &amp; 3 + (ROW(B11)-1)*4)</f>
        <v>4.8359451518119663E-2</v>
      </c>
      <c r="D65" s="56" cm="1">
        <f t="array" aca="1" ref="D65" ca="1">INDIRECT("'Python Impact of Technique'!V" &amp; 3 + (ROW(B11)-1)*4)</f>
        <v>3.976363135430027E-2</v>
      </c>
    </row>
    <row r="66" spans="1:4" x14ac:dyDescent="0.25">
      <c r="A66" s="92"/>
      <c r="B66" s="4" t="s">
        <v>37</v>
      </c>
      <c r="C66" s="56" cm="1">
        <f t="array" aca="1" ref="C66" ca="1">INDIRECT("'Python Impact of Technique'!S" &amp; 3 + (ROW(B12)-1)*4)</f>
        <v>3.2693236903221734E-2</v>
      </c>
      <c r="D66" s="56" cm="1">
        <f t="array" aca="1" ref="D66" ca="1">INDIRECT("'Python Impact of Technique'!V" &amp; 3 + (ROW(B12)-1)*4)</f>
        <v>3.9103596133052441E-2</v>
      </c>
    </row>
    <row r="67" spans="1:4" x14ac:dyDescent="0.25">
      <c r="A67" s="92"/>
      <c r="B67" s="4" t="s">
        <v>39</v>
      </c>
      <c r="C67" s="56" cm="1">
        <f t="array" aca="1" ref="C67" ca="1">INDIRECT("'Python Impact of Technique'!S" &amp; 3 + (ROW(B13)-1)*4)</f>
        <v>-0.10956992186937935</v>
      </c>
      <c r="D67" s="56" cm="1">
        <f t="array" aca="1" ref="D67" ca="1">INDIRECT("'Python Impact of Technique'!V" &amp; 3 + (ROW(B13)-1)*4)</f>
        <v>-8.5382364498427815E-2</v>
      </c>
    </row>
    <row r="68" spans="1:4" x14ac:dyDescent="0.25">
      <c r="A68" s="92"/>
      <c r="B68" s="4" t="s">
        <v>49</v>
      </c>
      <c r="C68" s="56" cm="1">
        <f t="array" aca="1" ref="C68" ca="1">INDIRECT("'Python Impact of Technique'!S" &amp; 3 + (ROW(B14)-1)*4)</f>
        <v>-4.7426124055363623E-2</v>
      </c>
      <c r="D68" s="56" cm="1">
        <f t="array" aca="1" ref="D68" ca="1">INDIRECT("'Python Impact of Technique'!V" &amp; 3 + (ROW(B14)-1)*4)</f>
        <v>-3.3376793575922048E-2</v>
      </c>
    </row>
    <row r="69" spans="1:4" x14ac:dyDescent="0.25">
      <c r="A69" s="92"/>
      <c r="B69" s="4" t="s">
        <v>51</v>
      </c>
      <c r="C69" s="56" cm="1">
        <f t="array" aca="1" ref="C69" ca="1">INDIRECT("'Python Impact of Technique'!S" &amp; 3 + (ROW(B15)-1)*4)</f>
        <v>-0.2631615346046785</v>
      </c>
      <c r="D69" s="56" cm="1">
        <f t="array" aca="1" ref="D69" ca="1">INDIRECT("'Python Impact of Technique'!V" &amp; 3 + (ROW(B15)-1)*4)</f>
        <v>-0.25202628684492628</v>
      </c>
    </row>
    <row r="70" spans="1:4" x14ac:dyDescent="0.25">
      <c r="A70" s="92"/>
      <c r="B70" s="4" t="s">
        <v>55</v>
      </c>
      <c r="C70" s="56" cm="1">
        <f t="array" aca="1" ref="C70" ca="1">INDIRECT("'Python Impact of Technique'!S" &amp; 3 + (ROW(B16)-1)*4)</f>
        <v>0.1957508688043772</v>
      </c>
      <c r="D70" s="56" cm="1">
        <f t="array" aca="1" ref="D70" ca="1">INDIRECT("'Python Impact of Technique'!V" &amp; 3 + (ROW(B16)-1)*4)</f>
        <v>0.23592671262227946</v>
      </c>
    </row>
    <row r="71" spans="1:4" x14ac:dyDescent="0.25">
      <c r="A71" s="92"/>
      <c r="B71" s="4" t="s">
        <v>57</v>
      </c>
      <c r="C71" s="56" cm="1">
        <f t="array" aca="1" ref="C71" ca="1">INDIRECT("'Python Impact of Technique'!S" &amp; 3 + (ROW(B17)-1)*4)</f>
        <v>3.873363990095513E-2</v>
      </c>
      <c r="D71" s="56" cm="1">
        <f t="array" aca="1" ref="D71" ca="1">INDIRECT("'Python Impact of Technique'!V" &amp; 3 + (ROW(B17)-1)*4)</f>
        <v>6.1167023485203552E-2</v>
      </c>
    </row>
    <row r="72" spans="1:4" x14ac:dyDescent="0.25">
      <c r="A72" s="92"/>
      <c r="B72" s="4" t="s">
        <v>61</v>
      </c>
      <c r="C72" s="56" cm="1">
        <f t="array" aca="1" ref="C72" ca="1">INDIRECT("'Python Impact of Technique'!S" &amp; 3 + (ROW(B18)-1)*4)</f>
        <v>0.99629266024233332</v>
      </c>
      <c r="D72" s="56" cm="1">
        <f t="array" aca="1" ref="D72" ca="1">INDIRECT("'Python Impact of Technique'!V" &amp; 3 + (ROW(B18)-1)*4)</f>
        <v>1.1724449714758838</v>
      </c>
    </row>
    <row r="73" spans="1:4" x14ac:dyDescent="0.25">
      <c r="A73" s="92"/>
      <c r="B73" s="4" t="s">
        <v>63</v>
      </c>
      <c r="C73" s="56" cm="1">
        <f t="array" aca="1" ref="C73" ca="1">INDIRECT("'Python Impact of Technique'!S" &amp; 3 + (ROW(B19)-1)*4)</f>
        <v>0.13753245665466116</v>
      </c>
      <c r="D73" s="56" cm="1">
        <f t="array" aca="1" ref="D73" ca="1">INDIRECT("'Python Impact of Technique'!V" &amp; 3 + (ROW(B19)-1)*4)</f>
        <v>0.16722519218273582</v>
      </c>
    </row>
    <row r="74" spans="1:4" x14ac:dyDescent="0.25">
      <c r="A74" s="92"/>
      <c r="B74" s="4" t="s">
        <v>65</v>
      </c>
      <c r="C74" s="56" cm="1">
        <f t="array" aca="1" ref="C74" ca="1">INDIRECT("'Python Impact of Technique'!S" &amp; 3 + (ROW(B20)-1)*4)</f>
        <v>-4.1779605570613998E-2</v>
      </c>
      <c r="D74" s="56" cm="1">
        <f t="array" aca="1" ref="D74" ca="1">INDIRECT("'Python Impact of Technique'!V" &amp; 3 + (ROW(B20)-1)*4)</f>
        <v>-2.3177650496855023E-2</v>
      </c>
    </row>
    <row r="75" spans="1:4" x14ac:dyDescent="0.25">
      <c r="A75" s="92"/>
      <c r="B75" s="4" t="s">
        <v>71</v>
      </c>
      <c r="C75" s="56" cm="1">
        <f t="array" aca="1" ref="C75" ca="1">INDIRECT("'Python Impact of Technique'!S" &amp; 3 + (ROW(B21)-1)*4)</f>
        <v>-0.12023472971815299</v>
      </c>
      <c r="D75" s="56" cm="1">
        <f t="array" aca="1" ref="D75" ca="1">INDIRECT("'Python Impact of Technique'!V" &amp; 3 + (ROW(B21)-1)*4)</f>
        <v>-0.12215891559285184</v>
      </c>
    </row>
    <row r="76" spans="1:4" x14ac:dyDescent="0.25">
      <c r="A76" s="92"/>
      <c r="B76" s="4" t="s">
        <v>79</v>
      </c>
      <c r="C76" s="56" cm="1">
        <f t="array" aca="1" ref="C76" ca="1">INDIRECT("'Python Impact of Technique'!S" &amp; 3 + (ROW(B22)-1)*4)</f>
        <v>-0.36173136547245288</v>
      </c>
      <c r="D76" s="56" cm="1">
        <f t="array" aca="1" ref="D76" ca="1">INDIRECT("'Python Impact of Technique'!V" &amp; 3 + (ROW(B22)-1)*4)</f>
        <v>-0.35986862321496699</v>
      </c>
    </row>
    <row r="77" spans="1:4" x14ac:dyDescent="0.25">
      <c r="A77" s="92"/>
      <c r="B77" s="4" t="s">
        <v>87</v>
      </c>
      <c r="C77" s="56" cm="1">
        <f t="array" aca="1" ref="C77" ca="1">INDIRECT("'Python Impact of Technique'!S" &amp; 3 + (ROW(B23)-1)*4)</f>
        <v>-4.32138284250961E-2</v>
      </c>
      <c r="D77" s="56" cm="1">
        <f t="array" aca="1" ref="D77" ca="1">INDIRECT("'Python Impact of Technique'!V" &amp; 3 + (ROW(B23)-1)*4)</f>
        <v>-1.1228030939537198E-2</v>
      </c>
    </row>
    <row r="78" spans="1:4" x14ac:dyDescent="0.25">
      <c r="A78" s="92"/>
      <c r="B78" s="4" t="s">
        <v>91</v>
      </c>
      <c r="C78" s="56" cm="1">
        <f t="array" aca="1" ref="C78" ca="1">INDIRECT("'Python Impact of Technique'!S" &amp; 3 + (ROW(B24)-1)*4)</f>
        <v>-4.0402942348807128E-3</v>
      </c>
      <c r="D78" s="56" cm="1">
        <f t="array" aca="1" ref="D78" ca="1">INDIRECT("'Python Impact of Technique'!V" &amp; 3 + (ROW(B24)-1)*4)</f>
        <v>-1.0590608616674324E-2</v>
      </c>
    </row>
    <row r="79" spans="1:4" x14ac:dyDescent="0.25">
      <c r="A79" s="92"/>
      <c r="B79" s="4" t="s">
        <v>93</v>
      </c>
      <c r="C79" s="56" cm="1">
        <f t="array" aca="1" ref="C79" ca="1">INDIRECT("'Python Impact of Technique'!S" &amp; 3 + (ROW(B25)-1)*4)</f>
        <v>-0.21468237843694973</v>
      </c>
      <c r="D79" s="56" cm="1">
        <f t="array" aca="1" ref="D79" ca="1">INDIRECT("'Python Impact of Technique'!V" &amp; 3 + (ROW(B25)-1)*4)</f>
        <v>-0.22726500679949163</v>
      </c>
    </row>
    <row r="80" spans="1:4" x14ac:dyDescent="0.25">
      <c r="A80" s="92"/>
      <c r="B80" s="4" t="s">
        <v>95</v>
      </c>
      <c r="C80" s="56" cm="1">
        <f t="array" aca="1" ref="C80" ca="1">INDIRECT("'Python Impact of Technique'!S" &amp; 3 + (ROW(B26)-1)*4)</f>
        <v>-0.38945233265720081</v>
      </c>
      <c r="D80" s="56" cm="1">
        <f t="array" aca="1" ref="D80" ca="1">INDIRECT("'Python Impact of Technique'!V" &amp; 3 + (ROW(B26)-1)*4)</f>
        <v>-0.41889648629195841</v>
      </c>
    </row>
    <row r="81" spans="1:4" x14ac:dyDescent="0.25">
      <c r="A81" s="92" t="s">
        <v>123</v>
      </c>
      <c r="B81" s="4" t="s">
        <v>150</v>
      </c>
      <c r="C81" s="56" cm="1">
        <f t="array" aca="1" ref="C81" ca="1">INDIRECT("'Python Impact of Technique'!S" &amp; 5 + (ROW(B1)-1)*4)</f>
        <v>-0.68598764435705173</v>
      </c>
      <c r="D81" s="56" cm="1">
        <f t="array" aca="1" ref="D81" ca="1">INDIRECT("'Python Impact of Technique'!V" &amp; 5 + (ROW(B1)-1)*4)</f>
        <v>-0.68758184691688673</v>
      </c>
    </row>
    <row r="82" spans="1:4" x14ac:dyDescent="0.25">
      <c r="A82" s="92"/>
      <c r="B82" s="4" t="s">
        <v>151</v>
      </c>
      <c r="C82" s="56" cm="1">
        <f t="array" aca="1" ref="C82" ca="1">INDIRECT("'Python Impact of Technique'!S" &amp; 5 + (ROW(B2)-1)*4)</f>
        <v>-4.9154165336737922E-2</v>
      </c>
      <c r="D82" s="56" cm="1">
        <f t="array" aca="1" ref="D82" ca="1">INDIRECT("'Python Impact of Technique'!V" &amp; 5 + (ROW(B2)-1)*4)</f>
        <v>-8.092433355759221E-2</v>
      </c>
    </row>
    <row r="83" spans="1:4" x14ac:dyDescent="0.25">
      <c r="A83" s="92"/>
      <c r="B83" s="4" t="s">
        <v>152</v>
      </c>
      <c r="C83" s="56" cm="1">
        <f t="array" aca="1" ref="C83" ca="1">INDIRECT("'Python Impact of Technique'!S" &amp; 5 + (ROW(B3)-1)*4)</f>
        <v>-0.39119549342791571</v>
      </c>
      <c r="D83" s="56" cm="1">
        <f t="array" aca="1" ref="D83" ca="1">INDIRECT("'Python Impact of Technique'!V" &amp; 5 + (ROW(B3)-1)*4)</f>
        <v>-0.41146776533557211</v>
      </c>
    </row>
    <row r="84" spans="1:4" x14ac:dyDescent="0.25">
      <c r="A84" s="92"/>
      <c r="B84" s="4" t="s">
        <v>154</v>
      </c>
      <c r="C84" s="56" cm="1">
        <f t="array" aca="1" ref="C84" ca="1">INDIRECT("'Python Impact of Technique'!S" &amp; 5 + (ROW(B4)-1)*4)</f>
        <v>-0.54722222222222217</v>
      </c>
      <c r="D84" s="56" cm="1">
        <f t="array" aca="1" ref="D84" ca="1">INDIRECT("'Python Impact of Technique'!V" &amp; 5 + (ROW(B4)-1)*4)</f>
        <v>-0.53093995825975271</v>
      </c>
    </row>
    <row r="85" spans="1:4" x14ac:dyDescent="0.25">
      <c r="A85" s="92"/>
      <c r="B85" s="4" t="s">
        <v>153</v>
      </c>
      <c r="C85" s="56" cm="1">
        <f t="array" aca="1" ref="C85" ca="1">INDIRECT("'Python Impact of Technique'!S" &amp; 5 + (ROW(B5)-1)*4)</f>
        <v>-0.25846354166666669</v>
      </c>
      <c r="D85" s="56" cm="1">
        <f t="array" aca="1" ref="D85" ca="1">INDIRECT("'Python Impact of Technique'!V" &amp; 5 + (ROW(B5)-1)*4)</f>
        <v>-0.28273530705108596</v>
      </c>
    </row>
    <row r="86" spans="1:4" x14ac:dyDescent="0.25">
      <c r="A86" s="92"/>
      <c r="B86" s="4" t="s">
        <v>19</v>
      </c>
      <c r="C86" s="56" cm="1">
        <f t="array" aca="1" ref="C86" ca="1">INDIRECT("'Python Impact of Technique'!S" &amp; 5 + (ROW(B6)-1)*4)</f>
        <v>-0.65068392410648623</v>
      </c>
      <c r="D86" s="56" cm="1">
        <f t="array" aca="1" ref="D86" ca="1">INDIRECT("'Python Impact of Technique'!V" &amp; 5 + (ROW(B6)-1)*4)</f>
        <v>-0.68720426990279571</v>
      </c>
    </row>
    <row r="87" spans="1:4" x14ac:dyDescent="0.25">
      <c r="A87" s="92"/>
      <c r="B87" s="4" t="s">
        <v>21</v>
      </c>
      <c r="C87" s="56" cm="1">
        <f t="array" aca="1" ref="C87" ca="1">INDIRECT("'Python Impact of Technique'!S" &amp; 5 + (ROW(B7)-1)*4)</f>
        <v>-0.19818315018315022</v>
      </c>
      <c r="D87" s="56" cm="1">
        <f t="array" aca="1" ref="D87" ca="1">INDIRECT("'Python Impact of Technique'!V" &amp; 5 + (ROW(B7)-1)*4)</f>
        <v>-0.21111568001890577</v>
      </c>
    </row>
    <row r="88" spans="1:4" x14ac:dyDescent="0.25">
      <c r="A88" s="92"/>
      <c r="B88" s="4" t="s">
        <v>23</v>
      </c>
      <c r="C88" s="56" cm="1">
        <f t="array" aca="1" ref="C88" ca="1">INDIRECT("'Python Impact of Technique'!S" &amp; 5 + (ROW(B8)-1)*4)</f>
        <v>-0.17028048537895363</v>
      </c>
      <c r="D88" s="56" cm="1">
        <f t="array" aca="1" ref="D88" ca="1">INDIRECT("'Python Impact of Technique'!V" &amp; 5 + (ROW(B8)-1)*4)</f>
        <v>-0.15991069700348914</v>
      </c>
    </row>
    <row r="89" spans="1:4" x14ac:dyDescent="0.25">
      <c r="A89" s="92"/>
      <c r="B89" s="4" t="s">
        <v>25</v>
      </c>
      <c r="C89" s="56" cm="1">
        <f t="array" aca="1" ref="C89" ca="1">INDIRECT("'Python Impact of Technique'!S" &amp; 5 + (ROW(B9)-1)*4)</f>
        <v>-3.3249166361481106E-2</v>
      </c>
      <c r="D89" s="56" cm="1">
        <f t="array" aca="1" ref="D89" ca="1">INDIRECT("'Python Impact of Technique'!V" &amp; 5 + (ROW(B9)-1)*4)</f>
        <v>-2.8524666258177529E-2</v>
      </c>
    </row>
    <row r="90" spans="1:4" x14ac:dyDescent="0.25">
      <c r="A90" s="92"/>
      <c r="B90" s="4" t="s">
        <v>31</v>
      </c>
      <c r="C90" s="56" cm="1">
        <f t="array" aca="1" ref="C90" ca="1">INDIRECT("'Python Impact of Technique'!S" &amp; 5 + (ROW(B10)-1)*4)</f>
        <v>8.7879479570874178E-2</v>
      </c>
      <c r="D90" s="56" cm="1">
        <f t="array" aca="1" ref="D90" ca="1">INDIRECT("'Python Impact of Technique'!V" &amp; 5 + (ROW(B10)-1)*4)</f>
        <v>7.9006641979619527E-2</v>
      </c>
    </row>
    <row r="91" spans="1:4" x14ac:dyDescent="0.25">
      <c r="A91" s="92"/>
      <c r="B91" s="4" t="s">
        <v>33</v>
      </c>
      <c r="C91" s="56" cm="1">
        <f t="array" aca="1" ref="C91" ca="1">INDIRECT("'Python Impact of Technique'!S" &amp; 5 + (ROW(B11)-1)*4)</f>
        <v>0.11459508233701783</v>
      </c>
      <c r="D91" s="56" cm="1">
        <f t="array" aca="1" ref="D91" ca="1">INDIRECT("'Python Impact of Technique'!V" &amp; 5 + (ROW(B11)-1)*4)</f>
        <v>0.13769458491353254</v>
      </c>
    </row>
    <row r="92" spans="1:4" x14ac:dyDescent="0.25">
      <c r="A92" s="92"/>
      <c r="B92" s="4" t="s">
        <v>37</v>
      </c>
      <c r="C92" s="56" cm="1">
        <f t="array" aca="1" ref="C92" ca="1">INDIRECT("'Python Impact of Technique'!S" &amp; 5 + (ROW(B12)-1)*4)</f>
        <v>3.7641113420548516E-2</v>
      </c>
      <c r="D92" s="56" cm="1">
        <f t="array" aca="1" ref="D92" ca="1">INDIRECT("'Python Impact of Technique'!V" &amp; 5 + (ROW(B12)-1)*4)</f>
        <v>5.4074694478755091E-2</v>
      </c>
    </row>
    <row r="93" spans="1:4" x14ac:dyDescent="0.25">
      <c r="A93" s="92"/>
      <c r="B93" s="4" t="s">
        <v>39</v>
      </c>
      <c r="C93" s="56" cm="1">
        <f t="array" aca="1" ref="C93" ca="1">INDIRECT("'Python Impact of Technique'!S" &amp; 5 + (ROW(B13)-1)*4)</f>
        <v>6.9381669074134455E-2</v>
      </c>
      <c r="D93" s="56" cm="1">
        <f t="array" aca="1" ref="D93" ca="1">INDIRECT("'Python Impact of Technique'!V" &amp; 5 + (ROW(B13)-1)*4)</f>
        <v>7.9880277268757183E-2</v>
      </c>
    </row>
    <row r="94" spans="1:4" x14ac:dyDescent="0.25">
      <c r="A94" s="92"/>
      <c r="B94" s="4" t="s">
        <v>49</v>
      </c>
      <c r="C94" s="56" cm="1">
        <f t="array" aca="1" ref="C94" ca="1">INDIRECT("'Python Impact of Technique'!S" &amp; 5 + (ROW(B14)-1)*4)</f>
        <v>-6.3746175923297663E-2</v>
      </c>
      <c r="D94" s="56" cm="1">
        <f t="array" aca="1" ref="D94" ca="1">INDIRECT("'Python Impact of Technique'!V" &amp; 5 + (ROW(B14)-1)*4)</f>
        <v>-5.3669901583458683E-2</v>
      </c>
    </row>
    <row r="95" spans="1:4" x14ac:dyDescent="0.25">
      <c r="A95" s="92"/>
      <c r="B95" s="4" t="s">
        <v>51</v>
      </c>
      <c r="C95" s="56" cm="1">
        <f t="array" aca="1" ref="C95" ca="1">INDIRECT("'Python Impact of Technique'!S" &amp; 5 + (ROW(B15)-1)*4)</f>
        <v>-0.13619520473030747</v>
      </c>
      <c r="D95" s="56" cm="1">
        <f t="array" aca="1" ref="D95" ca="1">INDIRECT("'Python Impact of Technique'!V" &amp; 5 + (ROW(B15)-1)*4)</f>
        <v>-0.16670107657059163</v>
      </c>
    </row>
    <row r="96" spans="1:4" x14ac:dyDescent="0.25">
      <c r="A96" s="92"/>
      <c r="B96" s="4" t="s">
        <v>55</v>
      </c>
      <c r="C96" s="56" cm="1">
        <f t="array" aca="1" ref="C96" ca="1">INDIRECT("'Python Impact of Technique'!S" &amp; 5 + (ROW(B16)-1)*4)</f>
        <v>0.18821089675108402</v>
      </c>
      <c r="D96" s="56" cm="1">
        <f t="array" aca="1" ref="D96" ca="1">INDIRECT("'Python Impact of Technique'!V" &amp; 5 + (ROW(B16)-1)*4)</f>
        <v>0.21919466610418961</v>
      </c>
    </row>
    <row r="97" spans="1:4" x14ac:dyDescent="0.25">
      <c r="A97" s="92"/>
      <c r="B97" s="4" t="s">
        <v>57</v>
      </c>
      <c r="C97" s="56" cm="1">
        <f t="array" aca="1" ref="C97" ca="1">INDIRECT("'Python Impact of Technique'!S" &amp; 5 + (ROW(B17)-1)*4)</f>
        <v>0.14472361809045226</v>
      </c>
      <c r="D97" s="56" cm="1">
        <f t="array" aca="1" ref="D97" ca="1">INDIRECT("'Python Impact of Technique'!V" &amp; 5 + (ROW(B17)-1)*4)</f>
        <v>0.17824158010898158</v>
      </c>
    </row>
    <row r="98" spans="1:4" x14ac:dyDescent="0.25">
      <c r="A98" s="92"/>
      <c r="B98" s="4" t="s">
        <v>61</v>
      </c>
      <c r="C98" s="56" cm="1">
        <f t="array" aca="1" ref="C98" ca="1">INDIRECT("'Python Impact of Technique'!S" &amp; 5 + (ROW(B18)-1)*4)</f>
        <v>7.4218059727867061E-2</v>
      </c>
      <c r="D98" s="56" cm="1">
        <f t="array" aca="1" ref="D98" ca="1">INDIRECT("'Python Impact of Technique'!V" &amp; 5 + (ROW(B18)-1)*4)</f>
        <v>8.1219619678943228E-2</v>
      </c>
    </row>
    <row r="99" spans="1:4" x14ac:dyDescent="0.25">
      <c r="A99" s="92"/>
      <c r="B99" s="4" t="s">
        <v>63</v>
      </c>
      <c r="C99" s="56" cm="1">
        <f t="array" aca="1" ref="C99" ca="1">INDIRECT("'Python Impact of Technique'!S" &amp; 5 + (ROW(B19)-1)*4)</f>
        <v>0.25292880744968455</v>
      </c>
      <c r="D99" s="56" cm="1">
        <f t="array" aca="1" ref="D99" ca="1">INDIRECT("'Python Impact of Technique'!V" &amp; 5 + (ROW(B19)-1)*4)</f>
        <v>0.27869292402172802</v>
      </c>
    </row>
    <row r="100" spans="1:4" x14ac:dyDescent="0.25">
      <c r="A100" s="92"/>
      <c r="B100" s="4" t="s">
        <v>65</v>
      </c>
      <c r="C100" s="56" cm="1">
        <f t="array" aca="1" ref="C100" ca="1">INDIRECT("'Python Impact of Technique'!S" &amp; 5 + (ROW(B20)-1)*4)</f>
        <v>6.2272963155164292E-3</v>
      </c>
      <c r="D100" s="56" cm="1">
        <f t="array" aca="1" ref="D100" ca="1">INDIRECT("'Python Impact of Technique'!V" &amp; 5 + (ROW(B20)-1)*4)</f>
        <v>-2.5197467828091215E-2</v>
      </c>
    </row>
    <row r="101" spans="1:4" x14ac:dyDescent="0.25">
      <c r="A101" s="92"/>
      <c r="B101" s="4" t="s">
        <v>71</v>
      </c>
      <c r="C101" s="56" cm="1">
        <f t="array" aca="1" ref="C101" ca="1">INDIRECT("'Python Impact of Technique'!S" &amp; 5 + (ROW(B21)-1)*4)</f>
        <v>-6.3102559016068191E-2</v>
      </c>
      <c r="D101" s="56" cm="1">
        <f t="array" aca="1" ref="D101" ca="1">INDIRECT("'Python Impact of Technique'!V" &amp; 5 + (ROW(B21)-1)*4)</f>
        <v>-8.8872698418423227E-2</v>
      </c>
    </row>
    <row r="102" spans="1:4" x14ac:dyDescent="0.25">
      <c r="A102" s="92"/>
      <c r="B102" s="4" t="s">
        <v>79</v>
      </c>
      <c r="C102" s="56" cm="1">
        <f t="array" aca="1" ref="C102" ca="1">INDIRECT("'Python Impact of Technique'!S" &amp; 5 + (ROW(B22)-1)*4)</f>
        <v>-2.1497693941732985E-2</v>
      </c>
      <c r="D102" s="56" cm="1">
        <f t="array" aca="1" ref="D102" ca="1">INDIRECT("'Python Impact of Technique'!V" &amp; 5 + (ROW(B22)-1)*4)</f>
        <v>-9.989245155509691E-3</v>
      </c>
    </row>
    <row r="103" spans="1:4" x14ac:dyDescent="0.25">
      <c r="A103" s="92"/>
      <c r="B103" s="4" t="s">
        <v>87</v>
      </c>
      <c r="C103" s="56" cm="1">
        <f t="array" aca="1" ref="C103" ca="1">INDIRECT("'Python Impact of Technique'!S" &amp; 5 + (ROW(B23)-1)*4)</f>
        <v>-3.1694433157253087E-2</v>
      </c>
      <c r="D103" s="56" cm="1">
        <f t="array" aca="1" ref="D103" ca="1">INDIRECT("'Python Impact of Technique'!V" &amp; 5 + (ROW(B23)-1)*4)</f>
        <v>-3.3292297128940711E-2</v>
      </c>
    </row>
    <row r="104" spans="1:4" x14ac:dyDescent="0.25">
      <c r="A104" s="92"/>
      <c r="B104" s="4" t="s">
        <v>91</v>
      </c>
      <c r="C104" s="56" cm="1">
        <f t="array" aca="1" ref="C104" ca="1">INDIRECT("'Python Impact of Technique'!S" &amp; 5 + (ROW(B24)-1)*4)</f>
        <v>9.591581579495731E-2</v>
      </c>
      <c r="D104" s="56" cm="1">
        <f t="array" aca="1" ref="D104" ca="1">INDIRECT("'Python Impact of Technique'!V" &amp; 5 + (ROW(B24)-1)*4)</f>
        <v>0.17091891470668061</v>
      </c>
    </row>
    <row r="105" spans="1:4" x14ac:dyDescent="0.25">
      <c r="A105" s="92"/>
      <c r="B105" s="4" t="s">
        <v>93</v>
      </c>
      <c r="C105" s="56" cm="1">
        <f t="array" aca="1" ref="C105" ca="1">INDIRECT("'Python Impact of Technique'!S" &amp; 5 + (ROW(B25)-1)*4)</f>
        <v>-0.27233220666344765</v>
      </c>
      <c r="D105" s="56" cm="1">
        <f t="array" aca="1" ref="D105" ca="1">INDIRECT("'Python Impact of Technique'!V" &amp; 5 + (ROW(B25)-1)*4)</f>
        <v>-0.28077015759357143</v>
      </c>
    </row>
    <row r="106" spans="1:4" x14ac:dyDescent="0.25">
      <c r="A106" s="92"/>
      <c r="B106" s="4" t="s">
        <v>95</v>
      </c>
      <c r="C106" s="56" cm="1">
        <f t="array" aca="1" ref="C106" ca="1">INDIRECT("'Python Impact of Technique'!S" &amp; 5 + (ROW(B26)-1)*4)</f>
        <v>-0.36602098466505251</v>
      </c>
      <c r="D106" s="56" cm="1">
        <f t="array" aca="1" ref="D106" ca="1">INDIRECT("'Python Impact of Technique'!V" &amp; 5 + (ROW(B26)-1)*4)</f>
        <v>-0.39445352187596433</v>
      </c>
    </row>
    <row r="107" spans="1:4" x14ac:dyDescent="0.25">
      <c r="A107" s="92" t="s">
        <v>181</v>
      </c>
      <c r="B107" s="4" t="s">
        <v>150</v>
      </c>
      <c r="C107" s="56" cm="1">
        <f t="array" aca="1" ref="C107" ca="1">INDIRECT("'Java Impact of Technique'!T" &amp; 3 + (ROW(B1)-1)*4)</f>
        <v>4.9494297396169744E-3</v>
      </c>
      <c r="D107" s="56" cm="1">
        <f t="array" aca="1" ref="D107" ca="1">INDIRECT("'Java Impact of Technique'!W" &amp; 3 + (ROW(W1)-1)*4)</f>
        <v>-2.3607428272206743E-2</v>
      </c>
    </row>
    <row r="108" spans="1:4" x14ac:dyDescent="0.25">
      <c r="A108" s="92"/>
      <c r="B108" s="4" t="s">
        <v>151</v>
      </c>
      <c r="C108" s="56" cm="1">
        <f t="array" aca="1" ref="C108" ca="1">INDIRECT("'Java Impact of Technique'!T" &amp; 3 + (ROW(B2)-1)*4)</f>
        <v>-0.68798534028268021</v>
      </c>
      <c r="D108" s="56" cm="1">
        <f t="array" aca="1" ref="D108" ca="1">INDIRECT("'Java Impact of Technique'!W" &amp; 3 + (ROW(W2)-1)*4)</f>
        <v>-0.69404336592297933</v>
      </c>
    </row>
    <row r="109" spans="1:4" x14ac:dyDescent="0.25">
      <c r="A109" s="92"/>
      <c r="B109" s="4" t="s">
        <v>152</v>
      </c>
      <c r="C109" s="56" cm="1">
        <f t="array" aca="1" ref="C109" ca="1">INDIRECT("'Java Impact of Technique'!T" &amp; 3 + (ROW(B3)-1)*4)</f>
        <v>0</v>
      </c>
      <c r="D109" s="56" cm="1">
        <f t="array" aca="1" ref="D109" ca="1">INDIRECT("'Java Impact of Technique'!W" &amp; 3 + (ROW(W3)-1)*4)</f>
        <v>-7.2908672294703493E-3</v>
      </c>
    </row>
    <row r="110" spans="1:4" x14ac:dyDescent="0.25">
      <c r="A110" s="92"/>
      <c r="B110" s="4" t="s">
        <v>154</v>
      </c>
      <c r="C110" s="56" cm="1">
        <f t="array" aca="1" ref="C110" ca="1">INDIRECT("'Java Impact of Technique'!T" &amp; 3 + (ROW(B4)-1)*4)</f>
        <v>-0.91377065846733696</v>
      </c>
      <c r="D110" s="56" cm="1">
        <f t="array" aca="1" ref="D110" ca="1">INDIRECT("'Java Impact of Technique'!W" &amp; 3 + (ROW(W4)-1)*4)</f>
        <v>-0.9223257177699381</v>
      </c>
    </row>
    <row r="111" spans="1:4" x14ac:dyDescent="0.25">
      <c r="A111" s="92"/>
      <c r="B111" s="4" t="s">
        <v>153</v>
      </c>
      <c r="C111" s="56" cm="1">
        <f t="array" aca="1" ref="C111" ca="1">INDIRECT("'Java Impact of Technique'!T" &amp; 3 + (ROW(B5)-1)*4)</f>
        <v>0</v>
      </c>
      <c r="D111" s="56" cm="1">
        <f t="array" aca="1" ref="D111" ca="1">INDIRECT("'Java Impact of Technique'!W" &amp; 3 + (ROW(W5)-1)*4)</f>
        <v>8.4728249638355776E-3</v>
      </c>
    </row>
    <row r="112" spans="1:4" x14ac:dyDescent="0.25">
      <c r="A112" s="92"/>
      <c r="B112" s="4" t="s">
        <v>19</v>
      </c>
      <c r="C112" s="56" cm="1">
        <f t="array" aca="1" ref="C112" ca="1">INDIRECT("'Java Impact of Technique'!T" &amp; 3 + (ROW(B6)-1)*4)</f>
        <v>-0.94330313814299571</v>
      </c>
      <c r="D112" s="56" cm="1">
        <f t="array" aca="1" ref="D112" ca="1">INDIRECT("'Java Impact of Technique'!W" &amp; 3 + (ROW(W6)-1)*4)</f>
        <v>-0.99955927879231421</v>
      </c>
    </row>
    <row r="113" spans="1:4" x14ac:dyDescent="0.25">
      <c r="A113" s="92"/>
      <c r="B113" s="4" t="s">
        <v>21</v>
      </c>
      <c r="C113" s="56" cm="1">
        <f t="array" aca="1" ref="C113" ca="1">INDIRECT("'Java Impact of Technique'!T" &amp; 3 + (ROW(B7)-1)*4)</f>
        <v>0</v>
      </c>
      <c r="D113" s="56" cm="1">
        <f t="array" aca="1" ref="D113" ca="1">INDIRECT("'Java Impact of Technique'!W" &amp; 3 + (ROW(W7)-1)*4)</f>
        <v>4.1647277803629763E-2</v>
      </c>
    </row>
    <row r="114" spans="1:4" x14ac:dyDescent="0.25">
      <c r="A114" s="92"/>
      <c r="B114" s="4" t="s">
        <v>23</v>
      </c>
      <c r="C114" s="56" cm="1">
        <f t="array" aca="1" ref="C114" ca="1">INDIRECT("'Java Impact of Technique'!T" &amp; 3 + (ROW(B8)-1)*4)</f>
        <v>0</v>
      </c>
      <c r="D114" s="56" cm="1">
        <f t="array" aca="1" ref="D114" ca="1">INDIRECT("'Java Impact of Technique'!W" &amp; 3 + (ROW(W8)-1)*4)</f>
        <v>-3.8927335640138697E-3</v>
      </c>
    </row>
    <row r="115" spans="1:4" x14ac:dyDescent="0.25">
      <c r="A115" s="92"/>
      <c r="B115" s="4" t="s">
        <v>25</v>
      </c>
      <c r="C115" s="56" cm="1">
        <f t="array" aca="1" ref="C115" ca="1">INDIRECT("'Java Impact of Technique'!T" &amp; 3 + (ROW(B9)-1)*4)</f>
        <v>-0.76187011096961976</v>
      </c>
      <c r="D115" s="56" cm="1">
        <f t="array" aca="1" ref="D115" ca="1">INDIRECT("'Java Impact of Technique'!W" &amp; 3 + (ROW(W9)-1)*4)</f>
        <v>-0.74251644592064869</v>
      </c>
    </row>
    <row r="116" spans="1:4" x14ac:dyDescent="0.25">
      <c r="A116" s="92"/>
      <c r="B116" s="4" t="s">
        <v>31</v>
      </c>
      <c r="C116" s="56" cm="1">
        <f t="array" aca="1" ref="C116" ca="1">INDIRECT("'Java Impact of Technique'!T" &amp; 3 + (ROW(B10)-1)*4)</f>
        <v>4.7755491881582333E-4</v>
      </c>
      <c r="D116" s="56" cm="1">
        <f t="array" aca="1" ref="D116" ca="1">INDIRECT("'Java Impact of Technique'!W" &amp; 3 + (ROW(W10)-1)*4)</f>
        <v>-8.1733534678580175E-3</v>
      </c>
    </row>
    <row r="117" spans="1:4" x14ac:dyDescent="0.25">
      <c r="A117" s="92"/>
      <c r="B117" s="4" t="s">
        <v>33</v>
      </c>
      <c r="C117" s="56" cm="1">
        <f t="array" aca="1" ref="C117" ca="1">INDIRECT("'Java Impact of Technique'!T" &amp; 3 + (ROW(B11)-1)*4)</f>
        <v>0</v>
      </c>
      <c r="D117" s="56" cm="1">
        <f t="array" aca="1" ref="D117" ca="1">INDIRECT("'Java Impact of Technique'!W" &amp; 3 + (ROW(W11)-1)*4)</f>
        <v>-1.8488181605429404E-2</v>
      </c>
    </row>
    <row r="118" spans="1:4" x14ac:dyDescent="0.25">
      <c r="A118" s="92"/>
      <c r="B118" s="4" t="s">
        <v>37</v>
      </c>
      <c r="C118" s="56" cm="1">
        <f t="array" aca="1" ref="C118" ca="1">INDIRECT("'Java Impact of Technique'!T" &amp; 3 + (ROW(B12)-1)*4)</f>
        <v>-0.21723966118584959</v>
      </c>
      <c r="D118" s="56" cm="1">
        <f t="array" aca="1" ref="D118" ca="1">INDIRECT("'Java Impact of Technique'!W" &amp; 3 + (ROW(W12)-1)*4)</f>
        <v>-0.11167962428009777</v>
      </c>
    </row>
    <row r="119" spans="1:4" x14ac:dyDescent="0.25">
      <c r="A119" s="92"/>
      <c r="B119" s="4" t="s">
        <v>39</v>
      </c>
      <c r="C119" s="56" cm="1">
        <f t="array" aca="1" ref="C119" ca="1">INDIRECT("'Java Impact of Technique'!T" &amp; 3 + (ROW(B13)-1)*4)</f>
        <v>1.1740119133864606</v>
      </c>
      <c r="D119" s="56" cm="1">
        <f t="array" aca="1" ref="D119" ca="1">INDIRECT("'Java Impact of Technique'!W" &amp; 3 + (ROW(W13)-1)*4)</f>
        <v>0.81603730401593255</v>
      </c>
    </row>
    <row r="120" spans="1:4" x14ac:dyDescent="0.25">
      <c r="A120" s="92"/>
      <c r="B120" s="4" t="s">
        <v>49</v>
      </c>
      <c r="C120" s="56" cm="1">
        <f t="array" aca="1" ref="C120" ca="1">INDIRECT("'Java Impact of Technique'!T" &amp; 3 + (ROW(B14)-1)*4)</f>
        <v>0</v>
      </c>
      <c r="D120" s="56" cm="1">
        <f t="array" aca="1" ref="D120" ca="1">INDIRECT("'Java Impact of Technique'!W" &amp; 3 + (ROW(W14)-1)*4)</f>
        <v>2.3071545094383736E-2</v>
      </c>
    </row>
    <row r="121" spans="1:4" x14ac:dyDescent="0.25">
      <c r="A121" s="92"/>
      <c r="B121" s="4" t="s">
        <v>51</v>
      </c>
      <c r="C121" s="56" cm="1">
        <f t="array" aca="1" ref="C121" ca="1">INDIRECT("'Java Impact of Technique'!T" &amp; 3 + (ROW(B15)-1)*4)</f>
        <v>-3.8907594463149721E-3</v>
      </c>
      <c r="D121" s="56" cm="1">
        <f t="array" aca="1" ref="D121" ca="1">INDIRECT("'Java Impact of Technique'!W" &amp; 3 + (ROW(W15)-1)*4)</f>
        <v>1.530963283992412E-2</v>
      </c>
    </row>
    <row r="122" spans="1:4" x14ac:dyDescent="0.25">
      <c r="A122" s="92"/>
      <c r="B122" s="4" t="s">
        <v>55</v>
      </c>
      <c r="C122" s="56" cm="1">
        <f t="array" aca="1" ref="C122" ca="1">INDIRECT("'Java Impact of Technique'!T" &amp; 3 + (ROW(B16)-1)*4)</f>
        <v>0.49952244508118449</v>
      </c>
      <c r="D122" s="56" cm="1">
        <f t="array" aca="1" ref="D122" ca="1">INDIRECT("'Java Impact of Technique'!W" &amp; 3 + (ROW(W16)-1)*4)</f>
        <v>0.32001797853812031</v>
      </c>
    </row>
    <row r="123" spans="1:4" x14ac:dyDescent="0.25">
      <c r="A123" s="92"/>
      <c r="B123" s="4" t="s">
        <v>57</v>
      </c>
      <c r="C123" s="56" cm="1">
        <f t="array" aca="1" ref="C123" ca="1">INDIRECT("'Java Impact of Technique'!T" &amp; 3 + (ROW(B17)-1)*4)</f>
        <v>0</v>
      </c>
      <c r="D123" s="56" cm="1">
        <f t="array" aca="1" ref="D123" ca="1">INDIRECT("'Java Impact of Technique'!W" &amp; 3 + (ROW(W17)-1)*4)</f>
        <v>3.9447731755424134E-3</v>
      </c>
    </row>
    <row r="124" spans="1:4" x14ac:dyDescent="0.25">
      <c r="A124" s="92"/>
      <c r="B124" s="4" t="s">
        <v>61</v>
      </c>
      <c r="C124" s="56" cm="1">
        <f t="array" aca="1" ref="C124" ca="1">INDIRECT("'Java Impact of Technique'!T" &amp; 3 + (ROW(B18)-1)*4)</f>
        <v>0.34058959295006308</v>
      </c>
      <c r="D124" s="56" cm="1">
        <f t="array" aca="1" ref="D124" ca="1">INDIRECT("'Java Impact of Technique'!W" &amp; 3 + (ROW(W18)-1)*4)</f>
        <v>0.41776803814004948</v>
      </c>
    </row>
    <row r="125" spans="1:4" x14ac:dyDescent="0.25">
      <c r="A125" s="92"/>
      <c r="B125" s="4" t="s">
        <v>63</v>
      </c>
      <c r="C125" s="56" cm="1">
        <f t="array" aca="1" ref="C125" ca="1">INDIRECT("'Java Impact of Technique'!T" &amp; 3 + (ROW(B19)-1)*4)</f>
        <v>1.2856753069577083</v>
      </c>
      <c r="D125" s="56" cm="1">
        <f t="array" aca="1" ref="D125" ca="1">INDIRECT("'Java Impact of Technique'!W" &amp; 3 + (ROW(W19)-1)*4)</f>
        <v>1.4591636375736206</v>
      </c>
    </row>
    <row r="126" spans="1:4" x14ac:dyDescent="0.25">
      <c r="A126" s="92"/>
      <c r="B126" s="4" t="s">
        <v>65</v>
      </c>
      <c r="C126" s="56" cm="1">
        <f t="array" aca="1" ref="C126" ca="1">INDIRECT("'Java Impact of Technique'!T" &amp; 3 + (ROW(B20)-1)*4)</f>
        <v>6.3694267515916549E-4</v>
      </c>
      <c r="D126" s="56" cm="1">
        <f t="array" aca="1" ref="D126" ca="1">INDIRECT("'Java Impact of Technique'!W" &amp; 3 + (ROW(W20)-1)*4)</f>
        <v>2.429266236015111E-2</v>
      </c>
    </row>
    <row r="127" spans="1:4" x14ac:dyDescent="0.25">
      <c r="A127" s="92"/>
      <c r="B127" s="4" t="s">
        <v>71</v>
      </c>
      <c r="C127" s="56" cm="1">
        <f t="array" aca="1" ref="C127" ca="1">INDIRECT("'Java Impact of Technique'!T" &amp; 3 + (ROW(B21)-1)*4)</f>
        <v>-8.740790354989951E-2</v>
      </c>
      <c r="D127" s="56" cm="1">
        <f t="array" aca="1" ref="D127" ca="1">INDIRECT("'Java Impact of Technique'!W" &amp; 3 + (ROW(W21)-1)*4)</f>
        <v>-6.333954056660028E-2</v>
      </c>
    </row>
    <row r="128" spans="1:4" x14ac:dyDescent="0.25">
      <c r="A128" s="92"/>
      <c r="B128" s="4" t="s">
        <v>79</v>
      </c>
      <c r="C128" s="56" cm="1">
        <f t="array" aca="1" ref="C128" ca="1">INDIRECT("'Java Impact of Technique'!T" &amp; 3 + (ROW(B22)-1)*4)</f>
        <v>8.7298553655318478E-3</v>
      </c>
      <c r="D128" s="56" cm="1">
        <f t="array" aca="1" ref="D128" ca="1">INDIRECT("'Java Impact of Technique'!W" &amp; 3 + (ROW(W22)-1)*4)</f>
        <v>-1.191544372826543E-3</v>
      </c>
    </row>
    <row r="129" spans="1:4" x14ac:dyDescent="0.25">
      <c r="A129" s="92"/>
      <c r="B129" s="4" t="s">
        <v>87</v>
      </c>
      <c r="C129" s="56" cm="1">
        <f t="array" aca="1" ref="C129" ca="1">INDIRECT("'Java Impact of Technique'!T" &amp; 3 + (ROW(B23)-1)*4)</f>
        <v>-6.3653723742831947E-4</v>
      </c>
      <c r="D129" s="56" cm="1">
        <f t="array" aca="1" ref="D129" ca="1">INDIRECT("'Java Impact of Technique'!W" &amp; 3 + (ROW(W23)-1)*4)</f>
        <v>-1.7370064986010687E-2</v>
      </c>
    </row>
    <row r="130" spans="1:4" x14ac:dyDescent="0.25">
      <c r="A130" s="92"/>
      <c r="B130" s="4" t="s">
        <v>91</v>
      </c>
      <c r="C130" s="56" cm="1">
        <f t="array" aca="1" ref="C130" ca="1">INDIRECT("'Java Impact of Technique'!T" &amp; 3 + (ROW(B24)-1)*4)</f>
        <v>-1.8491793184398364E-2</v>
      </c>
      <c r="D130" s="56" cm="1">
        <f t="array" aca="1" ref="D130" ca="1">INDIRECT("'Java Impact of Technique'!W" &amp; 3 + (ROW(W24)-1)*4)</f>
        <v>-9.0382670288577608E-3</v>
      </c>
    </row>
    <row r="131" spans="1:4" x14ac:dyDescent="0.25">
      <c r="A131" s="92"/>
      <c r="B131" s="4" t="s">
        <v>93</v>
      </c>
      <c r="C131" s="56" cm="1">
        <f t="array" aca="1" ref="C131" ca="1">INDIRECT("'Java Impact of Technique'!T" &amp; 3 + (ROW(B25)-1)*4)</f>
        <v>-0.25906127134834206</v>
      </c>
      <c r="D131" s="56" cm="1">
        <f t="array" aca="1" ref="D131" ca="1">INDIRECT("'Java Impact of Technique'!W" &amp; 3 + (ROW(W25)-1)*4)</f>
        <v>-0.20725031988492304</v>
      </c>
    </row>
    <row r="132" spans="1:4" x14ac:dyDescent="0.25">
      <c r="A132" s="92"/>
      <c r="B132" s="4" t="s">
        <v>95</v>
      </c>
      <c r="C132" s="56" cm="1">
        <f t="array" aca="1" ref="C132" ca="1">INDIRECT("'Java Impact of Technique'!T" &amp; 3 + (ROW(B26)-1)*4)</f>
        <v>-0.18232354984944249</v>
      </c>
      <c r="D132" s="56" cm="1">
        <f t="array" aca="1" ref="D132" ca="1">INDIRECT("'Java Impact of Technique'!W" &amp; 3 + (ROW(W26)-1)*4)</f>
        <v>-0.18366680566659535</v>
      </c>
    </row>
    <row r="133" spans="1:4" x14ac:dyDescent="0.25">
      <c r="A133" s="92" t="s">
        <v>181</v>
      </c>
      <c r="B133" s="4" t="s">
        <v>150</v>
      </c>
      <c r="C133" s="56" cm="1">
        <f t="array" aca="1" ref="C133" ca="1">INDIRECT("'Java Impact of Technique'!T" &amp; 5 + (ROW(B1)-1)*4)</f>
        <v>-0.79398711826528778</v>
      </c>
      <c r="D133" s="56" cm="1">
        <f t="array" aca="1" ref="D133" ca="1">INDIRECT("'Java Impact of Technique'!W" &amp; 5 + (ROW(W1)-1)*4)</f>
        <v>-0.77380809484124569</v>
      </c>
    </row>
    <row r="134" spans="1:4" x14ac:dyDescent="0.25">
      <c r="A134" s="92"/>
      <c r="B134" s="4" t="s">
        <v>151</v>
      </c>
      <c r="C134" s="56" cm="1">
        <f t="array" aca="1" ref="C134" ca="1">INDIRECT("'Java Impact of Technique'!T" &amp; 5 + (ROW(B2)-1)*4)</f>
        <v>-6.8751522419382149E-2</v>
      </c>
      <c r="D134" s="56" cm="1">
        <f t="array" aca="1" ref="D134" ca="1">INDIRECT("'Java Impact of Technique'!W" &amp; 5 + (ROW(W2)-1)*4)</f>
        <v>-7.3869099312503253E-2</v>
      </c>
    </row>
    <row r="135" spans="1:4" x14ac:dyDescent="0.25">
      <c r="A135" s="92"/>
      <c r="B135" s="4" t="s">
        <v>152</v>
      </c>
      <c r="C135" s="56" cm="1">
        <f t="array" aca="1" ref="C135" ca="1">INDIRECT("'Java Impact of Technique'!T" &amp; 5 + (ROW(B3)-1)*4)</f>
        <v>0</v>
      </c>
      <c r="D135" s="56" cm="1">
        <f t="array" aca="1" ref="D135" ca="1">INDIRECT("'Java Impact of Technique'!W" &amp; 5 + (ROW(W3)-1)*4)</f>
        <v>-2.8988116672668346E-2</v>
      </c>
    </row>
    <row r="136" spans="1:4" x14ac:dyDescent="0.25">
      <c r="A136" s="92"/>
      <c r="B136" s="4" t="s">
        <v>154</v>
      </c>
      <c r="C136" s="56" cm="1">
        <f t="array" aca="1" ref="C136" ca="1">INDIRECT("'Java Impact of Technique'!T" &amp; 5 + (ROW(B4)-1)*4)</f>
        <v>-0.80931478736746099</v>
      </c>
      <c r="D136" s="56" cm="1">
        <f t="array" aca="1" ref="D136" ca="1">INDIRECT("'Java Impact of Technique'!W" &amp; 5 + (ROW(W4)-1)*4)</f>
        <v>-0.82796190484589149</v>
      </c>
    </row>
    <row r="137" spans="1:4" x14ac:dyDescent="0.25">
      <c r="A137" s="92"/>
      <c r="B137" s="4" t="s">
        <v>153</v>
      </c>
      <c r="C137" s="56" cm="1">
        <f t="array" aca="1" ref="C137" ca="1">INDIRECT("'Java Impact of Technique'!T" &amp; 5 + (ROW(B5)-1)*4)</f>
        <v>2.7985074626865787E-2</v>
      </c>
      <c r="D137" s="56" cm="1">
        <f t="array" aca="1" ref="D137" ca="1">INDIRECT("'Java Impact of Technique'!W" &amp; 5 + (ROW(W5)-1)*4)</f>
        <v>-6.2754377152698174E-2</v>
      </c>
    </row>
    <row r="138" spans="1:4" x14ac:dyDescent="0.25">
      <c r="A138" s="92"/>
      <c r="B138" s="4" t="s">
        <v>19</v>
      </c>
      <c r="C138" s="56" cm="1">
        <f t="array" aca="1" ref="C138" ca="1">INDIRECT("'Java Impact of Technique'!T" &amp; 5 + (ROW(B6)-1)*4)</f>
        <v>-0.95280552389890727</v>
      </c>
      <c r="D138" s="56" cm="1">
        <f t="array" aca="1" ref="D138" ca="1">INDIRECT("'Java Impact of Technique'!W" &amp; 5 + (ROW(W6)-1)*4)</f>
        <v>-0.96329673918942471</v>
      </c>
    </row>
    <row r="139" spans="1:4" x14ac:dyDescent="0.25">
      <c r="A139" s="92"/>
      <c r="B139" s="4" t="s">
        <v>21</v>
      </c>
      <c r="C139" s="56" cm="1">
        <f t="array" aca="1" ref="C139" ca="1">INDIRECT("'Java Impact of Technique'!T" &amp; 5 + (ROW(B7)-1)*4)</f>
        <v>-0.32781924551139802</v>
      </c>
      <c r="D139" s="56" cm="1">
        <f t="array" aca="1" ref="D139" ca="1">INDIRECT("'Java Impact of Technique'!W" &amp; 5 + (ROW(W7)-1)*4)</f>
        <v>-0.34101500972549653</v>
      </c>
    </row>
    <row r="140" spans="1:4" x14ac:dyDescent="0.25">
      <c r="A140" s="92"/>
      <c r="B140" s="4" t="s">
        <v>23</v>
      </c>
      <c r="C140" s="56" cm="1">
        <f t="array" aca="1" ref="C140" ca="1">INDIRECT("'Java Impact of Technique'!T" &amp; 5 + (ROW(B8)-1)*4)</f>
        <v>-0.33127188734073465</v>
      </c>
      <c r="D140" s="56" cm="1">
        <f t="array" aca="1" ref="D140" ca="1">INDIRECT("'Java Impact of Technique'!W" &amp; 5 + (ROW(W8)-1)*4)</f>
        <v>-0.33892290205102771</v>
      </c>
    </row>
    <row r="141" spans="1:4" x14ac:dyDescent="0.25">
      <c r="A141" s="92"/>
      <c r="B141" s="4" t="s">
        <v>25</v>
      </c>
      <c r="C141" s="56" cm="1">
        <f t="array" aca="1" ref="C141" ca="1">INDIRECT("'Java Impact of Technique'!T" &amp; 5 + (ROW(B9)-1)*4)</f>
        <v>3.0819466809804973E-2</v>
      </c>
      <c r="D141" s="56" cm="1">
        <f t="array" aca="1" ref="D141" ca="1">INDIRECT("'Java Impact of Technique'!W" &amp; 5 + (ROW(W9)-1)*4)</f>
        <v>-1.1994737424390974E-2</v>
      </c>
    </row>
    <row r="142" spans="1:4" x14ac:dyDescent="0.25">
      <c r="A142" s="92"/>
      <c r="B142" s="4" t="s">
        <v>31</v>
      </c>
      <c r="C142" s="56" cm="1">
        <f t="array" aca="1" ref="C142" ca="1">INDIRECT("'Java Impact of Technique'!T" &amp; 5 + (ROW(B10)-1)*4)</f>
        <v>-6.5739016106059487E-3</v>
      </c>
      <c r="D142" s="56" cm="1">
        <f t="array" aca="1" ref="D142" ca="1">INDIRECT("'Java Impact of Technique'!W" &amp; 5 + (ROW(W10)-1)*4)</f>
        <v>-2.9288824540189273E-2</v>
      </c>
    </row>
    <row r="143" spans="1:4" x14ac:dyDescent="0.25">
      <c r="A143" s="92"/>
      <c r="B143" s="4" t="s">
        <v>33</v>
      </c>
      <c r="C143" s="56" cm="1">
        <f t="array" aca="1" ref="C143" ca="1">INDIRECT("'Java Impact of Technique'!T" &amp; 5 + (ROW(B11)-1)*4)</f>
        <v>1.4827201783723423E-2</v>
      </c>
      <c r="D143" s="56" cm="1">
        <f t="array" aca="1" ref="D143" ca="1">INDIRECT("'Java Impact of Technique'!W" &amp; 5 + (ROW(W11)-1)*4)</f>
        <v>4.9966955866964272E-2</v>
      </c>
    </row>
    <row r="144" spans="1:4" x14ac:dyDescent="0.25">
      <c r="A144" s="92"/>
      <c r="B144" s="4" t="s">
        <v>37</v>
      </c>
      <c r="C144" s="56" cm="1">
        <f t="array" aca="1" ref="C144" ca="1">INDIRECT("'Java Impact of Technique'!T" &amp; 5 + (ROW(B12)-1)*4)</f>
        <v>-3.209481954987356E-2</v>
      </c>
      <c r="D144" s="56" cm="1">
        <f t="array" aca="1" ref="D144" ca="1">INDIRECT("'Java Impact of Technique'!W" &amp; 5 + (ROW(W12)-1)*4)</f>
        <v>-5.8125667257532036E-2</v>
      </c>
    </row>
    <row r="145" spans="1:4" x14ac:dyDescent="0.25">
      <c r="A145" s="92"/>
      <c r="B145" s="4" t="s">
        <v>39</v>
      </c>
      <c r="C145" s="56" cm="1">
        <f t="array" aca="1" ref="C145" ca="1">INDIRECT("'Java Impact of Technique'!T" &amp; 5 + (ROW(B13)-1)*4)</f>
        <v>-0.29295417992677003</v>
      </c>
      <c r="D145" s="56" cm="1">
        <f t="array" aca="1" ref="D145" ca="1">INDIRECT("'Java Impact of Technique'!W" &amp; 5 + (ROW(W13)-1)*4)</f>
        <v>-0.27823172661967516</v>
      </c>
    </row>
    <row r="146" spans="1:4" x14ac:dyDescent="0.25">
      <c r="A146" s="92"/>
      <c r="B146" s="4" t="s">
        <v>49</v>
      </c>
      <c r="C146" s="56" cm="1">
        <f t="array" aca="1" ref="C146" ca="1">INDIRECT("'Java Impact of Technique'!T" &amp; 5 + (ROW(B14)-1)*4)</f>
        <v>-0.26072808912129136</v>
      </c>
      <c r="D146" s="56" cm="1">
        <f t="array" aca="1" ref="D146" ca="1">INDIRECT("'Java Impact of Technique'!W" &amp; 5 + (ROW(W14)-1)*4)</f>
        <v>-0.23503396363964349</v>
      </c>
    </row>
    <row r="147" spans="1:4" x14ac:dyDescent="0.25">
      <c r="A147" s="92"/>
      <c r="B147" s="4" t="s">
        <v>51</v>
      </c>
      <c r="C147" s="56" cm="1">
        <f t="array" aca="1" ref="C147" ca="1">INDIRECT("'Java Impact of Technique'!T" &amp; 5 + (ROW(B15)-1)*4)</f>
        <v>-0.27193561867274185</v>
      </c>
      <c r="D147" s="56" cm="1">
        <f t="array" aca="1" ref="D147" ca="1">INDIRECT("'Java Impact of Technique'!W" &amp; 5 + (ROW(W15)-1)*4)</f>
        <v>-0.25193948425600715</v>
      </c>
    </row>
    <row r="148" spans="1:4" x14ac:dyDescent="0.25">
      <c r="A148" s="92"/>
      <c r="B148" s="4" t="s">
        <v>55</v>
      </c>
      <c r="C148" s="56" cm="1">
        <f t="array" aca="1" ref="C148" ca="1">INDIRECT("'Java Impact of Technique'!T" &amp; 5 + (ROW(B16)-1)*4)</f>
        <v>0.29428829293450237</v>
      </c>
      <c r="D148" s="56" cm="1">
        <f t="array" aca="1" ref="D148" ca="1">INDIRECT("'Java Impact of Technique'!W" &amp; 5 + (ROW(W16)-1)*4)</f>
        <v>0.28279984723119572</v>
      </c>
    </row>
    <row r="149" spans="1:4" x14ac:dyDescent="0.25">
      <c r="A149" s="92"/>
      <c r="B149" s="4" t="s">
        <v>57</v>
      </c>
      <c r="C149" s="56" cm="1">
        <f t="array" aca="1" ref="C149" ca="1">INDIRECT("'Java Impact of Technique'!T" &amp; 5 + (ROW(B17)-1)*4)</f>
        <v>-2.6622718052738331E-2</v>
      </c>
      <c r="D149" s="56" cm="1">
        <f t="array" aca="1" ref="D149" ca="1">INDIRECT("'Java Impact of Technique'!W" &amp; 5 + (ROW(W17)-1)*4)</f>
        <v>-2.0566866029009968E-2</v>
      </c>
    </row>
    <row r="150" spans="1:4" x14ac:dyDescent="0.25">
      <c r="A150" s="92"/>
      <c r="B150" s="4" t="s">
        <v>61</v>
      </c>
      <c r="C150" s="56" cm="1">
        <f t="array" aca="1" ref="C150" ca="1">INDIRECT("'Java Impact of Technique'!T" &amp; 5 + (ROW(B18)-1)*4)</f>
        <v>0.4529420268902703</v>
      </c>
      <c r="D150" s="56" cm="1">
        <f t="array" aca="1" ref="D150" ca="1">INDIRECT("'Java Impact of Technique'!W" &amp; 5 + (ROW(W18)-1)*4)</f>
        <v>0.6032365217072384</v>
      </c>
    </row>
    <row r="151" spans="1:4" x14ac:dyDescent="0.25">
      <c r="A151" s="92"/>
      <c r="B151" s="4" t="s">
        <v>63</v>
      </c>
      <c r="C151" s="56" cm="1">
        <f t="array" aca="1" ref="C151" ca="1">INDIRECT("'Java Impact of Technique'!T" &amp; 5 + (ROW(B19)-1)*4)</f>
        <v>4.0446597851274524E-2</v>
      </c>
      <c r="D151" s="56" cm="1">
        <f t="array" aca="1" ref="D151" ca="1">INDIRECT("'Java Impact of Technique'!W" &amp; 5 + (ROW(W19)-1)*4)</f>
        <v>6.5193702078058746E-2</v>
      </c>
    </row>
    <row r="152" spans="1:4" x14ac:dyDescent="0.25">
      <c r="A152" s="92"/>
      <c r="B152" s="4" t="s">
        <v>65</v>
      </c>
      <c r="C152" s="56" cm="1">
        <f t="array" aca="1" ref="C152" ca="1">INDIRECT("'Java Impact of Technique'!T" &amp; 5 + (ROW(B20)-1)*4)</f>
        <v>4.0870922196626081E-3</v>
      </c>
      <c r="D152" s="56" cm="1">
        <f t="array" aca="1" ref="D152" ca="1">INDIRECT("'Java Impact of Technique'!W" &amp; 5 + (ROW(W20)-1)*4)</f>
        <v>1.2641368621257787E-2</v>
      </c>
    </row>
    <row r="153" spans="1:4" x14ac:dyDescent="0.25">
      <c r="A153" s="92"/>
      <c r="B153" s="4" t="s">
        <v>71</v>
      </c>
      <c r="C153" s="56" cm="1">
        <f t="array" aca="1" ref="C153" ca="1">INDIRECT("'Java Impact of Technique'!T" &amp; 5 + (ROW(B21)-1)*4)</f>
        <v>-0.16273374888691011</v>
      </c>
      <c r="D153" s="56" cm="1">
        <f t="array" aca="1" ref="D153" ca="1">INDIRECT("'Java Impact of Technique'!W" &amp; 5 + (ROW(W21)-1)*4)</f>
        <v>-0.1452728116842098</v>
      </c>
    </row>
    <row r="154" spans="1:4" x14ac:dyDescent="0.25">
      <c r="A154" s="92"/>
      <c r="B154" s="4" t="s">
        <v>79</v>
      </c>
      <c r="C154" s="56" cm="1">
        <f t="array" aca="1" ref="C154" ca="1">INDIRECT("'Java Impact of Technique'!T" &amp; 5 + (ROW(B22)-1)*4)</f>
        <v>-0.74614901733545802</v>
      </c>
      <c r="D154" s="56" cm="1">
        <f t="array" aca="1" ref="D154" ca="1">INDIRECT("'Java Impact of Technique'!W" &amp; 5 + (ROW(W22)-1)*4)</f>
        <v>-0.71996217478413227</v>
      </c>
    </row>
    <row r="155" spans="1:4" x14ac:dyDescent="0.25">
      <c r="A155" s="92"/>
      <c r="B155" s="4" t="s">
        <v>87</v>
      </c>
      <c r="C155" s="56" cm="1">
        <f t="array" aca="1" ref="C155" ca="1">INDIRECT("'Java Impact of Technique'!T" &amp; 5 + (ROW(B23)-1)*4)</f>
        <v>-6.4707335144480224E-2</v>
      </c>
      <c r="D155" s="56" cm="1">
        <f t="array" aca="1" ref="D155" ca="1">INDIRECT("'Java Impact of Technique'!W" &amp; 5 + (ROW(W23)-1)*4)</f>
        <v>-8.1249673612711709E-2</v>
      </c>
    </row>
    <row r="156" spans="1:4" x14ac:dyDescent="0.25">
      <c r="A156" s="92"/>
      <c r="B156" s="4" t="s">
        <v>91</v>
      </c>
      <c r="C156" s="56" cm="1">
        <f t="array" aca="1" ref="C156" ca="1">INDIRECT("'Java Impact of Technique'!T" &amp; 5 + (ROW(B24)-1)*4)</f>
        <v>-0.21821460775473403</v>
      </c>
      <c r="D156" s="56" cm="1">
        <f t="array" aca="1" ref="D156" ca="1">INDIRECT("'Java Impact of Technique'!W" &amp; 5 + (ROW(W24)-1)*4)</f>
        <v>-0.20992088446308849</v>
      </c>
    </row>
    <row r="157" spans="1:4" x14ac:dyDescent="0.25">
      <c r="A157" s="92"/>
      <c r="B157" s="4" t="s">
        <v>93</v>
      </c>
      <c r="C157" s="56" cm="1">
        <f t="array" aca="1" ref="C157" ca="1">INDIRECT("'Java Impact of Technique'!T" &amp; 5 + (ROW(B25)-1)*4)</f>
        <v>-0.48792597708985547</v>
      </c>
      <c r="D157" s="56" cm="1">
        <f t="array" aca="1" ref="D157" ca="1">INDIRECT("'Java Impact of Technique'!W" &amp; 5 + (ROW(W25)-1)*4)</f>
        <v>-0.4776349760250248</v>
      </c>
    </row>
    <row r="158" spans="1:4" x14ac:dyDescent="0.25">
      <c r="A158" s="92"/>
      <c r="B158" s="4" t="s">
        <v>95</v>
      </c>
      <c r="C158" s="56" cm="1">
        <f t="array" aca="1" ref="C158" ca="1">INDIRECT("'Java Impact of Technique'!T" &amp; 5 + (ROW(B26)-1)*4)</f>
        <v>-0.40075343264737573</v>
      </c>
      <c r="D158" s="56" cm="1">
        <f t="array" aca="1" ref="D158" ca="1">INDIRECT("'Java Impact of Technique'!W" &amp; 5 + (ROW(W26)-1)*4)</f>
        <v>-0.3629369016979383</v>
      </c>
    </row>
  </sheetData>
  <mergeCells count="6">
    <mergeCell ref="A133:A158"/>
    <mergeCell ref="A3:A28"/>
    <mergeCell ref="A55:A80"/>
    <mergeCell ref="A107:A132"/>
    <mergeCell ref="A29:A54"/>
    <mergeCell ref="A81:A10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18</vt:i4>
      </vt:variant>
    </vt:vector>
  </HeadingPairs>
  <TitlesOfParts>
    <vt:vector size="18" baseType="lpstr">
      <vt:lpstr>Techniques</vt:lpstr>
      <vt:lpstr>Implementation</vt:lpstr>
      <vt:lpstr>C Impact of Technique</vt:lpstr>
      <vt:lpstr>C Impact of Optimization</vt:lpstr>
      <vt:lpstr>C Technique results</vt:lpstr>
      <vt:lpstr>C Optimization results</vt:lpstr>
      <vt:lpstr>Python Impact of Technique</vt:lpstr>
      <vt:lpstr>Python Impact of Optimization</vt:lpstr>
      <vt:lpstr>Python Technique results</vt:lpstr>
      <vt:lpstr>Python Optimization results</vt:lpstr>
      <vt:lpstr>Java Impact of Technique</vt:lpstr>
      <vt:lpstr>Java Impact of Optimization</vt:lpstr>
      <vt:lpstr>Java Technique results</vt:lpstr>
      <vt:lpstr>Java Optimization results</vt:lpstr>
      <vt:lpstr>Stats1</vt:lpstr>
      <vt:lpstr>Stats2</vt:lpstr>
      <vt:lpstr>Stats3</vt:lpstr>
      <vt:lpstr>Stats4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Olivia Poy</dc:creator>
  <cp:keywords/>
  <dc:description/>
  <cp:lastModifiedBy>Carlos Pulido Hernández</cp:lastModifiedBy>
  <cp:revision/>
  <cp:lastPrinted>2026-05-15T12:00:44Z</cp:lastPrinted>
  <dcterms:created xsi:type="dcterms:W3CDTF">2015-06-05T18:19:34Z</dcterms:created>
  <dcterms:modified xsi:type="dcterms:W3CDTF">2026-06-11T10:17:13Z</dcterms:modified>
  <cp:category/>
  <cp:contentStatus/>
</cp:coreProperties>
</file>